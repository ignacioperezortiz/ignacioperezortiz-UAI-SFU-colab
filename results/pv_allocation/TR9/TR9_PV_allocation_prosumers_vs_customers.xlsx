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9_analysis\03_PV_ALLOCATION\"/>
    </mc:Choice>
  </mc:AlternateContent>
  <xr:revisionPtr revIDLastSave="0" documentId="8_{7079BF10-C0A3-492C-B73A-25FD6CB9EF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classification'!$A$4:$F$176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7" l="1"/>
  <c r="G52" i="7"/>
  <c r="H52" i="7" s="1"/>
  <c r="F52" i="7"/>
  <c r="E52" i="7"/>
  <c r="D52" i="7"/>
  <c r="C52" i="7"/>
  <c r="G51" i="7"/>
  <c r="F51" i="7"/>
  <c r="H51" i="7" s="1"/>
  <c r="E51" i="7"/>
  <c r="D51" i="7"/>
  <c r="C51" i="7"/>
  <c r="I50" i="7"/>
  <c r="G50" i="7"/>
  <c r="F50" i="7"/>
  <c r="H50" i="7" s="1"/>
  <c r="E50" i="7"/>
  <c r="D50" i="7"/>
  <c r="C50" i="7"/>
  <c r="I49" i="7"/>
  <c r="H49" i="7"/>
  <c r="G49" i="7"/>
  <c r="F49" i="7"/>
  <c r="E49" i="7"/>
  <c r="D49" i="7"/>
  <c r="C49" i="7"/>
  <c r="G48" i="7"/>
  <c r="F48" i="7"/>
  <c r="H48" i="7" s="1"/>
  <c r="E48" i="7"/>
  <c r="D48" i="7"/>
  <c r="C48" i="7"/>
  <c r="I48" i="7" s="1"/>
  <c r="G47" i="7"/>
  <c r="F47" i="7"/>
  <c r="H47" i="7" s="1"/>
  <c r="E47" i="7"/>
  <c r="D47" i="7"/>
  <c r="C47" i="7"/>
  <c r="I46" i="7"/>
  <c r="G46" i="7"/>
  <c r="F46" i="7"/>
  <c r="H46" i="7" s="1"/>
  <c r="J46" i="7" s="1"/>
  <c r="E46" i="7"/>
  <c r="D46" i="7"/>
  <c r="C46" i="7"/>
  <c r="G45" i="7"/>
  <c r="F45" i="7"/>
  <c r="H45" i="7" s="1"/>
  <c r="E45" i="7"/>
  <c r="D45" i="7"/>
  <c r="C45" i="7"/>
  <c r="I44" i="7"/>
  <c r="G44" i="7"/>
  <c r="H44" i="7" s="1"/>
  <c r="F44" i="7"/>
  <c r="E44" i="7"/>
  <c r="D44" i="7"/>
  <c r="C44" i="7"/>
  <c r="G43" i="7"/>
  <c r="F43" i="7"/>
  <c r="H43" i="7" s="1"/>
  <c r="J43" i="7" s="1"/>
  <c r="E43" i="7"/>
  <c r="D43" i="7"/>
  <c r="C43" i="7"/>
  <c r="I43" i="7" s="1"/>
  <c r="G42" i="7"/>
  <c r="F42" i="7"/>
  <c r="H42" i="7" s="1"/>
  <c r="E42" i="7"/>
  <c r="D42" i="7"/>
  <c r="C42" i="7"/>
  <c r="G41" i="7"/>
  <c r="F41" i="7"/>
  <c r="H41" i="7" s="1"/>
  <c r="E41" i="7"/>
  <c r="D41" i="7"/>
  <c r="C41" i="7"/>
  <c r="G40" i="7"/>
  <c r="F40" i="7"/>
  <c r="H40" i="7" s="1"/>
  <c r="E40" i="7"/>
  <c r="D40" i="7"/>
  <c r="C40" i="7"/>
  <c r="G39" i="7"/>
  <c r="F39" i="7"/>
  <c r="H39" i="7" s="1"/>
  <c r="E39" i="7"/>
  <c r="D39" i="7"/>
  <c r="C39" i="7"/>
  <c r="G38" i="7"/>
  <c r="F38" i="7"/>
  <c r="H38" i="7" s="1"/>
  <c r="E38" i="7"/>
  <c r="D38" i="7"/>
  <c r="C38" i="7"/>
  <c r="G37" i="7"/>
  <c r="F37" i="7"/>
  <c r="H37" i="7" s="1"/>
  <c r="E37" i="7"/>
  <c r="D37" i="7"/>
  <c r="C37" i="7"/>
  <c r="G36" i="7"/>
  <c r="F36" i="7"/>
  <c r="H36" i="7" s="1"/>
  <c r="E36" i="7"/>
  <c r="D36" i="7"/>
  <c r="C36" i="7"/>
  <c r="G35" i="7"/>
  <c r="F35" i="7"/>
  <c r="H35" i="7" s="1"/>
  <c r="E35" i="7"/>
  <c r="D35" i="7"/>
  <c r="C35" i="7"/>
  <c r="G34" i="7"/>
  <c r="F34" i="7"/>
  <c r="H34" i="7" s="1"/>
  <c r="E34" i="7"/>
  <c r="D34" i="7"/>
  <c r="C34" i="7"/>
  <c r="G33" i="7"/>
  <c r="F33" i="7"/>
  <c r="H33" i="7" s="1"/>
  <c r="E33" i="7"/>
  <c r="D33" i="7"/>
  <c r="C33" i="7"/>
  <c r="I32" i="7"/>
  <c r="G32" i="7"/>
  <c r="F32" i="7"/>
  <c r="H32" i="7" s="1"/>
  <c r="E32" i="7"/>
  <c r="D32" i="7"/>
  <c r="C32" i="7"/>
  <c r="G31" i="7"/>
  <c r="F31" i="7"/>
  <c r="H31" i="7" s="1"/>
  <c r="E31" i="7"/>
  <c r="D31" i="7"/>
  <c r="C31" i="7"/>
  <c r="I31" i="7" s="1"/>
  <c r="G30" i="7"/>
  <c r="F30" i="7"/>
  <c r="H30" i="7" s="1"/>
  <c r="E30" i="7"/>
  <c r="D30" i="7"/>
  <c r="C30" i="7"/>
  <c r="G29" i="7"/>
  <c r="F29" i="7"/>
  <c r="H29" i="7" s="1"/>
  <c r="E29" i="7"/>
  <c r="D29" i="7"/>
  <c r="I29" i="7" s="1"/>
  <c r="C29" i="7"/>
  <c r="G28" i="7"/>
  <c r="F28" i="7"/>
  <c r="H28" i="7" s="1"/>
  <c r="E28" i="7"/>
  <c r="D28" i="7"/>
  <c r="C28" i="7"/>
  <c r="I27" i="7"/>
  <c r="G27" i="7"/>
  <c r="H27" i="7" s="1"/>
  <c r="F27" i="7"/>
  <c r="E27" i="7"/>
  <c r="D27" i="7"/>
  <c r="C27" i="7"/>
  <c r="I26" i="7"/>
  <c r="G26" i="7"/>
  <c r="F26" i="7"/>
  <c r="H26" i="7" s="1"/>
  <c r="E26" i="7"/>
  <c r="D26" i="7"/>
  <c r="C26" i="7"/>
  <c r="G25" i="7"/>
  <c r="F25" i="7"/>
  <c r="H25" i="7" s="1"/>
  <c r="E25" i="7"/>
  <c r="D25" i="7"/>
  <c r="C25" i="7"/>
  <c r="I25" i="7" s="1"/>
  <c r="G24" i="7"/>
  <c r="F24" i="7"/>
  <c r="H24" i="7" s="1"/>
  <c r="E24" i="7"/>
  <c r="D24" i="7"/>
  <c r="C24" i="7"/>
  <c r="I23" i="7"/>
  <c r="G23" i="7"/>
  <c r="F23" i="7"/>
  <c r="H23" i="7" s="1"/>
  <c r="E23" i="7"/>
  <c r="D23" i="7"/>
  <c r="C23" i="7"/>
  <c r="G22" i="7"/>
  <c r="F22" i="7"/>
  <c r="H22" i="7" s="1"/>
  <c r="E22" i="7"/>
  <c r="D22" i="7"/>
  <c r="C22" i="7"/>
  <c r="G21" i="7"/>
  <c r="F21" i="7"/>
  <c r="H21" i="7" s="1"/>
  <c r="E21" i="7"/>
  <c r="D21" i="7"/>
  <c r="C21" i="7"/>
  <c r="I21" i="7" s="1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I18" i="7"/>
  <c r="H18" i="7"/>
  <c r="G18" i="7"/>
  <c r="F18" i="7"/>
  <c r="E18" i="7"/>
  <c r="D18" i="7"/>
  <c r="C18" i="7"/>
  <c r="I17" i="7"/>
  <c r="H17" i="7"/>
  <c r="G17" i="7"/>
  <c r="F17" i="7"/>
  <c r="E17" i="7"/>
  <c r="D17" i="7"/>
  <c r="C17" i="7"/>
  <c r="G16" i="7"/>
  <c r="F16" i="7"/>
  <c r="H16" i="7" s="1"/>
  <c r="E16" i="7"/>
  <c r="D16" i="7"/>
  <c r="C16" i="7"/>
  <c r="G15" i="7"/>
  <c r="F15" i="7"/>
  <c r="H15" i="7" s="1"/>
  <c r="E15" i="7"/>
  <c r="D15" i="7"/>
  <c r="I15" i="7" s="1"/>
  <c r="C15" i="7"/>
  <c r="I14" i="7"/>
  <c r="J14" i="7" s="1"/>
  <c r="G14" i="7"/>
  <c r="F14" i="7"/>
  <c r="H14" i="7" s="1"/>
  <c r="E14" i="7"/>
  <c r="D14" i="7"/>
  <c r="C14" i="7"/>
  <c r="G13" i="7"/>
  <c r="F13" i="7"/>
  <c r="H13" i="7" s="1"/>
  <c r="E13" i="7"/>
  <c r="D13" i="7"/>
  <c r="C13" i="7"/>
  <c r="G12" i="7"/>
  <c r="F12" i="7"/>
  <c r="H12" i="7" s="1"/>
  <c r="E12" i="7"/>
  <c r="D12" i="7"/>
  <c r="C12" i="7"/>
  <c r="J11" i="7"/>
  <c r="K11" i="7" s="1"/>
  <c r="M11" i="7" s="1"/>
  <c r="G11" i="7"/>
  <c r="F11" i="7"/>
  <c r="H11" i="7" s="1"/>
  <c r="E11" i="7"/>
  <c r="D11" i="7"/>
  <c r="C11" i="7"/>
  <c r="I11" i="7" s="1"/>
  <c r="G10" i="7"/>
  <c r="F10" i="7"/>
  <c r="H10" i="7" s="1"/>
  <c r="E10" i="7"/>
  <c r="D10" i="7"/>
  <c r="C10" i="7"/>
  <c r="G9" i="7"/>
  <c r="F9" i="7"/>
  <c r="H9" i="7" s="1"/>
  <c r="E9" i="7"/>
  <c r="D9" i="7"/>
  <c r="C9" i="7"/>
  <c r="G8" i="7"/>
  <c r="F8" i="7"/>
  <c r="H8" i="7" s="1"/>
  <c r="E8" i="7"/>
  <c r="D8" i="7"/>
  <c r="C8" i="7"/>
  <c r="G7" i="7"/>
  <c r="F7" i="7"/>
  <c r="H7" i="7" s="1"/>
  <c r="E7" i="7"/>
  <c r="D7" i="7"/>
  <c r="C7" i="7"/>
  <c r="G6" i="7"/>
  <c r="G53" i="7" s="1"/>
  <c r="F6" i="7"/>
  <c r="F53" i="7" s="1"/>
  <c r="E6" i="7"/>
  <c r="D6" i="7"/>
  <c r="D53" i="7" s="1"/>
  <c r="C6" i="7"/>
  <c r="G5" i="7"/>
  <c r="F5" i="7"/>
  <c r="H5" i="7" s="1"/>
  <c r="E5" i="7"/>
  <c r="D5" i="7"/>
  <c r="C5" i="7"/>
  <c r="J29" i="7" l="1"/>
  <c r="J23" i="7"/>
  <c r="K43" i="7"/>
  <c r="M43" i="7" s="1"/>
  <c r="J44" i="7"/>
  <c r="L44" i="7" s="1"/>
  <c r="J26" i="7"/>
  <c r="K12" i="7"/>
  <c r="M12" i="7" s="1"/>
  <c r="J6" i="7"/>
  <c r="K18" i="7"/>
  <c r="M18" i="7" s="1"/>
  <c r="K49" i="7"/>
  <c r="M49" i="7" s="1"/>
  <c r="M32" i="7"/>
  <c r="J15" i="7"/>
  <c r="L50" i="7"/>
  <c r="L20" i="7"/>
  <c r="L32" i="7"/>
  <c r="K46" i="7"/>
  <c r="M46" i="7" s="1"/>
  <c r="L46" i="7"/>
  <c r="J52" i="7"/>
  <c r="I39" i="7"/>
  <c r="J39" i="7"/>
  <c r="L11" i="7"/>
  <c r="J50" i="7"/>
  <c r="K26" i="7"/>
  <c r="M26" i="7" s="1"/>
  <c r="K50" i="7"/>
  <c r="L26" i="7"/>
  <c r="I35" i="7"/>
  <c r="L35" i="7" s="1"/>
  <c r="M31" i="7"/>
  <c r="J35" i="7"/>
  <c r="J27" i="7"/>
  <c r="K27" i="7" s="1"/>
  <c r="K35" i="7"/>
  <c r="M35" i="7" s="1"/>
  <c r="I47" i="7"/>
  <c r="J47" i="7"/>
  <c r="K16" i="7"/>
  <c r="M16" i="7" s="1"/>
  <c r="I16" i="7"/>
  <c r="J16" i="7"/>
  <c r="I12" i="7"/>
  <c r="J12" i="7" s="1"/>
  <c r="I36" i="7"/>
  <c r="J18" i="7"/>
  <c r="K44" i="7"/>
  <c r="M44" i="7" s="1"/>
  <c r="M24" i="7"/>
  <c r="J32" i="7"/>
  <c r="K32" i="7"/>
  <c r="K52" i="7"/>
  <c r="M52" i="7" s="1"/>
  <c r="I33" i="7"/>
  <c r="J33" i="7"/>
  <c r="I41" i="7"/>
  <c r="L52" i="7"/>
  <c r="J41" i="7"/>
  <c r="I10" i="7"/>
  <c r="H6" i="7"/>
  <c r="H53" i="7" s="1"/>
  <c r="K14" i="7"/>
  <c r="M14" i="7" s="1"/>
  <c r="J21" i="7"/>
  <c r="L14" i="7"/>
  <c r="K21" i="7"/>
  <c r="L21" i="7" s="1"/>
  <c r="I38" i="7"/>
  <c r="L24" i="7"/>
  <c r="J28" i="7"/>
  <c r="L28" i="7" s="1"/>
  <c r="I13" i="7"/>
  <c r="J20" i="7"/>
  <c r="I9" i="7"/>
  <c r="K9" i="7" s="1"/>
  <c r="M9" i="7" s="1"/>
  <c r="K20" i="7"/>
  <c r="M20" i="7" s="1"/>
  <c r="J9" i="7"/>
  <c r="I45" i="7"/>
  <c r="J45" i="7" s="1"/>
  <c r="I24" i="7"/>
  <c r="J17" i="7"/>
  <c r="K17" i="7" s="1"/>
  <c r="E53" i="7"/>
  <c r="F7" i="8" s="1"/>
  <c r="J24" i="7"/>
  <c r="M21" i="7"/>
  <c r="K24" i="7"/>
  <c r="C53" i="7"/>
  <c r="J49" i="7"/>
  <c r="L49" i="7" s="1"/>
  <c r="I6" i="7"/>
  <c r="K6" i="7" s="1"/>
  <c r="M6" i="7" s="1"/>
  <c r="I42" i="7"/>
  <c r="I7" i="7"/>
  <c r="J7" i="7" s="1"/>
  <c r="I30" i="7"/>
  <c r="M50" i="7"/>
  <c r="I19" i="7"/>
  <c r="J19" i="7" s="1"/>
  <c r="J31" i="7"/>
  <c r="I34" i="7"/>
  <c r="I5" i="7"/>
  <c r="J48" i="7"/>
  <c r="K48" i="7" s="1"/>
  <c r="M48" i="7" s="1"/>
  <c r="J25" i="7"/>
  <c r="I28" i="7"/>
  <c r="K28" i="7" s="1"/>
  <c r="M28" i="7" s="1"/>
  <c r="K31" i="7"/>
  <c r="J34" i="7"/>
  <c r="L34" i="7" s="1"/>
  <c r="I37" i="7"/>
  <c r="J5" i="7"/>
  <c r="L31" i="7"/>
  <c r="K34" i="7"/>
  <c r="M34" i="7" s="1"/>
  <c r="J37" i="7"/>
  <c r="I40" i="7"/>
  <c r="I51" i="7"/>
  <c r="K51" i="7" s="1"/>
  <c r="M51" i="7" s="1"/>
  <c r="I22" i="7"/>
  <c r="K22" i="7" s="1"/>
  <c r="M22" i="7" s="1"/>
  <c r="J51" i="7"/>
  <c r="J22" i="7"/>
  <c r="I8" i="7"/>
  <c r="M17" i="7" l="1"/>
  <c r="L17" i="7"/>
  <c r="K45" i="7"/>
  <c r="M45" i="7" s="1"/>
  <c r="L45" i="7"/>
  <c r="M27" i="7"/>
  <c r="L27" i="7"/>
  <c r="K15" i="7"/>
  <c r="M15" i="7" s="1"/>
  <c r="L51" i="7"/>
  <c r="J30" i="7"/>
  <c r="K30" i="7" s="1"/>
  <c r="M30" i="7" s="1"/>
  <c r="L9" i="7"/>
  <c r="K7" i="7"/>
  <c r="M7" i="7" s="1"/>
  <c r="K33" i="7"/>
  <c r="M33" i="7" s="1"/>
  <c r="L7" i="7"/>
  <c r="J40" i="7"/>
  <c r="K40" i="7" s="1"/>
  <c r="M40" i="7" s="1"/>
  <c r="K13" i="7"/>
  <c r="M13" i="7" s="1"/>
  <c r="L16" i="7"/>
  <c r="J10" i="7"/>
  <c r="L22" i="7"/>
  <c r="J13" i="7"/>
  <c r="J42" i="7"/>
  <c r="L12" i="7"/>
  <c r="K5" i="7"/>
  <c r="K37" i="7"/>
  <c r="M37" i="7" s="1"/>
  <c r="B9" i="8"/>
  <c r="C29" i="1"/>
  <c r="J8" i="7"/>
  <c r="K8" i="7" s="1"/>
  <c r="L18" i="7"/>
  <c r="L5" i="7"/>
  <c r="I53" i="7"/>
  <c r="K25" i="7"/>
  <c r="M25" i="7" s="1"/>
  <c r="L6" i="7"/>
  <c r="L43" i="7"/>
  <c r="J38" i="7"/>
  <c r="K38" i="7" s="1"/>
  <c r="M38" i="7" s="1"/>
  <c r="J36" i="7"/>
  <c r="L36" i="7" s="1"/>
  <c r="K39" i="7"/>
  <c r="M39" i="7" s="1"/>
  <c r="K36" i="7"/>
  <c r="M36" i="7" s="1"/>
  <c r="K23" i="7"/>
  <c r="M23" i="7" s="1"/>
  <c r="L48" i="7"/>
  <c r="K47" i="7"/>
  <c r="M47" i="7" s="1"/>
  <c r="K29" i="7"/>
  <c r="M29" i="7" s="1"/>
  <c r="K19" i="7"/>
  <c r="M19" i="7" s="1"/>
  <c r="K41" i="7"/>
  <c r="M41" i="7" s="1"/>
  <c r="M8" i="7" l="1"/>
  <c r="L8" i="7"/>
  <c r="L40" i="7"/>
  <c r="C5" i="8"/>
  <c r="B5" i="8"/>
  <c r="C30" i="1"/>
  <c r="L29" i="7"/>
  <c r="L15" i="7"/>
  <c r="L38" i="7"/>
  <c r="L19" i="7"/>
  <c r="L47" i="7"/>
  <c r="M5" i="7"/>
  <c r="L41" i="7"/>
  <c r="L23" i="7"/>
  <c r="L30" i="7"/>
  <c r="L25" i="7"/>
  <c r="L39" i="7"/>
  <c r="L13" i="7"/>
  <c r="L37" i="7"/>
  <c r="J53" i="7"/>
  <c r="K42" i="7"/>
  <c r="M42" i="7" s="1"/>
  <c r="L33" i="7"/>
  <c r="K10" i="7"/>
  <c r="M10" i="7" s="1"/>
  <c r="C6" i="8" l="1"/>
  <c r="C31" i="1"/>
  <c r="B6" i="8"/>
  <c r="K53" i="7"/>
  <c r="L10" i="7"/>
  <c r="L42" i="7"/>
  <c r="M53" i="7"/>
  <c r="C36" i="1" l="1"/>
  <c r="F6" i="8"/>
  <c r="G6" i="8"/>
  <c r="L53" i="7"/>
  <c r="C7" i="8"/>
  <c r="B7" i="8"/>
  <c r="G5" i="8"/>
  <c r="C35" i="1"/>
  <c r="F5" i="8"/>
  <c r="C34" i="1"/>
  <c r="C32" i="1"/>
  <c r="C33" i="1" l="1"/>
  <c r="C8" i="8"/>
  <c r="B8" i="8"/>
</calcChain>
</file>

<file path=xl/sharedStrings.xml><?xml version="1.0" encoding="utf-8"?>
<sst xmlns="http://schemas.openxmlformats.org/spreadsheetml/2006/main" count="1594" uniqueCount="578">
  <si>
    <t>TR9 — Where does the PV energy go?</t>
  </si>
  <si>
    <t>Prosumers vs. pure customers — every kWh traced from the raw model inputs</t>
  </si>
  <si>
    <t>Purpose</t>
  </si>
  <si>
    <t>This workbook accounts for every kWh of PV generated on transformer TR9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</si>
  <si>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</si>
  <si>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</si>
  <si>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TR9_load_PV_48periods.xlsx (sheet PV_generation_kW). Customers = 0.</t>
  </si>
  <si>
    <t>Sheet 4 · Raw load per load</t>
  </si>
  <si>
    <t>The load profile of every connection, 48 half-hours, tagged prosumer / customer. Copied from TR9_load_PV_48periods.xlsx (sheet Load_P_kW).</t>
  </si>
  <si>
    <t>Sheet 5 · Raw batt charge</t>
  </si>
  <si>
    <t>Charging power of every battery, 48 half-hours. Copied from the rolling dispatch TR9_analysis_data.xlsx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</si>
  <si>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</si>
  <si>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</si>
  <si>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</si>
  <si>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</si>
  <si>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</si>
  <si>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</si>
  <si>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</si>
  <si>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</si>
  <si>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</si>
  <si>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</si>
  <si>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</si>
  <si>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</si>
  <si>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</si>
  <si>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</si>
  <si>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</si>
  <si>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</si>
  <si>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</si>
  <si>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</si>
  <si>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</si>
  <si>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</si>
  <si>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</si>
  <si>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</si>
  <si>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</si>
  <si>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</si>
  <si>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</si>
  <si>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</si>
  <si>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</si>
  <si>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</si>
  <si>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</si>
  <si>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</si>
  <si>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</si>
  <si>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</si>
  <si>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results/tables/TR9_load_PV_48periods.xlsx  (built from OpData.xls).</t>
  </si>
  <si>
    <t>• Per-battery charge/discharge:  TR9_analysis/01_DAILY_ROLLING_DISPATCH/TR9_analysis_data.xlsx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</si>
  <si>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</si>
  <si>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</si>
  <si>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TR9 load classification — 172 connections</t>
  </si>
  <si>
    <t>90 prosumers (PV + battery)  ·  82 pure customers (load only)</t>
  </si>
  <si>
    <t>ID</t>
  </si>
  <si>
    <t>Load name</t>
  </si>
  <si>
    <t>Bus</t>
  </si>
  <si>
    <t>Phase</t>
  </si>
  <si>
    <t>PV size (kW)</t>
  </si>
  <si>
    <t>Type</t>
  </si>
  <si>
    <t>Load_TR9_F2_1</t>
  </si>
  <si>
    <t>TR9_two130</t>
  </si>
  <si>
    <t>customer</t>
  </si>
  <si>
    <t>Load_TR9_F2_10</t>
  </si>
  <si>
    <t>TR9_two249</t>
  </si>
  <si>
    <t>Load_TR9_F2_13</t>
  </si>
  <si>
    <t>TR9_two283</t>
  </si>
  <si>
    <t>Load_TR9_F2_2</t>
  </si>
  <si>
    <t>TR9_two137</t>
  </si>
  <si>
    <t>Load_TR9_F2_3</t>
  </si>
  <si>
    <t>TR9_two149</t>
  </si>
  <si>
    <t>Load_TR9_F2_4</t>
  </si>
  <si>
    <t>TR9_two217</t>
  </si>
  <si>
    <t>Load_TR9_F2_6</t>
  </si>
  <si>
    <t>TR9_two229</t>
  </si>
  <si>
    <t>Load_TR9_F2_8</t>
  </si>
  <si>
    <t>TR9_two238</t>
  </si>
  <si>
    <t>Load_TR9_F2_9</t>
  </si>
  <si>
    <t>TR9_two242</t>
  </si>
  <si>
    <t>Load_TR9_F5_1</t>
  </si>
  <si>
    <t>TR9_five58</t>
  </si>
  <si>
    <t>Load_TR9_F5_13</t>
  </si>
  <si>
    <t>TR9_five168</t>
  </si>
  <si>
    <t>Load_TR9_F5_16</t>
  </si>
  <si>
    <t>TR9_five186</t>
  </si>
  <si>
    <t>Load_TR9_F5_17</t>
  </si>
  <si>
    <t>TR9_five194</t>
  </si>
  <si>
    <t>Load_TR9_F5_18</t>
  </si>
  <si>
    <t>TR9_five199</t>
  </si>
  <si>
    <t>Load_TR9_F5_20</t>
  </si>
  <si>
    <t>TR9_five223</t>
  </si>
  <si>
    <t>Load_TR9_F5_21</t>
  </si>
  <si>
    <t>TR9_five242</t>
  </si>
  <si>
    <t>Load_TR9_F5_22</t>
  </si>
  <si>
    <t>TR9_five243</t>
  </si>
  <si>
    <t>Load_TR9_F5_24</t>
  </si>
  <si>
    <t>TR9_five285</t>
  </si>
  <si>
    <t>Load_TR9_F5_25</t>
  </si>
  <si>
    <t>TR9_five303</t>
  </si>
  <si>
    <t>Load_TR9_F5_26</t>
  </si>
  <si>
    <t>TR9_five309</t>
  </si>
  <si>
    <t>Load_TR9_F5_27</t>
  </si>
  <si>
    <t>TR9_five324</t>
  </si>
  <si>
    <t>Load_TR9_F5_31</t>
  </si>
  <si>
    <t>TR9_five421</t>
  </si>
  <si>
    <t>Load_TR9_F5_33</t>
  </si>
  <si>
    <t>TR9_five451</t>
  </si>
  <si>
    <t>Load_TR9_F5_34</t>
  </si>
  <si>
    <t>TR9_five457</t>
  </si>
  <si>
    <t>Load_TR9_F5_35</t>
  </si>
  <si>
    <t>TR9_five466</t>
  </si>
  <si>
    <t>Load_TR9_F5_36</t>
  </si>
  <si>
    <t>TR9_five472</t>
  </si>
  <si>
    <t>Load_TR9_F5_37</t>
  </si>
  <si>
    <t>TR9_five488</t>
  </si>
  <si>
    <t>Load_TR9_F5_38</t>
  </si>
  <si>
    <t>TR9_five494</t>
  </si>
  <si>
    <t>Load_TR9_F5_40</t>
  </si>
  <si>
    <t>TR9_five512</t>
  </si>
  <si>
    <t>Load_TR9_F5_41</t>
  </si>
  <si>
    <t>TR9_five513</t>
  </si>
  <si>
    <t>Load_TR9_F5_43</t>
  </si>
  <si>
    <t>TR9_five537</t>
  </si>
  <si>
    <t>Load_TR9_F5_44</t>
  </si>
  <si>
    <t>TR9_five540</t>
  </si>
  <si>
    <t>Load_TR9_F5_46</t>
  </si>
  <si>
    <t>TR9_five551</t>
  </si>
  <si>
    <t>Load_TR9_F5_47</t>
  </si>
  <si>
    <t>TR9_five585</t>
  </si>
  <si>
    <t>Load_TR9_F5_49</t>
  </si>
  <si>
    <t>TR9_five631</t>
  </si>
  <si>
    <t>Load_TR9_F5_5</t>
  </si>
  <si>
    <t>TR9_five108</t>
  </si>
  <si>
    <t>Load_TR9_F5_50</t>
  </si>
  <si>
    <t>TR9_five649</t>
  </si>
  <si>
    <t>Load_TR9_F5_51</t>
  </si>
  <si>
    <t>TR9_five663</t>
  </si>
  <si>
    <t>Load_TR9_F5_54</t>
  </si>
  <si>
    <t>TR9_five695</t>
  </si>
  <si>
    <t>Load_TR9_F5_57</t>
  </si>
  <si>
    <t>TR9_five733</t>
  </si>
  <si>
    <t>Load_TR9_F5_58</t>
  </si>
  <si>
    <t>TR9_five735</t>
  </si>
  <si>
    <t>Load_TR9_F5_60</t>
  </si>
  <si>
    <t>TR9_five750</t>
  </si>
  <si>
    <t>Load_TR9_F5_62</t>
  </si>
  <si>
    <t>TR9_five793</t>
  </si>
  <si>
    <t>Load_TR9_F5_65</t>
  </si>
  <si>
    <t>TR9_five809</t>
  </si>
  <si>
    <t>Load_TR9_F5_66</t>
  </si>
  <si>
    <t>TR9_five831</t>
  </si>
  <si>
    <t>Load_TR9_F5_68</t>
  </si>
  <si>
    <t>TR9_five905</t>
  </si>
  <si>
    <t>Load_TR9_F5_7</t>
  </si>
  <si>
    <t>TR9_five118</t>
  </si>
  <si>
    <t>Load_TR9_F5_9</t>
  </si>
  <si>
    <t>TR9_five129</t>
  </si>
  <si>
    <t>Load_TR9_F6_1</t>
  </si>
  <si>
    <t>TR9_six64</t>
  </si>
  <si>
    <t>Load_TR9_F6_10</t>
  </si>
  <si>
    <t>TR9_six154</t>
  </si>
  <si>
    <t>Load_TR9_F6_11</t>
  </si>
  <si>
    <t>TR9_six173</t>
  </si>
  <si>
    <t>Load_TR9_F6_18</t>
  </si>
  <si>
    <t>TR9_six254</t>
  </si>
  <si>
    <t>Load_TR9_F6_2</t>
  </si>
  <si>
    <t>TR9_six68</t>
  </si>
  <si>
    <t>Load_TR9_F6_21</t>
  </si>
  <si>
    <t>TR9_six317</t>
  </si>
  <si>
    <t>Load_TR9_F6_23</t>
  </si>
  <si>
    <t>TR9_six329</t>
  </si>
  <si>
    <t>Load_TR9_F6_24</t>
  </si>
  <si>
    <t>TR9_six342</t>
  </si>
  <si>
    <t>Load_TR9_F6_26</t>
  </si>
  <si>
    <t>TR9_six350</t>
  </si>
  <si>
    <t>Load_TR9_F6_29</t>
  </si>
  <si>
    <t>TR9_six378</t>
  </si>
  <si>
    <t>Load_TR9_F6_3</t>
  </si>
  <si>
    <t>TR9_six75</t>
  </si>
  <si>
    <t>Load_TR9_F6_32</t>
  </si>
  <si>
    <t>TR9_six392</t>
  </si>
  <si>
    <t>Load_TR9_F6_33</t>
  </si>
  <si>
    <t>TR9_six410</t>
  </si>
  <si>
    <t>Load_TR9_F6_36</t>
  </si>
  <si>
    <t>TR9_six484</t>
  </si>
  <si>
    <t>Load_TR9_F6_39</t>
  </si>
  <si>
    <t>TR9_six518</t>
  </si>
  <si>
    <t>Load_TR9_F6_42</t>
  </si>
  <si>
    <t>TR9_six571</t>
  </si>
  <si>
    <t>Load_TR9_F6_44</t>
  </si>
  <si>
    <t>TR9_six591</t>
  </si>
  <si>
    <t>Load_TR9_F6_45</t>
  </si>
  <si>
    <t>TR9_six595</t>
  </si>
  <si>
    <t>Load_TR9_F6_47</t>
  </si>
  <si>
    <t>TR9_six643</t>
  </si>
  <si>
    <t>Load_TR9_F6_5</t>
  </si>
  <si>
    <t>TR9_six87</t>
  </si>
  <si>
    <t>Load_TR9_F6_50</t>
  </si>
  <si>
    <t>TR9_six652</t>
  </si>
  <si>
    <t>Load_TR9_F6_51</t>
  </si>
  <si>
    <t>TR9_six665</t>
  </si>
  <si>
    <t>Load_TR9_F6_52</t>
  </si>
  <si>
    <t>TR9_six667</t>
  </si>
  <si>
    <t>Load_TR9_F6_53</t>
  </si>
  <si>
    <t>TR9_six699</t>
  </si>
  <si>
    <t>Load_TR9_F6_56</t>
  </si>
  <si>
    <t>TR9_six723</t>
  </si>
  <si>
    <t>Load_TR9_F6_66</t>
  </si>
  <si>
    <t>TR9_six869</t>
  </si>
  <si>
    <t>Load_TR9_F6_68</t>
  </si>
  <si>
    <t>TR9_six894</t>
  </si>
  <si>
    <t>Load_TR9_F6_69</t>
  </si>
  <si>
    <t>TR9_six909</t>
  </si>
  <si>
    <t>Load_TR9_F6_7</t>
  </si>
  <si>
    <t>TR9_six105</t>
  </si>
  <si>
    <t>Load_TR9_F6_72</t>
  </si>
  <si>
    <t>TR9_six929</t>
  </si>
  <si>
    <t>Load_TR9_F6_74</t>
  </si>
  <si>
    <t>TR9_six945</t>
  </si>
  <si>
    <t>Load_TR9_F6_75</t>
  </si>
  <si>
    <t>TR9_six952</t>
  </si>
  <si>
    <t>Load_TR9_F6_78</t>
  </si>
  <si>
    <t>TR9_six979</t>
  </si>
  <si>
    <t>Load_TR9_F6_81</t>
  </si>
  <si>
    <t>TR9_six1020</t>
  </si>
  <si>
    <t>Load_TR9_F2_11</t>
  </si>
  <si>
    <t>TR9_two267</t>
  </si>
  <si>
    <t>prosumer</t>
  </si>
  <si>
    <t>Load_TR9_F2_12</t>
  </si>
  <si>
    <t>TR9_two275</t>
  </si>
  <si>
    <t>Load_TR9_F2_14</t>
  </si>
  <si>
    <t>TR9_two292</t>
  </si>
  <si>
    <t>Load_TR9_F2_15</t>
  </si>
  <si>
    <t>TR9_two306</t>
  </si>
  <si>
    <t>Load_TR9_F2_16</t>
  </si>
  <si>
    <t>TR9_two308</t>
  </si>
  <si>
    <t>Load_TR9_F2_17</t>
  </si>
  <si>
    <t>TR9_two312</t>
  </si>
  <si>
    <t>Load_TR9_F2_18</t>
  </si>
  <si>
    <t>TR9_two313</t>
  </si>
  <si>
    <t>Load_TR9_F2_19</t>
  </si>
  <si>
    <t>TR9_two315</t>
  </si>
  <si>
    <t>Load_TR9_F2_20</t>
  </si>
  <si>
    <t>TR9_two316</t>
  </si>
  <si>
    <t>Load_TR9_F2_21</t>
  </si>
  <si>
    <t>TR9_two339</t>
  </si>
  <si>
    <t>Load_TR9_F2_5</t>
  </si>
  <si>
    <t>TR9_two225</t>
  </si>
  <si>
    <t>Load_TR9_F2_7</t>
  </si>
  <si>
    <t>TR9_two233</t>
  </si>
  <si>
    <t>Load_TR9_F5_10</t>
  </si>
  <si>
    <t>TR9_five147</t>
  </si>
  <si>
    <t>Load_TR9_F5_11</t>
  </si>
  <si>
    <t>TR9_five149</t>
  </si>
  <si>
    <t>Load_TR9_F5_12</t>
  </si>
  <si>
    <t>TR9_five160</t>
  </si>
  <si>
    <t>Load_TR9_F5_14</t>
  </si>
  <si>
    <t>TR9_five170</t>
  </si>
  <si>
    <t>Load_TR9_F5_15</t>
  </si>
  <si>
    <t>TR9_five177</t>
  </si>
  <si>
    <t>Load_TR9_F5_19</t>
  </si>
  <si>
    <t>TR9_five220</t>
  </si>
  <si>
    <t>Load_TR9_F5_2</t>
  </si>
  <si>
    <t>TR9_five67</t>
  </si>
  <si>
    <t>Load_TR9_F5_23</t>
  </si>
  <si>
    <t>TR9_five284</t>
  </si>
  <si>
    <t>Load_TR9_F5_28</t>
  </si>
  <si>
    <t>TR9_five345</t>
  </si>
  <si>
    <t>Load_TR9_F5_29</t>
  </si>
  <si>
    <t>TR9_five355</t>
  </si>
  <si>
    <t>Load_TR9_F5_3</t>
  </si>
  <si>
    <t>TR9_five78</t>
  </si>
  <si>
    <t>Load_TR9_F5_30</t>
  </si>
  <si>
    <t>TR9_five394</t>
  </si>
  <si>
    <t>Load_TR9_F5_32</t>
  </si>
  <si>
    <t>TR9_five445</t>
  </si>
  <si>
    <t>Load_TR9_F5_39</t>
  </si>
  <si>
    <t>TR9_five499</t>
  </si>
  <si>
    <t>Load_TR9_F5_4</t>
  </si>
  <si>
    <t>TR9_five92</t>
  </si>
  <si>
    <t>Load_TR9_F5_42</t>
  </si>
  <si>
    <t>TR9_five520</t>
  </si>
  <si>
    <t>Load_TR9_F5_45</t>
  </si>
  <si>
    <t>TR9_five545</t>
  </si>
  <si>
    <t>Load_TR9_F5_48</t>
  </si>
  <si>
    <t>TR9_five588</t>
  </si>
  <si>
    <t>Load_TR9_F5_52</t>
  </si>
  <si>
    <t>TR9_five670</t>
  </si>
  <si>
    <t>Load_TR9_F5_53</t>
  </si>
  <si>
    <t>TR9_five685</t>
  </si>
  <si>
    <t>Load_TR9_F5_55</t>
  </si>
  <si>
    <t>TR9_five704</t>
  </si>
  <si>
    <t>Load_TR9_F5_56</t>
  </si>
  <si>
    <t>TR9_five719</t>
  </si>
  <si>
    <t>Load_TR9_F5_59</t>
  </si>
  <si>
    <t>TR9_five748</t>
  </si>
  <si>
    <t>Load_TR9_F5_6</t>
  </si>
  <si>
    <t>TR9_five117</t>
  </si>
  <si>
    <t>Load_TR9_F5_61</t>
  </si>
  <si>
    <t>TR9_five778</t>
  </si>
  <si>
    <t>Load_TR9_F5_63</t>
  </si>
  <si>
    <t>TR9_five799</t>
  </si>
  <si>
    <t>Load_TR9_F5_64</t>
  </si>
  <si>
    <t>TR9_five801</t>
  </si>
  <si>
    <t>Load_TR9_F5_67</t>
  </si>
  <si>
    <t>TR9_five881</t>
  </si>
  <si>
    <t>Load_TR9_F5_8</t>
  </si>
  <si>
    <t>TR9_five123</t>
  </si>
  <si>
    <t>Load_TR9_F6_12</t>
  </si>
  <si>
    <t>TR9_six186</t>
  </si>
  <si>
    <t>Load_TR9_F6_13</t>
  </si>
  <si>
    <t>TR9_six191</t>
  </si>
  <si>
    <t>Load_TR9_F6_14</t>
  </si>
  <si>
    <t>TR9_six203</t>
  </si>
  <si>
    <t>Load_TR9_F6_15</t>
  </si>
  <si>
    <t>TR9_six232</t>
  </si>
  <si>
    <t>Load_TR9_F6_16</t>
  </si>
  <si>
    <t>TR9_six238</t>
  </si>
  <si>
    <t>Load_TR9_F6_17</t>
  </si>
  <si>
    <t>TR9_six249</t>
  </si>
  <si>
    <t>Load_TR9_F6_19</t>
  </si>
  <si>
    <t>TR9_six269</t>
  </si>
  <si>
    <t>Load_TR9_F6_20</t>
  </si>
  <si>
    <t>TR9_six289</t>
  </si>
  <si>
    <t>Load_TR9_F6_22</t>
  </si>
  <si>
    <t>TR9_six326</t>
  </si>
  <si>
    <t>Load_TR9_F6_25</t>
  </si>
  <si>
    <t>TR9_six349</t>
  </si>
  <si>
    <t>Load_TR9_F6_27</t>
  </si>
  <si>
    <t>TR9_six362</t>
  </si>
  <si>
    <t>Load_TR9_F6_28</t>
  </si>
  <si>
    <t>TR9_six365</t>
  </si>
  <si>
    <t>Load_TR9_F6_30</t>
  </si>
  <si>
    <t>TR9_six385</t>
  </si>
  <si>
    <t>Load_TR9_F6_31</t>
  </si>
  <si>
    <t>TR9_six387</t>
  </si>
  <si>
    <t>Load_TR9_F6_34</t>
  </si>
  <si>
    <t>TR9_six431</t>
  </si>
  <si>
    <t>Load_TR9_F6_35</t>
  </si>
  <si>
    <t>TR9_six441</t>
  </si>
  <si>
    <t>Load_TR9_F6_37</t>
  </si>
  <si>
    <t>TR9_six501</t>
  </si>
  <si>
    <t>Load_TR9_F6_38</t>
  </si>
  <si>
    <t>TR9_six512</t>
  </si>
  <si>
    <t>Load_TR9_F6_4</t>
  </si>
  <si>
    <t>TR9_six82</t>
  </si>
  <si>
    <t>Load_TR9_F6_40</t>
  </si>
  <si>
    <t>TR9_six523</t>
  </si>
  <si>
    <t>Load_TR9_F6_41</t>
  </si>
  <si>
    <t>TR9_six534</t>
  </si>
  <si>
    <t>Load_TR9_F6_43</t>
  </si>
  <si>
    <t>TR9_six583</t>
  </si>
  <si>
    <t>Load_TR9_F6_46</t>
  </si>
  <si>
    <t>TR9_six625</t>
  </si>
  <si>
    <t>Load_TR9_F6_48</t>
  </si>
  <si>
    <t>TR9_six646</t>
  </si>
  <si>
    <t>Load_TR9_F6_49</t>
  </si>
  <si>
    <t>TR9_six651</t>
  </si>
  <si>
    <t>Load_TR9_F6_54</t>
  </si>
  <si>
    <t>TR9_six718</t>
  </si>
  <si>
    <t>Load_TR9_F6_55</t>
  </si>
  <si>
    <t>TR9_six721</t>
  </si>
  <si>
    <t>Load_TR9_F6_57</t>
  </si>
  <si>
    <t>TR9_six740</t>
  </si>
  <si>
    <t>Load_TR9_F6_58</t>
  </si>
  <si>
    <t>TR9_six758</t>
  </si>
  <si>
    <t>Load_TR9_F6_59</t>
  </si>
  <si>
    <t>TR9_six784</t>
  </si>
  <si>
    <t>Load_TR9_F6_6</t>
  </si>
  <si>
    <t>TR9_six90</t>
  </si>
  <si>
    <t>Load_TR9_F6_60</t>
  </si>
  <si>
    <t>TR9_six799</t>
  </si>
  <si>
    <t>Load_TR9_F6_61</t>
  </si>
  <si>
    <t>TR9_six801</t>
  </si>
  <si>
    <t>Load_TR9_F6_62</t>
  </si>
  <si>
    <t>TR9_six807</t>
  </si>
  <si>
    <t>Load_TR9_F6_63</t>
  </si>
  <si>
    <t>TR9_six844</t>
  </si>
  <si>
    <t>Load_TR9_F6_64</t>
  </si>
  <si>
    <t>TR9_six852</t>
  </si>
  <si>
    <t>Load_TR9_F6_65</t>
  </si>
  <si>
    <t>TR9_six860</t>
  </si>
  <si>
    <t>Load_TR9_F6_67</t>
  </si>
  <si>
    <t>TR9_six885</t>
  </si>
  <si>
    <t>Load_TR9_F6_70</t>
  </si>
  <si>
    <t>TR9_six914</t>
  </si>
  <si>
    <t>Load_TR9_F6_71</t>
  </si>
  <si>
    <t>TR9_six921</t>
  </si>
  <si>
    <t>Load_TR9_F6_73</t>
  </si>
  <si>
    <t>TR9_six938</t>
  </si>
  <si>
    <t>Load_TR9_F6_76</t>
  </si>
  <si>
    <t>TR9_six967</t>
  </si>
  <si>
    <t>Load_TR9_F6_77</t>
  </si>
  <si>
    <t>TR9_six974</t>
  </si>
  <si>
    <t>Load_TR9_F6_79</t>
  </si>
  <si>
    <t>TR9_six990</t>
  </si>
  <si>
    <t>Load_TR9_F6_8</t>
  </si>
  <si>
    <t>TR9_six111</t>
  </si>
  <si>
    <t>Load_TR9_F6_80</t>
  </si>
  <si>
    <t>TR9_six1006</t>
  </si>
  <si>
    <t>Load_TR9_F6_82</t>
  </si>
  <si>
    <t>TR9_six1025</t>
  </si>
  <si>
    <t>Load_TR9_F6_83</t>
  </si>
  <si>
    <t>TR9_six1064</t>
  </si>
  <si>
    <t>Load_TR9_F6_9</t>
  </si>
  <si>
    <t>TR9_six128</t>
  </si>
  <si>
    <t>Raw PV per load</t>
  </si>
  <si>
    <t>Verbatim copy of PV_generation_kW (TR9_load_PV_48periods.xlsx).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</si>
  <si>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</si>
  <si>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</si>
  <si>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</si>
  <si>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</si>
  <si>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</si>
  <si>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</si>
  <si>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</si>
  <si>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</si>
  <si>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</si>
  <si>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</si>
  <si>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</si>
  <si>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</si>
  <si>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</si>
  <si>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</si>
  <si>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</si>
  <si>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</si>
  <si>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</si>
  <si>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</si>
  <si>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</si>
  <si>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</si>
  <si>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</si>
  <si>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</si>
  <si>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</si>
  <si>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</si>
  <si>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</si>
  <si>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</si>
  <si>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</si>
  <si>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</si>
  <si>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</si>
  <si>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</si>
  <si>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</si>
  <si>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</si>
  <si>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</si>
  <si>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</si>
  <si>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</si>
  <si>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</si>
  <si>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</si>
  <si>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</si>
  <si>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</si>
  <si>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</si>
  <si>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</si>
  <si>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</si>
  <si>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</si>
  <si>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</si>
  <si>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</si>
  <si>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</si>
  <si>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</si>
  <si>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</si>
  <si>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</si>
  <si>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(TR9_load_PV_48periods.xlsx), tagged by type. One row per connection, 48 half-hours (kW).</t>
  </si>
  <si>
    <t>Raw batt charge</t>
  </si>
  <si>
    <t>Verbatim copy of Charge_kW (TR9_analysis_data.xlsx). One row per half-hour, one column per battery (kW).</t>
  </si>
  <si>
    <t>period</t>
  </si>
  <si>
    <t>hour</t>
  </si>
  <si>
    <t>BES_TR9_two267_C</t>
  </si>
  <si>
    <t>BES_TR9_two275_C</t>
  </si>
  <si>
    <t>BES_TR9_two292_B</t>
  </si>
  <si>
    <t>BES_TR9_two306_A</t>
  </si>
  <si>
    <t>BES_TR9_two308_A</t>
  </si>
  <si>
    <t>BES_TR9_two312_C</t>
  </si>
  <si>
    <t>BES_TR9_two313_C</t>
  </si>
  <si>
    <t>BES_TR9_two315_A</t>
  </si>
  <si>
    <t>BES_TR9_two316_A</t>
  </si>
  <si>
    <t>BES_TR9_two339_A</t>
  </si>
  <si>
    <t>BES_TR9_two225_C</t>
  </si>
  <si>
    <t>BES_TR9_two233_A</t>
  </si>
  <si>
    <t>BES_TR9_five147_C</t>
  </si>
  <si>
    <t>BES_TR9_five149_A</t>
  </si>
  <si>
    <t>BES_TR9_five160_C</t>
  </si>
  <si>
    <t>BES_TR9_five170_A</t>
  </si>
  <si>
    <t>BES_TR9_five177_A</t>
  </si>
  <si>
    <t>BES_TR9_five220_C</t>
  </si>
  <si>
    <t>BES_TR9_five67_C</t>
  </si>
  <si>
    <t>BES_TR9_five284_C</t>
  </si>
  <si>
    <t>BES_TR9_five345_A</t>
  </si>
  <si>
    <t>BES_TR9_five355_A</t>
  </si>
  <si>
    <t>BES_TR9_five78_A</t>
  </si>
  <si>
    <t>BES_TR9_five394_C</t>
  </si>
  <si>
    <t>BES_TR9_five445_C</t>
  </si>
  <si>
    <t>BES_TR9_five499_B</t>
  </si>
  <si>
    <t>BES_TR9_five92_A</t>
  </si>
  <si>
    <t>BES_TR9_five520_C</t>
  </si>
  <si>
    <t>BES_TR9_five545_B</t>
  </si>
  <si>
    <t>BES_TR9_five588_A</t>
  </si>
  <si>
    <t>BES_TR9_five670_C</t>
  </si>
  <si>
    <t>BES_TR9_five685_B</t>
  </si>
  <si>
    <t>BES_TR9_five704_A</t>
  </si>
  <si>
    <t>BES_TR9_five719_A</t>
  </si>
  <si>
    <t>BES_TR9_five748_B</t>
  </si>
  <si>
    <t>BES_TR9_five117_B</t>
  </si>
  <si>
    <t>BES_TR9_five778_B</t>
  </si>
  <si>
    <t>BES_TR9_five799_C</t>
  </si>
  <si>
    <t>BES_TR9_five801_C</t>
  </si>
  <si>
    <t>BES_TR9_five881_C</t>
  </si>
  <si>
    <t>BES_TR9_five123_B</t>
  </si>
  <si>
    <t>BES_TR9_six186_A</t>
  </si>
  <si>
    <t>BES_TR9_six191_B</t>
  </si>
  <si>
    <t>BES_TR9_six203_A</t>
  </si>
  <si>
    <t>BES_TR9_six232_C</t>
  </si>
  <si>
    <t>BES_TR9_six238_A</t>
  </si>
  <si>
    <t>BES_TR9_six249_B</t>
  </si>
  <si>
    <t>BES_TR9_six269_C</t>
  </si>
  <si>
    <t>BES_TR9_six289_C</t>
  </si>
  <si>
    <t>BES_TR9_six326_A</t>
  </si>
  <si>
    <t>BES_TR9_six349_A</t>
  </si>
  <si>
    <t>BES_TR9_six362_C</t>
  </si>
  <si>
    <t>BES_TR9_six365_C</t>
  </si>
  <si>
    <t>BES_TR9_six385_B</t>
  </si>
  <si>
    <t>BES_TR9_six387_A</t>
  </si>
  <si>
    <t>BES_TR9_six431_C</t>
  </si>
  <si>
    <t>BES_TR9_six441_A</t>
  </si>
  <si>
    <t>BES_TR9_six501_A</t>
  </si>
  <si>
    <t>BES_TR9_six512_B</t>
  </si>
  <si>
    <t>BES_TR9_six82_A</t>
  </si>
  <si>
    <t>BES_TR9_six523_C</t>
  </si>
  <si>
    <t>BES_TR9_six534_B</t>
  </si>
  <si>
    <t>BES_TR9_six583_A</t>
  </si>
  <si>
    <t>BES_TR9_six625_A</t>
  </si>
  <si>
    <t>BES_TR9_six646_B</t>
  </si>
  <si>
    <t>BES_TR9_six651_C</t>
  </si>
  <si>
    <t>BES_TR9_six718_C</t>
  </si>
  <si>
    <t>BES_TR9_six721_A</t>
  </si>
  <si>
    <t>BES_TR9_six740_A</t>
  </si>
  <si>
    <t>BES_TR9_six758_B</t>
  </si>
  <si>
    <t>BES_TR9_six784_B</t>
  </si>
  <si>
    <t>BES_TR9_six90_B</t>
  </si>
  <si>
    <t>BES_TR9_six799_B</t>
  </si>
  <si>
    <t>BES_TR9_six801_C</t>
  </si>
  <si>
    <t>BES_TR9_six807_A</t>
  </si>
  <si>
    <t>BES_TR9_six844_C</t>
  </si>
  <si>
    <t>BES_TR9_six852_B</t>
  </si>
  <si>
    <t>BES_TR9_six860_C</t>
  </si>
  <si>
    <t>BES_TR9_six885_A</t>
  </si>
  <si>
    <t>BES_TR9_six914_A</t>
  </si>
  <si>
    <t>BES_TR9_six921_B</t>
  </si>
  <si>
    <t>BES_TR9_six938_A</t>
  </si>
  <si>
    <t>BES_TR9_six967_B</t>
  </si>
  <si>
    <t>BES_TR9_six974_C</t>
  </si>
  <si>
    <t>BES_TR9_six990_B</t>
  </si>
  <si>
    <t>BES_TR9_six111_C</t>
  </si>
  <si>
    <t>BES_TR9_six1006_C</t>
  </si>
  <si>
    <t>BES_TR9_six1025_B</t>
  </si>
  <si>
    <t>BES_TR9_six1064_C</t>
  </si>
  <si>
    <t>BES_TR9_six128_B</t>
  </si>
  <si>
    <t>Raw batt discharge</t>
  </si>
  <si>
    <t>Verbatim copy of Discharge_kW (TR9_analysis_data.xlsx). One row per half-hour, one column per battery (kW).</t>
  </si>
  <si>
    <t>TR9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</si>
  <si>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</si>
  <si>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</si>
  <si>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</si>
  <si>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</si>
  <si>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</si>
  <si>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</si>
  <si>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</si>
  <si>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</si>
  <si>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</si>
  <si>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</si>
  <si>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</si>
  <si>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</si>
  <si>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</si>
  <si>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</si>
  <si>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</si>
  <si>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172 connections at 00:00). Click it to see the formula.</t>
  </si>
  <si>
    <t>TR9 PV allocation — results</t>
  </si>
  <si>
    <t>Where the day's PV goes</t>
  </si>
  <si>
    <t>How the customers (82)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</si>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</sst>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166" fontId="0" fillId="0" borderId="0" xfId="0" applyNumberFormat="1"/>
    <xf numFmtId="0" fontId="0" fillId="5" borderId="1" xfId="0" applyFill="1" applyBorder="1"/>
    <xf numFmtId="166" fontId="0" fillId="5" borderId="0" xfId="0" applyNumberFormat="1" applyFill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0.23789999999999978</c:v>
                </c:pt>
                <c:pt idx="8">
                  <c:v>3.4500000000000015</c:v>
                </c:pt>
                <c:pt idx="9">
                  <c:v>11.067599999999997</c:v>
                </c:pt>
                <c:pt idx="10">
                  <c:v>11.397799999999995</c:v>
                </c:pt>
                <c:pt idx="11">
                  <c:v>13.602100000000004</c:v>
                </c:pt>
                <c:pt idx="12">
                  <c:v>12.951000000000002</c:v>
                </c:pt>
                <c:pt idx="13">
                  <c:v>14.990500000000001</c:v>
                </c:pt>
                <c:pt idx="14">
                  <c:v>20.000800000000012</c:v>
                </c:pt>
                <c:pt idx="15">
                  <c:v>21.9619</c:v>
                </c:pt>
                <c:pt idx="16">
                  <c:v>22.571499999999997</c:v>
                </c:pt>
                <c:pt idx="17">
                  <c:v>26.924700000000001</c:v>
                </c:pt>
                <c:pt idx="18">
                  <c:v>31.677300000000006</c:v>
                </c:pt>
                <c:pt idx="19">
                  <c:v>33.960800000000013</c:v>
                </c:pt>
                <c:pt idx="20">
                  <c:v>32.055799999999998</c:v>
                </c:pt>
                <c:pt idx="21">
                  <c:v>26.4863</c:v>
                </c:pt>
                <c:pt idx="22">
                  <c:v>27.222399999999993</c:v>
                </c:pt>
                <c:pt idx="23">
                  <c:v>35.522799999999975</c:v>
                </c:pt>
                <c:pt idx="24">
                  <c:v>28.341399999999993</c:v>
                </c:pt>
                <c:pt idx="25">
                  <c:v>25.361599999999992</c:v>
                </c:pt>
                <c:pt idx="26">
                  <c:v>26.094099999999994</c:v>
                </c:pt>
                <c:pt idx="27">
                  <c:v>29.139500000000002</c:v>
                </c:pt>
                <c:pt idx="28">
                  <c:v>24.530000000000015</c:v>
                </c:pt>
                <c:pt idx="29">
                  <c:v>27.646600000000003</c:v>
                </c:pt>
                <c:pt idx="30">
                  <c:v>30.702299999999997</c:v>
                </c:pt>
                <c:pt idx="31">
                  <c:v>25.755900000000004</c:v>
                </c:pt>
                <c:pt idx="32">
                  <c:v>31.390399999999996</c:v>
                </c:pt>
                <c:pt idx="33">
                  <c:v>30.872299999999992</c:v>
                </c:pt>
                <c:pt idx="34">
                  <c:v>34.6158</c:v>
                </c:pt>
                <c:pt idx="35">
                  <c:v>38.208399999999997</c:v>
                </c:pt>
                <c:pt idx="36">
                  <c:v>31.357800000000015</c:v>
                </c:pt>
                <c:pt idx="37">
                  <c:v>35.34320000000001</c:v>
                </c:pt>
                <c:pt idx="38">
                  <c:v>25.551600000000018</c:v>
                </c:pt>
                <c:pt idx="39">
                  <c:v>7.4369999999999976</c:v>
                </c:pt>
                <c:pt idx="40">
                  <c:v>1.3727000000000005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8-4087-B6CB-0123553DA60C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5.0681000000000029</c:v>
                </c:pt>
                <c:pt idx="10">
                  <c:v>20.6066</c:v>
                </c:pt>
                <c:pt idx="11">
                  <c:v>37.861999999999995</c:v>
                </c:pt>
                <c:pt idx="12">
                  <c:v>59.747099999999939</c:v>
                </c:pt>
                <c:pt idx="13">
                  <c:v>79.201999999999941</c:v>
                </c:pt>
                <c:pt idx="14">
                  <c:v>95.176999999999964</c:v>
                </c:pt>
                <c:pt idx="15">
                  <c:v>106.20099999999996</c:v>
                </c:pt>
                <c:pt idx="16">
                  <c:v>76.115999999999971</c:v>
                </c:pt>
                <c:pt idx="17">
                  <c:v>48.046000000000006</c:v>
                </c:pt>
                <c:pt idx="18">
                  <c:v>27.724000000000004</c:v>
                </c:pt>
                <c:pt idx="19">
                  <c:v>17.877000000000002</c:v>
                </c:pt>
                <c:pt idx="20">
                  <c:v>13.923000000000002</c:v>
                </c:pt>
                <c:pt idx="21">
                  <c:v>8.1429999999999989</c:v>
                </c:pt>
                <c:pt idx="22">
                  <c:v>2.9482999999999997</c:v>
                </c:pt>
                <c:pt idx="23">
                  <c:v>0</c:v>
                </c:pt>
                <c:pt idx="24">
                  <c:v>1.577</c:v>
                </c:pt>
                <c:pt idx="25">
                  <c:v>2.8050000000000006</c:v>
                </c:pt>
                <c:pt idx="26">
                  <c:v>1.4930000000000003</c:v>
                </c:pt>
                <c:pt idx="27">
                  <c:v>2.8409999999999997</c:v>
                </c:pt>
                <c:pt idx="28">
                  <c:v>1.6339999999999999</c:v>
                </c:pt>
                <c:pt idx="29">
                  <c:v>2.3570000000000002</c:v>
                </c:pt>
                <c:pt idx="30">
                  <c:v>0</c:v>
                </c:pt>
                <c:pt idx="31">
                  <c:v>1.6320000000000003</c:v>
                </c:pt>
                <c:pt idx="32">
                  <c:v>0.49199999999999988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8-4087-B6CB-0123553DA60C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3.500000000016712E-3</c:v>
                </c:pt>
                <c:pt idx="12">
                  <c:v>0</c:v>
                </c:pt>
                <c:pt idx="13">
                  <c:v>0</c:v>
                </c:pt>
                <c:pt idx="14">
                  <c:v>0.39939999999995734</c:v>
                </c:pt>
                <c:pt idx="15">
                  <c:v>8.8259000000000043</c:v>
                </c:pt>
                <c:pt idx="16">
                  <c:v>28.919699999999988</c:v>
                </c:pt>
                <c:pt idx="17">
                  <c:v>21.191599999999994</c:v>
                </c:pt>
                <c:pt idx="18">
                  <c:v>26.965700000000005</c:v>
                </c:pt>
                <c:pt idx="19">
                  <c:v>32.172700000000013</c:v>
                </c:pt>
                <c:pt idx="20">
                  <c:v>28.8352</c:v>
                </c:pt>
                <c:pt idx="21">
                  <c:v>30.3401</c:v>
                </c:pt>
                <c:pt idx="22">
                  <c:v>39.402699999999982</c:v>
                </c:pt>
                <c:pt idx="23">
                  <c:v>33.076200000000007</c:v>
                </c:pt>
                <c:pt idx="24">
                  <c:v>32.055800000000012</c:v>
                </c:pt>
                <c:pt idx="25">
                  <c:v>35.909499999999994</c:v>
                </c:pt>
                <c:pt idx="26">
                  <c:v>39.724999999999987</c:v>
                </c:pt>
                <c:pt idx="27">
                  <c:v>26.840599999999998</c:v>
                </c:pt>
                <c:pt idx="28">
                  <c:v>31.16180000000001</c:v>
                </c:pt>
                <c:pt idx="29">
                  <c:v>30.018100000000008</c:v>
                </c:pt>
                <c:pt idx="30">
                  <c:v>25.91940000000001</c:v>
                </c:pt>
                <c:pt idx="31">
                  <c:v>21.366800000000005</c:v>
                </c:pt>
                <c:pt idx="32">
                  <c:v>22.702899999999996</c:v>
                </c:pt>
                <c:pt idx="33">
                  <c:v>25.575200000000013</c:v>
                </c:pt>
                <c:pt idx="34">
                  <c:v>25.967999999999996</c:v>
                </c:pt>
                <c:pt idx="35">
                  <c:v>29.707899999999995</c:v>
                </c:pt>
                <c:pt idx="36">
                  <c:v>32.670099999999948</c:v>
                </c:pt>
                <c:pt idx="37">
                  <c:v>8.4170000000000016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F8-4087-B6CB-0123553DA60C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29.479400000000059</c:v>
                </c:pt>
                <c:pt idx="17">
                  <c:v>79.819200000000038</c:v>
                </c:pt>
                <c:pt idx="18">
                  <c:v>105.7037</c:v>
                </c:pt>
                <c:pt idx="19">
                  <c:v>121.78349999999986</c:v>
                </c:pt>
                <c:pt idx="20">
                  <c:v>143.02349999999979</c:v>
                </c:pt>
                <c:pt idx="21">
                  <c:v>162.81079999999983</c:v>
                </c:pt>
                <c:pt idx="22">
                  <c:v>165.26049999999989</c:v>
                </c:pt>
                <c:pt idx="23">
                  <c:v>169.32949999999985</c:v>
                </c:pt>
                <c:pt idx="24">
                  <c:v>176.84919999999991</c:v>
                </c:pt>
                <c:pt idx="25">
                  <c:v>173.06960000000009</c:v>
                </c:pt>
                <c:pt idx="26">
                  <c:v>164.20459999999989</c:v>
                </c:pt>
                <c:pt idx="27">
                  <c:v>164.10330000000005</c:v>
                </c:pt>
                <c:pt idx="28">
                  <c:v>155.34329999999983</c:v>
                </c:pt>
                <c:pt idx="29">
                  <c:v>139.6525</c:v>
                </c:pt>
                <c:pt idx="30">
                  <c:v>129.24200000000002</c:v>
                </c:pt>
                <c:pt idx="31">
                  <c:v>120.49100000000013</c:v>
                </c:pt>
                <c:pt idx="32">
                  <c:v>95.945499999999996</c:v>
                </c:pt>
                <c:pt idx="33">
                  <c:v>71.485799999999969</c:v>
                </c:pt>
                <c:pt idx="34">
                  <c:v>46.19819999999995</c:v>
                </c:pt>
                <c:pt idx="35">
                  <c:v>17.132699999999943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F8-4087-B6CB-0123553DA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hour of 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1"/>
              <c:layout>
                <c:manualLayout>
                  <c:x val="0"/>
                  <c:y val="-4.40972222222223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3-4C17-BFA5-2B3D03BD1564}"/>
                </c:ext>
              </c:extLst>
            </c:dLbl>
            <c:dLbl>
              <c:idx val="2"/>
              <c:layout>
                <c:manualLayout>
                  <c:x val="0"/>
                  <c:y val="-3.08680555555556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3-4C17-BFA5-2B3D03BD15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399.90090000000004</c:v>
                </c:pt>
                <c:pt idx="1">
                  <c:v>306.73604999999986</c:v>
                </c:pt>
                <c:pt idx="2">
                  <c:v>319.08539999999994</c:v>
                </c:pt>
                <c:pt idx="3">
                  <c:v>1215.4638999999993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3-4C17-BFA5-2B3D03BD1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/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D9A-43A3-87EB-16DDFB3E408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319.08539999999994</c:v>
                </c:pt>
                <c:pt idx="1">
                  <c:v>285.99210000000005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A-43A3-87EB-16DDFB3E4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8001000" cy="369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38100</xdr:colOff>
      <xdr:row>32</xdr:row>
      <xdr:rowOff>0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tabSelected="1" workbookViewId="0"/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20.570312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90</v>
      </c>
      <c r="D27" s="7" t="s">
        <v>28</v>
      </c>
    </row>
    <row r="28" spans="2:5" x14ac:dyDescent="0.25">
      <c r="B28" s="6" t="s">
        <v>29</v>
      </c>
      <c r="C28" s="7">
        <v>82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2241.1862499999988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399.90090000000004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306.73604999999986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319.08539999999994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1215.4638999999993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0.14237344174318403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0.52734633166825728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0.47265366833174272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6"/>
  <sheetViews>
    <sheetView showGridLines="0" workbookViewId="0">
      <pane ySplit="4" topLeftCell="A6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2259</v>
      </c>
      <c r="B5" s="12" t="s">
        <v>55</v>
      </c>
      <c r="C5" s="10" t="s">
        <v>56</v>
      </c>
      <c r="D5" s="10">
        <v>3</v>
      </c>
      <c r="E5" s="10">
        <v>0</v>
      </c>
      <c r="F5" s="10" t="s">
        <v>57</v>
      </c>
    </row>
    <row r="6" spans="1:6" x14ac:dyDescent="0.25">
      <c r="A6" s="10">
        <v>2260</v>
      </c>
      <c r="B6" s="12" t="s">
        <v>58</v>
      </c>
      <c r="C6" s="10" t="s">
        <v>59</v>
      </c>
      <c r="D6" s="10">
        <v>1</v>
      </c>
      <c r="E6" s="10">
        <v>0</v>
      </c>
      <c r="F6" s="10" t="s">
        <v>57</v>
      </c>
    </row>
    <row r="7" spans="1:6" x14ac:dyDescent="0.25">
      <c r="A7" s="10">
        <v>2263</v>
      </c>
      <c r="B7" s="12" t="s">
        <v>60</v>
      </c>
      <c r="C7" s="10" t="s">
        <v>61</v>
      </c>
      <c r="D7" s="10">
        <v>2</v>
      </c>
      <c r="E7" s="10">
        <v>0</v>
      </c>
      <c r="F7" s="10" t="s">
        <v>57</v>
      </c>
    </row>
    <row r="8" spans="1:6" x14ac:dyDescent="0.25">
      <c r="A8" s="10">
        <v>2270</v>
      </c>
      <c r="B8" s="12" t="s">
        <v>62</v>
      </c>
      <c r="C8" s="10" t="s">
        <v>63</v>
      </c>
      <c r="D8" s="10">
        <v>2</v>
      </c>
      <c r="E8" s="10">
        <v>0</v>
      </c>
      <c r="F8" s="10" t="s">
        <v>57</v>
      </c>
    </row>
    <row r="9" spans="1:6" x14ac:dyDescent="0.25">
      <c r="A9" s="10">
        <v>2273</v>
      </c>
      <c r="B9" s="12" t="s">
        <v>64</v>
      </c>
      <c r="C9" s="10" t="s">
        <v>65</v>
      </c>
      <c r="D9" s="10">
        <v>2</v>
      </c>
      <c r="E9" s="10">
        <v>0</v>
      </c>
      <c r="F9" s="10" t="s">
        <v>57</v>
      </c>
    </row>
    <row r="10" spans="1:6" x14ac:dyDescent="0.25">
      <c r="A10" s="10">
        <v>2274</v>
      </c>
      <c r="B10" s="12" t="s">
        <v>66</v>
      </c>
      <c r="C10" s="10" t="s">
        <v>67</v>
      </c>
      <c r="D10" s="10">
        <v>1</v>
      </c>
      <c r="E10" s="10">
        <v>0</v>
      </c>
      <c r="F10" s="10" t="s">
        <v>57</v>
      </c>
    </row>
    <row r="11" spans="1:6" x14ac:dyDescent="0.25">
      <c r="A11" s="10">
        <v>2276</v>
      </c>
      <c r="B11" s="12" t="s">
        <v>68</v>
      </c>
      <c r="C11" s="10" t="s">
        <v>69</v>
      </c>
      <c r="D11" s="10">
        <v>1</v>
      </c>
      <c r="E11" s="10">
        <v>0</v>
      </c>
      <c r="F11" s="10" t="s">
        <v>57</v>
      </c>
    </row>
    <row r="12" spans="1:6" x14ac:dyDescent="0.25">
      <c r="A12" s="10">
        <v>2278</v>
      </c>
      <c r="B12" s="12" t="s">
        <v>70</v>
      </c>
      <c r="C12" s="10" t="s">
        <v>71</v>
      </c>
      <c r="D12" s="10">
        <v>3</v>
      </c>
      <c r="E12" s="10">
        <v>0</v>
      </c>
      <c r="F12" s="10" t="s">
        <v>57</v>
      </c>
    </row>
    <row r="13" spans="1:6" x14ac:dyDescent="0.25">
      <c r="A13" s="10">
        <v>2279</v>
      </c>
      <c r="B13" s="12" t="s">
        <v>72</v>
      </c>
      <c r="C13" s="10" t="s">
        <v>73</v>
      </c>
      <c r="D13" s="10">
        <v>2</v>
      </c>
      <c r="E13" s="10">
        <v>0</v>
      </c>
      <c r="F13" s="10" t="s">
        <v>57</v>
      </c>
    </row>
    <row r="14" spans="1:6" x14ac:dyDescent="0.25">
      <c r="A14" s="10">
        <v>2280</v>
      </c>
      <c r="B14" s="12" t="s">
        <v>74</v>
      </c>
      <c r="C14" s="10" t="s">
        <v>75</v>
      </c>
      <c r="D14" s="10">
        <v>3</v>
      </c>
      <c r="E14" s="10">
        <v>0</v>
      </c>
      <c r="F14" s="10" t="s">
        <v>57</v>
      </c>
    </row>
    <row r="15" spans="1:6" x14ac:dyDescent="0.25">
      <c r="A15" s="10">
        <v>2284</v>
      </c>
      <c r="B15" s="12" t="s">
        <v>76</v>
      </c>
      <c r="C15" s="10" t="s">
        <v>77</v>
      </c>
      <c r="D15" s="10">
        <v>1</v>
      </c>
      <c r="E15" s="10">
        <v>0</v>
      </c>
      <c r="F15" s="10" t="s">
        <v>57</v>
      </c>
    </row>
    <row r="16" spans="1:6" x14ac:dyDescent="0.25">
      <c r="A16" s="10">
        <v>2287</v>
      </c>
      <c r="B16" s="12" t="s">
        <v>78</v>
      </c>
      <c r="C16" s="10" t="s">
        <v>79</v>
      </c>
      <c r="D16" s="10">
        <v>3</v>
      </c>
      <c r="E16" s="10">
        <v>0</v>
      </c>
      <c r="F16" s="10" t="s">
        <v>57</v>
      </c>
    </row>
    <row r="17" spans="1:6" x14ac:dyDescent="0.25">
      <c r="A17" s="10">
        <v>2288</v>
      </c>
      <c r="B17" s="12" t="s">
        <v>80</v>
      </c>
      <c r="C17" s="10" t="s">
        <v>81</v>
      </c>
      <c r="D17" s="10">
        <v>3</v>
      </c>
      <c r="E17" s="10">
        <v>0</v>
      </c>
      <c r="F17" s="10" t="s">
        <v>57</v>
      </c>
    </row>
    <row r="18" spans="1:6" x14ac:dyDescent="0.25">
      <c r="A18" s="10">
        <v>2289</v>
      </c>
      <c r="B18" s="12" t="s">
        <v>82</v>
      </c>
      <c r="C18" s="10" t="s">
        <v>83</v>
      </c>
      <c r="D18" s="10">
        <v>3</v>
      </c>
      <c r="E18" s="10">
        <v>0</v>
      </c>
      <c r="F18" s="10" t="s">
        <v>57</v>
      </c>
    </row>
    <row r="19" spans="1:6" x14ac:dyDescent="0.25">
      <c r="A19" s="10">
        <v>2292</v>
      </c>
      <c r="B19" s="12" t="s">
        <v>84</v>
      </c>
      <c r="C19" s="10" t="s">
        <v>85</v>
      </c>
      <c r="D19" s="10">
        <v>1</v>
      </c>
      <c r="E19" s="10">
        <v>0</v>
      </c>
      <c r="F19" s="10" t="s">
        <v>57</v>
      </c>
    </row>
    <row r="20" spans="1:6" x14ac:dyDescent="0.25">
      <c r="A20" s="10">
        <v>2293</v>
      </c>
      <c r="B20" s="12" t="s">
        <v>86</v>
      </c>
      <c r="C20" s="10" t="s">
        <v>87</v>
      </c>
      <c r="D20" s="10">
        <v>1</v>
      </c>
      <c r="E20" s="10">
        <v>0</v>
      </c>
      <c r="F20" s="10" t="s">
        <v>57</v>
      </c>
    </row>
    <row r="21" spans="1:6" x14ac:dyDescent="0.25">
      <c r="A21" s="10">
        <v>2294</v>
      </c>
      <c r="B21" s="12" t="s">
        <v>88</v>
      </c>
      <c r="C21" s="10" t="s">
        <v>89</v>
      </c>
      <c r="D21" s="10">
        <v>2</v>
      </c>
      <c r="E21" s="10">
        <v>0</v>
      </c>
      <c r="F21" s="10" t="s">
        <v>57</v>
      </c>
    </row>
    <row r="22" spans="1:6" x14ac:dyDescent="0.25">
      <c r="A22" s="10">
        <v>2296</v>
      </c>
      <c r="B22" s="12" t="s">
        <v>90</v>
      </c>
      <c r="C22" s="10" t="s">
        <v>91</v>
      </c>
      <c r="D22" s="10">
        <v>2</v>
      </c>
      <c r="E22" s="10">
        <v>0</v>
      </c>
      <c r="F22" s="10" t="s">
        <v>57</v>
      </c>
    </row>
    <row r="23" spans="1:6" x14ac:dyDescent="0.25">
      <c r="A23" s="10">
        <v>2297</v>
      </c>
      <c r="B23" s="12" t="s">
        <v>92</v>
      </c>
      <c r="C23" s="10" t="s">
        <v>93</v>
      </c>
      <c r="D23" s="10">
        <v>2</v>
      </c>
      <c r="E23" s="10">
        <v>0</v>
      </c>
      <c r="F23" s="10" t="s">
        <v>57</v>
      </c>
    </row>
    <row r="24" spans="1:6" x14ac:dyDescent="0.25">
      <c r="A24" s="10">
        <v>2298</v>
      </c>
      <c r="B24" s="12" t="s">
        <v>94</v>
      </c>
      <c r="C24" s="10" t="s">
        <v>95</v>
      </c>
      <c r="D24" s="10">
        <v>3</v>
      </c>
      <c r="E24" s="10">
        <v>0</v>
      </c>
      <c r="F24" s="10" t="s">
        <v>57</v>
      </c>
    </row>
    <row r="25" spans="1:6" x14ac:dyDescent="0.25">
      <c r="A25" s="10">
        <v>2299</v>
      </c>
      <c r="B25" s="12" t="s">
        <v>96</v>
      </c>
      <c r="C25" s="10" t="s">
        <v>97</v>
      </c>
      <c r="D25" s="10">
        <v>2</v>
      </c>
      <c r="E25" s="10">
        <v>0</v>
      </c>
      <c r="F25" s="10" t="s">
        <v>57</v>
      </c>
    </row>
    <row r="26" spans="1:6" x14ac:dyDescent="0.25">
      <c r="A26" s="10">
        <v>2304</v>
      </c>
      <c r="B26" s="12" t="s">
        <v>98</v>
      </c>
      <c r="C26" s="10" t="s">
        <v>99</v>
      </c>
      <c r="D26" s="10">
        <v>1</v>
      </c>
      <c r="E26" s="10">
        <v>0</v>
      </c>
      <c r="F26" s="10" t="s">
        <v>57</v>
      </c>
    </row>
    <row r="27" spans="1:6" x14ac:dyDescent="0.25">
      <c r="A27" s="10">
        <v>2306</v>
      </c>
      <c r="B27" s="12" t="s">
        <v>100</v>
      </c>
      <c r="C27" s="10" t="s">
        <v>101</v>
      </c>
      <c r="D27" s="10">
        <v>1</v>
      </c>
      <c r="E27" s="10">
        <v>0</v>
      </c>
      <c r="F27" s="10" t="s">
        <v>57</v>
      </c>
    </row>
    <row r="28" spans="1:6" x14ac:dyDescent="0.25">
      <c r="A28" s="10">
        <v>2307</v>
      </c>
      <c r="B28" s="12" t="s">
        <v>102</v>
      </c>
      <c r="C28" s="10" t="s">
        <v>103</v>
      </c>
      <c r="D28" s="10">
        <v>2</v>
      </c>
      <c r="E28" s="10">
        <v>0</v>
      </c>
      <c r="F28" s="10" t="s">
        <v>57</v>
      </c>
    </row>
    <row r="29" spans="1:6" x14ac:dyDescent="0.25">
      <c r="A29" s="10">
        <v>2308</v>
      </c>
      <c r="B29" s="12" t="s">
        <v>104</v>
      </c>
      <c r="C29" s="10" t="s">
        <v>105</v>
      </c>
      <c r="D29" s="10">
        <v>1</v>
      </c>
      <c r="E29" s="10">
        <v>0</v>
      </c>
      <c r="F29" s="10" t="s">
        <v>57</v>
      </c>
    </row>
    <row r="30" spans="1:6" x14ac:dyDescent="0.25">
      <c r="A30" s="10">
        <v>2309</v>
      </c>
      <c r="B30" s="12" t="s">
        <v>106</v>
      </c>
      <c r="C30" s="10" t="s">
        <v>107</v>
      </c>
      <c r="D30" s="10">
        <v>1</v>
      </c>
      <c r="E30" s="10">
        <v>0</v>
      </c>
      <c r="F30" s="10" t="s">
        <v>57</v>
      </c>
    </row>
    <row r="31" spans="1:6" x14ac:dyDescent="0.25">
      <c r="A31" s="10">
        <v>2310</v>
      </c>
      <c r="B31" s="12" t="s">
        <v>108</v>
      </c>
      <c r="C31" s="10" t="s">
        <v>109</v>
      </c>
      <c r="D31" s="10">
        <v>2</v>
      </c>
      <c r="E31" s="10">
        <v>0</v>
      </c>
      <c r="F31" s="10" t="s">
        <v>57</v>
      </c>
    </row>
    <row r="32" spans="1:6" x14ac:dyDescent="0.25">
      <c r="A32" s="10">
        <v>2311</v>
      </c>
      <c r="B32" s="12" t="s">
        <v>110</v>
      </c>
      <c r="C32" s="10" t="s">
        <v>111</v>
      </c>
      <c r="D32" s="10">
        <v>2</v>
      </c>
      <c r="E32" s="10">
        <v>0</v>
      </c>
      <c r="F32" s="10" t="s">
        <v>57</v>
      </c>
    </row>
    <row r="33" spans="1:6" x14ac:dyDescent="0.25">
      <c r="A33" s="10">
        <v>2314</v>
      </c>
      <c r="B33" s="12" t="s">
        <v>112</v>
      </c>
      <c r="C33" s="10" t="s">
        <v>113</v>
      </c>
      <c r="D33" s="10">
        <v>1</v>
      </c>
      <c r="E33" s="10">
        <v>0</v>
      </c>
      <c r="F33" s="10" t="s">
        <v>57</v>
      </c>
    </row>
    <row r="34" spans="1:6" x14ac:dyDescent="0.25">
      <c r="A34" s="10">
        <v>2315</v>
      </c>
      <c r="B34" s="12" t="s">
        <v>114</v>
      </c>
      <c r="C34" s="10" t="s">
        <v>115</v>
      </c>
      <c r="D34" s="10">
        <v>2</v>
      </c>
      <c r="E34" s="10">
        <v>0</v>
      </c>
      <c r="F34" s="10" t="s">
        <v>57</v>
      </c>
    </row>
    <row r="35" spans="1:6" x14ac:dyDescent="0.25">
      <c r="A35" s="10">
        <v>2317</v>
      </c>
      <c r="B35" s="12" t="s">
        <v>116</v>
      </c>
      <c r="C35" s="10" t="s">
        <v>117</v>
      </c>
      <c r="D35" s="10">
        <v>3</v>
      </c>
      <c r="E35" s="10">
        <v>0</v>
      </c>
      <c r="F35" s="10" t="s">
        <v>57</v>
      </c>
    </row>
    <row r="36" spans="1:6" x14ac:dyDescent="0.25">
      <c r="A36" s="10">
        <v>2318</v>
      </c>
      <c r="B36" s="12" t="s">
        <v>118</v>
      </c>
      <c r="C36" s="10" t="s">
        <v>119</v>
      </c>
      <c r="D36" s="10">
        <v>1</v>
      </c>
      <c r="E36" s="10">
        <v>0</v>
      </c>
      <c r="F36" s="10" t="s">
        <v>57</v>
      </c>
    </row>
    <row r="37" spans="1:6" x14ac:dyDescent="0.25">
      <c r="A37" s="10">
        <v>2320</v>
      </c>
      <c r="B37" s="12" t="s">
        <v>120</v>
      </c>
      <c r="C37" s="10" t="s">
        <v>121</v>
      </c>
      <c r="D37" s="10">
        <v>3</v>
      </c>
      <c r="E37" s="10">
        <v>0</v>
      </c>
      <c r="F37" s="10" t="s">
        <v>57</v>
      </c>
    </row>
    <row r="38" spans="1:6" x14ac:dyDescent="0.25">
      <c r="A38" s="10">
        <v>2321</v>
      </c>
      <c r="B38" s="12" t="s">
        <v>122</v>
      </c>
      <c r="C38" s="10" t="s">
        <v>123</v>
      </c>
      <c r="D38" s="10">
        <v>1</v>
      </c>
      <c r="E38" s="10">
        <v>0</v>
      </c>
      <c r="F38" s="10" t="s">
        <v>57</v>
      </c>
    </row>
    <row r="39" spans="1:6" x14ac:dyDescent="0.25">
      <c r="A39" s="10">
        <v>2323</v>
      </c>
      <c r="B39" s="12" t="s">
        <v>124</v>
      </c>
      <c r="C39" s="10" t="s">
        <v>125</v>
      </c>
      <c r="D39" s="10">
        <v>2</v>
      </c>
      <c r="E39" s="10">
        <v>0</v>
      </c>
      <c r="F39" s="10" t="s">
        <v>57</v>
      </c>
    </row>
    <row r="40" spans="1:6" x14ac:dyDescent="0.25">
      <c r="A40" s="10">
        <v>2324</v>
      </c>
      <c r="B40" s="12" t="s">
        <v>126</v>
      </c>
      <c r="C40" s="10" t="s">
        <v>127</v>
      </c>
      <c r="D40" s="10">
        <v>2</v>
      </c>
      <c r="E40" s="10">
        <v>0</v>
      </c>
      <c r="F40" s="10" t="s">
        <v>57</v>
      </c>
    </row>
    <row r="41" spans="1:6" x14ac:dyDescent="0.25">
      <c r="A41" s="10">
        <v>2325</v>
      </c>
      <c r="B41" s="12" t="s">
        <v>128</v>
      </c>
      <c r="C41" s="10" t="s">
        <v>129</v>
      </c>
      <c r="D41" s="10">
        <v>1</v>
      </c>
      <c r="E41" s="10">
        <v>0</v>
      </c>
      <c r="F41" s="10" t="s">
        <v>57</v>
      </c>
    </row>
    <row r="42" spans="1:6" x14ac:dyDescent="0.25">
      <c r="A42" s="10">
        <v>2326</v>
      </c>
      <c r="B42" s="12" t="s">
        <v>130</v>
      </c>
      <c r="C42" s="10" t="s">
        <v>131</v>
      </c>
      <c r="D42" s="10">
        <v>3</v>
      </c>
      <c r="E42" s="10">
        <v>0</v>
      </c>
      <c r="F42" s="10" t="s">
        <v>57</v>
      </c>
    </row>
    <row r="43" spans="1:6" x14ac:dyDescent="0.25">
      <c r="A43" s="10">
        <v>2329</v>
      </c>
      <c r="B43" s="12" t="s">
        <v>132</v>
      </c>
      <c r="C43" s="10" t="s">
        <v>133</v>
      </c>
      <c r="D43" s="10">
        <v>1</v>
      </c>
      <c r="E43" s="10">
        <v>0</v>
      </c>
      <c r="F43" s="10" t="s">
        <v>57</v>
      </c>
    </row>
    <row r="44" spans="1:6" x14ac:dyDescent="0.25">
      <c r="A44" s="10">
        <v>2332</v>
      </c>
      <c r="B44" s="12" t="s">
        <v>134</v>
      </c>
      <c r="C44" s="10" t="s">
        <v>135</v>
      </c>
      <c r="D44" s="10">
        <v>3</v>
      </c>
      <c r="E44" s="10">
        <v>0</v>
      </c>
      <c r="F44" s="10" t="s">
        <v>57</v>
      </c>
    </row>
    <row r="45" spans="1:6" x14ac:dyDescent="0.25">
      <c r="A45" s="10">
        <v>2333</v>
      </c>
      <c r="B45" s="12" t="s">
        <v>136</v>
      </c>
      <c r="C45" s="10" t="s">
        <v>137</v>
      </c>
      <c r="D45" s="10">
        <v>1</v>
      </c>
      <c r="E45" s="10">
        <v>0</v>
      </c>
      <c r="F45" s="10" t="s">
        <v>57</v>
      </c>
    </row>
    <row r="46" spans="1:6" x14ac:dyDescent="0.25">
      <c r="A46" s="10">
        <v>2336</v>
      </c>
      <c r="B46" s="12" t="s">
        <v>138</v>
      </c>
      <c r="C46" s="10" t="s">
        <v>139</v>
      </c>
      <c r="D46" s="10">
        <v>2</v>
      </c>
      <c r="E46" s="10">
        <v>0</v>
      </c>
      <c r="F46" s="10" t="s">
        <v>57</v>
      </c>
    </row>
    <row r="47" spans="1:6" x14ac:dyDescent="0.25">
      <c r="A47" s="10">
        <v>2338</v>
      </c>
      <c r="B47" s="12" t="s">
        <v>140</v>
      </c>
      <c r="C47" s="10" t="s">
        <v>141</v>
      </c>
      <c r="D47" s="10">
        <v>1</v>
      </c>
      <c r="E47" s="10">
        <v>0</v>
      </c>
      <c r="F47" s="10" t="s">
        <v>57</v>
      </c>
    </row>
    <row r="48" spans="1:6" x14ac:dyDescent="0.25">
      <c r="A48" s="10">
        <v>2341</v>
      </c>
      <c r="B48" s="12" t="s">
        <v>142</v>
      </c>
      <c r="C48" s="10" t="s">
        <v>143</v>
      </c>
      <c r="D48" s="10">
        <v>2</v>
      </c>
      <c r="E48" s="10">
        <v>0</v>
      </c>
      <c r="F48" s="10" t="s">
        <v>57</v>
      </c>
    </row>
    <row r="49" spans="1:6" x14ac:dyDescent="0.25">
      <c r="A49" s="10">
        <v>2342</v>
      </c>
      <c r="B49" s="12" t="s">
        <v>144</v>
      </c>
      <c r="C49" s="10" t="s">
        <v>145</v>
      </c>
      <c r="D49" s="10">
        <v>3</v>
      </c>
      <c r="E49" s="10">
        <v>0</v>
      </c>
      <c r="F49" s="10" t="s">
        <v>57</v>
      </c>
    </row>
    <row r="50" spans="1:6" x14ac:dyDescent="0.25">
      <c r="A50" s="10">
        <v>2344</v>
      </c>
      <c r="B50" s="12" t="s">
        <v>146</v>
      </c>
      <c r="C50" s="10" t="s">
        <v>147</v>
      </c>
      <c r="D50" s="10">
        <v>2</v>
      </c>
      <c r="E50" s="10">
        <v>0</v>
      </c>
      <c r="F50" s="10" t="s">
        <v>57</v>
      </c>
    </row>
    <row r="51" spans="1:6" x14ac:dyDescent="0.25">
      <c r="A51" s="10">
        <v>2345</v>
      </c>
      <c r="B51" s="12" t="s">
        <v>148</v>
      </c>
      <c r="C51" s="10" t="s">
        <v>149</v>
      </c>
      <c r="D51" s="10">
        <v>2</v>
      </c>
      <c r="E51" s="10">
        <v>0</v>
      </c>
      <c r="F51" s="10" t="s">
        <v>57</v>
      </c>
    </row>
    <row r="52" spans="1:6" x14ac:dyDescent="0.25">
      <c r="A52" s="10">
        <v>2347</v>
      </c>
      <c r="B52" s="12" t="s">
        <v>150</v>
      </c>
      <c r="C52" s="10" t="s">
        <v>151</v>
      </c>
      <c r="D52" s="10">
        <v>3</v>
      </c>
      <c r="E52" s="10">
        <v>0</v>
      </c>
      <c r="F52" s="10" t="s">
        <v>57</v>
      </c>
    </row>
    <row r="53" spans="1:6" x14ac:dyDescent="0.25">
      <c r="A53" s="10">
        <v>2348</v>
      </c>
      <c r="B53" s="12" t="s">
        <v>152</v>
      </c>
      <c r="C53" s="10" t="s">
        <v>153</v>
      </c>
      <c r="D53" s="10">
        <v>1</v>
      </c>
      <c r="E53" s="10">
        <v>0</v>
      </c>
      <c r="F53" s="10" t="s">
        <v>57</v>
      </c>
    </row>
    <row r="54" spans="1:6" x14ac:dyDescent="0.25">
      <c r="A54" s="10">
        <v>2349</v>
      </c>
      <c r="B54" s="12" t="s">
        <v>154</v>
      </c>
      <c r="C54" s="10" t="s">
        <v>155</v>
      </c>
      <c r="D54" s="10">
        <v>3</v>
      </c>
      <c r="E54" s="10">
        <v>0</v>
      </c>
      <c r="F54" s="10" t="s">
        <v>57</v>
      </c>
    </row>
    <row r="55" spans="1:6" x14ac:dyDescent="0.25">
      <c r="A55" s="10">
        <v>2350</v>
      </c>
      <c r="B55" s="12" t="s">
        <v>156</v>
      </c>
      <c r="C55" s="10" t="s">
        <v>157</v>
      </c>
      <c r="D55" s="10">
        <v>3</v>
      </c>
      <c r="E55" s="10">
        <v>0</v>
      </c>
      <c r="F55" s="10" t="s">
        <v>57</v>
      </c>
    </row>
    <row r="56" spans="1:6" x14ac:dyDescent="0.25">
      <c r="A56" s="10">
        <v>2357</v>
      </c>
      <c r="B56" s="12" t="s">
        <v>158</v>
      </c>
      <c r="C56" s="10" t="s">
        <v>159</v>
      </c>
      <c r="D56" s="10">
        <v>2</v>
      </c>
      <c r="E56" s="10">
        <v>0</v>
      </c>
      <c r="F56" s="10" t="s">
        <v>57</v>
      </c>
    </row>
    <row r="57" spans="1:6" x14ac:dyDescent="0.25">
      <c r="A57" s="10">
        <v>2359</v>
      </c>
      <c r="B57" s="12" t="s">
        <v>160</v>
      </c>
      <c r="C57" s="10" t="s">
        <v>161</v>
      </c>
      <c r="D57" s="10">
        <v>3</v>
      </c>
      <c r="E57" s="10">
        <v>0</v>
      </c>
      <c r="F57" s="10" t="s">
        <v>57</v>
      </c>
    </row>
    <row r="58" spans="1:6" x14ac:dyDescent="0.25">
      <c r="A58" s="10">
        <v>2361</v>
      </c>
      <c r="B58" s="12" t="s">
        <v>162</v>
      </c>
      <c r="C58" s="10" t="s">
        <v>163</v>
      </c>
      <c r="D58" s="10">
        <v>3</v>
      </c>
      <c r="E58" s="10">
        <v>0</v>
      </c>
      <c r="F58" s="10" t="s">
        <v>57</v>
      </c>
    </row>
    <row r="59" spans="1:6" x14ac:dyDescent="0.25">
      <c r="A59" s="10">
        <v>2363</v>
      </c>
      <c r="B59" s="12" t="s">
        <v>164</v>
      </c>
      <c r="C59" s="10" t="s">
        <v>165</v>
      </c>
      <c r="D59" s="10">
        <v>1</v>
      </c>
      <c r="E59" s="10">
        <v>0</v>
      </c>
      <c r="F59" s="10" t="s">
        <v>57</v>
      </c>
    </row>
    <row r="60" spans="1:6" x14ac:dyDescent="0.25">
      <c r="A60" s="10">
        <v>2364</v>
      </c>
      <c r="B60" s="12" t="s">
        <v>166</v>
      </c>
      <c r="C60" s="10" t="s">
        <v>167</v>
      </c>
      <c r="D60" s="10">
        <v>1</v>
      </c>
      <c r="E60" s="10">
        <v>0</v>
      </c>
      <c r="F60" s="10" t="s">
        <v>57</v>
      </c>
    </row>
    <row r="61" spans="1:6" x14ac:dyDescent="0.25">
      <c r="A61" s="10">
        <v>2366</v>
      </c>
      <c r="B61" s="12" t="s">
        <v>168</v>
      </c>
      <c r="C61" s="10" t="s">
        <v>169</v>
      </c>
      <c r="D61" s="10">
        <v>2</v>
      </c>
      <c r="E61" s="10">
        <v>0</v>
      </c>
      <c r="F61" s="10" t="s">
        <v>57</v>
      </c>
    </row>
    <row r="62" spans="1:6" x14ac:dyDescent="0.25">
      <c r="A62" s="10">
        <v>2369</v>
      </c>
      <c r="B62" s="12" t="s">
        <v>170</v>
      </c>
      <c r="C62" s="10" t="s">
        <v>171</v>
      </c>
      <c r="D62" s="10">
        <v>1</v>
      </c>
      <c r="E62" s="10">
        <v>0</v>
      </c>
      <c r="F62" s="10" t="s">
        <v>57</v>
      </c>
    </row>
    <row r="63" spans="1:6" x14ac:dyDescent="0.25">
      <c r="A63" s="10">
        <v>2370</v>
      </c>
      <c r="B63" s="12" t="s">
        <v>172</v>
      </c>
      <c r="C63" s="10" t="s">
        <v>173</v>
      </c>
      <c r="D63" s="10">
        <v>1</v>
      </c>
      <c r="E63" s="10">
        <v>0</v>
      </c>
      <c r="F63" s="10" t="s">
        <v>57</v>
      </c>
    </row>
    <row r="64" spans="1:6" x14ac:dyDescent="0.25">
      <c r="A64" s="10">
        <v>2373</v>
      </c>
      <c r="B64" s="12" t="s">
        <v>174</v>
      </c>
      <c r="C64" s="10" t="s">
        <v>175</v>
      </c>
      <c r="D64" s="10">
        <v>3</v>
      </c>
      <c r="E64" s="10">
        <v>0</v>
      </c>
      <c r="F64" s="10" t="s">
        <v>57</v>
      </c>
    </row>
    <row r="65" spans="1:6" x14ac:dyDescent="0.25">
      <c r="A65" s="10">
        <v>2374</v>
      </c>
      <c r="B65" s="12" t="s">
        <v>176</v>
      </c>
      <c r="C65" s="10" t="s">
        <v>177</v>
      </c>
      <c r="D65" s="10">
        <v>1</v>
      </c>
      <c r="E65" s="10">
        <v>0</v>
      </c>
      <c r="F65" s="10" t="s">
        <v>57</v>
      </c>
    </row>
    <row r="66" spans="1:6" x14ac:dyDescent="0.25">
      <c r="A66" s="10">
        <v>2377</v>
      </c>
      <c r="B66" s="12" t="s">
        <v>178</v>
      </c>
      <c r="C66" s="10" t="s">
        <v>179</v>
      </c>
      <c r="D66" s="10">
        <v>2</v>
      </c>
      <c r="E66" s="10">
        <v>0</v>
      </c>
      <c r="F66" s="10" t="s">
        <v>57</v>
      </c>
    </row>
    <row r="67" spans="1:6" x14ac:dyDescent="0.25">
      <c r="A67" s="10">
        <v>2380</v>
      </c>
      <c r="B67" s="12" t="s">
        <v>180</v>
      </c>
      <c r="C67" s="10" t="s">
        <v>181</v>
      </c>
      <c r="D67" s="10">
        <v>2</v>
      </c>
      <c r="E67" s="10">
        <v>0</v>
      </c>
      <c r="F67" s="10" t="s">
        <v>57</v>
      </c>
    </row>
    <row r="68" spans="1:6" x14ac:dyDescent="0.25">
      <c r="A68" s="10">
        <v>2384</v>
      </c>
      <c r="B68" s="12" t="s">
        <v>182</v>
      </c>
      <c r="C68" s="10" t="s">
        <v>183</v>
      </c>
      <c r="D68" s="10">
        <v>3</v>
      </c>
      <c r="E68" s="10">
        <v>0</v>
      </c>
      <c r="F68" s="10" t="s">
        <v>57</v>
      </c>
    </row>
    <row r="69" spans="1:6" x14ac:dyDescent="0.25">
      <c r="A69" s="10">
        <v>2386</v>
      </c>
      <c r="B69" s="12" t="s">
        <v>184</v>
      </c>
      <c r="C69" s="10" t="s">
        <v>185</v>
      </c>
      <c r="D69" s="10">
        <v>3</v>
      </c>
      <c r="E69" s="10">
        <v>0</v>
      </c>
      <c r="F69" s="10" t="s">
        <v>57</v>
      </c>
    </row>
    <row r="70" spans="1:6" x14ac:dyDescent="0.25">
      <c r="A70" s="10">
        <v>2387</v>
      </c>
      <c r="B70" s="12" t="s">
        <v>186</v>
      </c>
      <c r="C70" s="10" t="s">
        <v>187</v>
      </c>
      <c r="D70" s="10">
        <v>2</v>
      </c>
      <c r="E70" s="10">
        <v>0</v>
      </c>
      <c r="F70" s="10" t="s">
        <v>57</v>
      </c>
    </row>
    <row r="71" spans="1:6" x14ac:dyDescent="0.25">
      <c r="A71" s="10">
        <v>2389</v>
      </c>
      <c r="B71" s="12" t="s">
        <v>188</v>
      </c>
      <c r="C71" s="10" t="s">
        <v>189</v>
      </c>
      <c r="D71" s="10">
        <v>1</v>
      </c>
      <c r="E71" s="10">
        <v>0</v>
      </c>
      <c r="F71" s="10" t="s">
        <v>57</v>
      </c>
    </row>
    <row r="72" spans="1:6" x14ac:dyDescent="0.25">
      <c r="A72" s="10">
        <v>2392</v>
      </c>
      <c r="B72" s="12" t="s">
        <v>190</v>
      </c>
      <c r="C72" s="10" t="s">
        <v>191</v>
      </c>
      <c r="D72" s="10">
        <v>1</v>
      </c>
      <c r="E72" s="10">
        <v>0</v>
      </c>
      <c r="F72" s="10" t="s">
        <v>57</v>
      </c>
    </row>
    <row r="73" spans="1:6" x14ac:dyDescent="0.25">
      <c r="A73" s="10">
        <v>2393</v>
      </c>
      <c r="B73" s="12" t="s">
        <v>192</v>
      </c>
      <c r="C73" s="10" t="s">
        <v>193</v>
      </c>
      <c r="D73" s="10">
        <v>1</v>
      </c>
      <c r="E73" s="10">
        <v>0</v>
      </c>
      <c r="F73" s="10" t="s">
        <v>57</v>
      </c>
    </row>
    <row r="74" spans="1:6" x14ac:dyDescent="0.25">
      <c r="A74" s="10">
        <v>2394</v>
      </c>
      <c r="B74" s="12" t="s">
        <v>194</v>
      </c>
      <c r="C74" s="10" t="s">
        <v>195</v>
      </c>
      <c r="D74" s="10">
        <v>2</v>
      </c>
      <c r="E74" s="10">
        <v>0</v>
      </c>
      <c r="F74" s="10" t="s">
        <v>57</v>
      </c>
    </row>
    <row r="75" spans="1:6" x14ac:dyDescent="0.25">
      <c r="A75" s="10">
        <v>2395</v>
      </c>
      <c r="B75" s="12" t="s">
        <v>196</v>
      </c>
      <c r="C75" s="10" t="s">
        <v>197</v>
      </c>
      <c r="D75" s="10">
        <v>1</v>
      </c>
      <c r="E75" s="10">
        <v>0</v>
      </c>
      <c r="F75" s="10" t="s">
        <v>57</v>
      </c>
    </row>
    <row r="76" spans="1:6" x14ac:dyDescent="0.25">
      <c r="A76" s="10">
        <v>2396</v>
      </c>
      <c r="B76" s="12" t="s">
        <v>198</v>
      </c>
      <c r="C76" s="10" t="s">
        <v>199</v>
      </c>
      <c r="D76" s="10">
        <v>3</v>
      </c>
      <c r="E76" s="10">
        <v>0</v>
      </c>
      <c r="F76" s="10" t="s">
        <v>57</v>
      </c>
    </row>
    <row r="77" spans="1:6" x14ac:dyDescent="0.25">
      <c r="A77" s="10">
        <v>2399</v>
      </c>
      <c r="B77" s="12" t="s">
        <v>200</v>
      </c>
      <c r="C77" s="10" t="s">
        <v>201</v>
      </c>
      <c r="D77" s="10">
        <v>2</v>
      </c>
      <c r="E77" s="10">
        <v>0</v>
      </c>
      <c r="F77" s="10" t="s">
        <v>57</v>
      </c>
    </row>
    <row r="78" spans="1:6" x14ac:dyDescent="0.25">
      <c r="A78" s="10">
        <v>2410</v>
      </c>
      <c r="B78" s="12" t="s">
        <v>202</v>
      </c>
      <c r="C78" s="10" t="s">
        <v>203</v>
      </c>
      <c r="D78" s="10">
        <v>3</v>
      </c>
      <c r="E78" s="10">
        <v>0</v>
      </c>
      <c r="F78" s="10" t="s">
        <v>57</v>
      </c>
    </row>
    <row r="79" spans="1:6" x14ac:dyDescent="0.25">
      <c r="A79" s="10">
        <v>2412</v>
      </c>
      <c r="B79" s="12" t="s">
        <v>204</v>
      </c>
      <c r="C79" s="10" t="s">
        <v>205</v>
      </c>
      <c r="D79" s="10">
        <v>2</v>
      </c>
      <c r="E79" s="10">
        <v>0</v>
      </c>
      <c r="F79" s="10" t="s">
        <v>57</v>
      </c>
    </row>
    <row r="80" spans="1:6" x14ac:dyDescent="0.25">
      <c r="A80" s="10">
        <v>2413</v>
      </c>
      <c r="B80" s="12" t="s">
        <v>206</v>
      </c>
      <c r="C80" s="10" t="s">
        <v>207</v>
      </c>
      <c r="D80" s="10">
        <v>3</v>
      </c>
      <c r="E80" s="10">
        <v>0</v>
      </c>
      <c r="F80" s="10" t="s">
        <v>57</v>
      </c>
    </row>
    <row r="81" spans="1:6" x14ac:dyDescent="0.25">
      <c r="A81" s="10">
        <v>2414</v>
      </c>
      <c r="B81" s="12" t="s">
        <v>208</v>
      </c>
      <c r="C81" s="10" t="s">
        <v>209</v>
      </c>
      <c r="D81" s="10">
        <v>1</v>
      </c>
      <c r="E81" s="10">
        <v>0</v>
      </c>
      <c r="F81" s="10" t="s">
        <v>57</v>
      </c>
    </row>
    <row r="82" spans="1:6" x14ac:dyDescent="0.25">
      <c r="A82" s="10">
        <v>2417</v>
      </c>
      <c r="B82" s="12" t="s">
        <v>210</v>
      </c>
      <c r="C82" s="10" t="s">
        <v>211</v>
      </c>
      <c r="D82" s="10">
        <v>1</v>
      </c>
      <c r="E82" s="10">
        <v>0</v>
      </c>
      <c r="F82" s="10" t="s">
        <v>57</v>
      </c>
    </row>
    <row r="83" spans="1:6" x14ac:dyDescent="0.25">
      <c r="A83" s="10">
        <v>2419</v>
      </c>
      <c r="B83" s="12" t="s">
        <v>212</v>
      </c>
      <c r="C83" s="10" t="s">
        <v>213</v>
      </c>
      <c r="D83" s="10">
        <v>3</v>
      </c>
      <c r="E83" s="10">
        <v>0</v>
      </c>
      <c r="F83" s="10" t="s">
        <v>57</v>
      </c>
    </row>
    <row r="84" spans="1:6" x14ac:dyDescent="0.25">
      <c r="A84" s="10">
        <v>2420</v>
      </c>
      <c r="B84" s="12" t="s">
        <v>214</v>
      </c>
      <c r="C84" s="10" t="s">
        <v>215</v>
      </c>
      <c r="D84" s="10">
        <v>1</v>
      </c>
      <c r="E84" s="10">
        <v>0</v>
      </c>
      <c r="F84" s="10" t="s">
        <v>57</v>
      </c>
    </row>
    <row r="85" spans="1:6" x14ac:dyDescent="0.25">
      <c r="A85" s="10">
        <v>2423</v>
      </c>
      <c r="B85" s="12" t="s">
        <v>216</v>
      </c>
      <c r="C85" s="10" t="s">
        <v>217</v>
      </c>
      <c r="D85" s="10">
        <v>1</v>
      </c>
      <c r="E85" s="10">
        <v>0</v>
      </c>
      <c r="F85" s="10" t="s">
        <v>57</v>
      </c>
    </row>
    <row r="86" spans="1:6" x14ac:dyDescent="0.25">
      <c r="A86" s="10">
        <v>2427</v>
      </c>
      <c r="B86" s="12" t="s">
        <v>218</v>
      </c>
      <c r="C86" s="10" t="s">
        <v>219</v>
      </c>
      <c r="D86" s="10">
        <v>1</v>
      </c>
      <c r="E86" s="10">
        <v>0</v>
      </c>
      <c r="F86" s="10" t="s">
        <v>57</v>
      </c>
    </row>
    <row r="87" spans="1:6" x14ac:dyDescent="0.25">
      <c r="A87" s="13">
        <v>2261</v>
      </c>
      <c r="B87" s="14" t="s">
        <v>220</v>
      </c>
      <c r="C87" s="13" t="s">
        <v>221</v>
      </c>
      <c r="D87" s="13">
        <v>3</v>
      </c>
      <c r="E87" s="13">
        <v>3</v>
      </c>
      <c r="F87" s="13" t="s">
        <v>222</v>
      </c>
    </row>
    <row r="88" spans="1:6" x14ac:dyDescent="0.25">
      <c r="A88" s="13">
        <v>2262</v>
      </c>
      <c r="B88" s="14" t="s">
        <v>223</v>
      </c>
      <c r="C88" s="13" t="s">
        <v>224</v>
      </c>
      <c r="D88" s="13">
        <v>3</v>
      </c>
      <c r="E88" s="13">
        <v>4</v>
      </c>
      <c r="F88" s="13" t="s">
        <v>222</v>
      </c>
    </row>
    <row r="89" spans="1:6" x14ac:dyDescent="0.25">
      <c r="A89" s="13">
        <v>2264</v>
      </c>
      <c r="B89" s="14" t="s">
        <v>225</v>
      </c>
      <c r="C89" s="13" t="s">
        <v>226</v>
      </c>
      <c r="D89" s="13">
        <v>2</v>
      </c>
      <c r="E89" s="13">
        <v>4</v>
      </c>
      <c r="F89" s="13" t="s">
        <v>222</v>
      </c>
    </row>
    <row r="90" spans="1:6" x14ac:dyDescent="0.25">
      <c r="A90" s="13">
        <v>2265</v>
      </c>
      <c r="B90" s="14" t="s">
        <v>227</v>
      </c>
      <c r="C90" s="13" t="s">
        <v>228</v>
      </c>
      <c r="D90" s="13">
        <v>1</v>
      </c>
      <c r="E90" s="13">
        <v>4</v>
      </c>
      <c r="F90" s="13" t="s">
        <v>222</v>
      </c>
    </row>
    <row r="91" spans="1:6" x14ac:dyDescent="0.25">
      <c r="A91" s="13">
        <v>2266</v>
      </c>
      <c r="B91" s="14" t="s">
        <v>229</v>
      </c>
      <c r="C91" s="13" t="s">
        <v>230</v>
      </c>
      <c r="D91" s="13">
        <v>1</v>
      </c>
      <c r="E91" s="13">
        <v>4</v>
      </c>
      <c r="F91" s="13" t="s">
        <v>222</v>
      </c>
    </row>
    <row r="92" spans="1:6" x14ac:dyDescent="0.25">
      <c r="A92" s="13">
        <v>2267</v>
      </c>
      <c r="B92" s="14" t="s">
        <v>231</v>
      </c>
      <c r="C92" s="13" t="s">
        <v>232</v>
      </c>
      <c r="D92" s="13">
        <v>3</v>
      </c>
      <c r="E92" s="13">
        <v>3.5</v>
      </c>
      <c r="F92" s="13" t="s">
        <v>222</v>
      </c>
    </row>
    <row r="93" spans="1:6" x14ac:dyDescent="0.25">
      <c r="A93" s="13">
        <v>2268</v>
      </c>
      <c r="B93" s="14" t="s">
        <v>233</v>
      </c>
      <c r="C93" s="13" t="s">
        <v>234</v>
      </c>
      <c r="D93" s="13">
        <v>3</v>
      </c>
      <c r="E93" s="13">
        <v>4</v>
      </c>
      <c r="F93" s="13" t="s">
        <v>222</v>
      </c>
    </row>
    <row r="94" spans="1:6" x14ac:dyDescent="0.25">
      <c r="A94" s="13">
        <v>2269</v>
      </c>
      <c r="B94" s="14" t="s">
        <v>235</v>
      </c>
      <c r="C94" s="13" t="s">
        <v>236</v>
      </c>
      <c r="D94" s="13">
        <v>1</v>
      </c>
      <c r="E94" s="13">
        <v>3.5</v>
      </c>
      <c r="F94" s="13" t="s">
        <v>222</v>
      </c>
    </row>
    <row r="95" spans="1:6" x14ac:dyDescent="0.25">
      <c r="A95" s="13">
        <v>2271</v>
      </c>
      <c r="B95" s="14" t="s">
        <v>237</v>
      </c>
      <c r="C95" s="13" t="s">
        <v>238</v>
      </c>
      <c r="D95" s="13">
        <v>1</v>
      </c>
      <c r="E95" s="13">
        <v>3.5</v>
      </c>
      <c r="F95" s="13" t="s">
        <v>222</v>
      </c>
    </row>
    <row r="96" spans="1:6" x14ac:dyDescent="0.25">
      <c r="A96" s="13">
        <v>2272</v>
      </c>
      <c r="B96" s="14" t="s">
        <v>239</v>
      </c>
      <c r="C96" s="13" t="s">
        <v>240</v>
      </c>
      <c r="D96" s="13">
        <v>1</v>
      </c>
      <c r="E96" s="13">
        <v>2</v>
      </c>
      <c r="F96" s="13" t="s">
        <v>222</v>
      </c>
    </row>
    <row r="97" spans="1:6" x14ac:dyDescent="0.25">
      <c r="A97" s="13">
        <v>2275</v>
      </c>
      <c r="B97" s="14" t="s">
        <v>241</v>
      </c>
      <c r="C97" s="13" t="s">
        <v>242</v>
      </c>
      <c r="D97" s="13">
        <v>3</v>
      </c>
      <c r="E97" s="13">
        <v>3</v>
      </c>
      <c r="F97" s="13" t="s">
        <v>222</v>
      </c>
    </row>
    <row r="98" spans="1:6" x14ac:dyDescent="0.25">
      <c r="A98" s="13">
        <v>2277</v>
      </c>
      <c r="B98" s="14" t="s">
        <v>243</v>
      </c>
      <c r="C98" s="13" t="s">
        <v>244</v>
      </c>
      <c r="D98" s="13">
        <v>1</v>
      </c>
      <c r="E98" s="13">
        <v>4</v>
      </c>
      <c r="F98" s="13" t="s">
        <v>222</v>
      </c>
    </row>
    <row r="99" spans="1:6" x14ac:dyDescent="0.25">
      <c r="A99" s="13">
        <v>2281</v>
      </c>
      <c r="B99" s="14" t="s">
        <v>245</v>
      </c>
      <c r="C99" s="13" t="s">
        <v>246</v>
      </c>
      <c r="D99" s="13">
        <v>3</v>
      </c>
      <c r="E99" s="13">
        <v>3</v>
      </c>
      <c r="F99" s="13" t="s">
        <v>222</v>
      </c>
    </row>
    <row r="100" spans="1:6" x14ac:dyDescent="0.25">
      <c r="A100" s="13">
        <v>2282</v>
      </c>
      <c r="B100" s="14" t="s">
        <v>247</v>
      </c>
      <c r="C100" s="13" t="s">
        <v>248</v>
      </c>
      <c r="D100" s="13">
        <v>1</v>
      </c>
      <c r="E100" s="13">
        <v>2</v>
      </c>
      <c r="F100" s="13" t="s">
        <v>222</v>
      </c>
    </row>
    <row r="101" spans="1:6" x14ac:dyDescent="0.25">
      <c r="A101" s="13">
        <v>2283</v>
      </c>
      <c r="B101" s="14" t="s">
        <v>249</v>
      </c>
      <c r="C101" s="13" t="s">
        <v>250</v>
      </c>
      <c r="D101" s="13">
        <v>3</v>
      </c>
      <c r="E101" s="13">
        <v>3</v>
      </c>
      <c r="F101" s="13" t="s">
        <v>222</v>
      </c>
    </row>
    <row r="102" spans="1:6" x14ac:dyDescent="0.25">
      <c r="A102" s="13">
        <v>2285</v>
      </c>
      <c r="B102" s="14" t="s">
        <v>251</v>
      </c>
      <c r="C102" s="13" t="s">
        <v>252</v>
      </c>
      <c r="D102" s="13">
        <v>1</v>
      </c>
      <c r="E102" s="13">
        <v>4</v>
      </c>
      <c r="F102" s="13" t="s">
        <v>222</v>
      </c>
    </row>
    <row r="103" spans="1:6" x14ac:dyDescent="0.25">
      <c r="A103" s="13">
        <v>2286</v>
      </c>
      <c r="B103" s="14" t="s">
        <v>253</v>
      </c>
      <c r="C103" s="13" t="s">
        <v>254</v>
      </c>
      <c r="D103" s="13">
        <v>1</v>
      </c>
      <c r="E103" s="13">
        <v>1.5</v>
      </c>
      <c r="F103" s="13" t="s">
        <v>222</v>
      </c>
    </row>
    <row r="104" spans="1:6" x14ac:dyDescent="0.25">
      <c r="A104" s="13">
        <v>2290</v>
      </c>
      <c r="B104" s="14" t="s">
        <v>255</v>
      </c>
      <c r="C104" s="13" t="s">
        <v>256</v>
      </c>
      <c r="D104" s="13">
        <v>3</v>
      </c>
      <c r="E104" s="13">
        <v>3.5</v>
      </c>
      <c r="F104" s="13" t="s">
        <v>222</v>
      </c>
    </row>
    <row r="105" spans="1:6" x14ac:dyDescent="0.25">
      <c r="A105" s="13">
        <v>2291</v>
      </c>
      <c r="B105" s="14" t="s">
        <v>257</v>
      </c>
      <c r="C105" s="13" t="s">
        <v>258</v>
      </c>
      <c r="D105" s="13">
        <v>3</v>
      </c>
      <c r="E105" s="13">
        <v>2</v>
      </c>
      <c r="F105" s="13" t="s">
        <v>222</v>
      </c>
    </row>
    <row r="106" spans="1:6" x14ac:dyDescent="0.25">
      <c r="A106" s="13">
        <v>2295</v>
      </c>
      <c r="B106" s="14" t="s">
        <v>259</v>
      </c>
      <c r="C106" s="13" t="s">
        <v>260</v>
      </c>
      <c r="D106" s="13">
        <v>3</v>
      </c>
      <c r="E106" s="13">
        <v>3.5</v>
      </c>
      <c r="F106" s="13" t="s">
        <v>222</v>
      </c>
    </row>
    <row r="107" spans="1:6" x14ac:dyDescent="0.25">
      <c r="A107" s="13">
        <v>2300</v>
      </c>
      <c r="B107" s="14" t="s">
        <v>261</v>
      </c>
      <c r="C107" s="13" t="s">
        <v>262</v>
      </c>
      <c r="D107" s="13">
        <v>1</v>
      </c>
      <c r="E107" s="13">
        <v>3.5</v>
      </c>
      <c r="F107" s="13" t="s">
        <v>222</v>
      </c>
    </row>
    <row r="108" spans="1:6" x14ac:dyDescent="0.25">
      <c r="A108" s="13">
        <v>2301</v>
      </c>
      <c r="B108" s="14" t="s">
        <v>263</v>
      </c>
      <c r="C108" s="13" t="s">
        <v>264</v>
      </c>
      <c r="D108" s="13">
        <v>1</v>
      </c>
      <c r="E108" s="13">
        <v>3</v>
      </c>
      <c r="F108" s="13" t="s">
        <v>222</v>
      </c>
    </row>
    <row r="109" spans="1:6" x14ac:dyDescent="0.25">
      <c r="A109" s="13">
        <v>2302</v>
      </c>
      <c r="B109" s="14" t="s">
        <v>265</v>
      </c>
      <c r="C109" s="13" t="s">
        <v>266</v>
      </c>
      <c r="D109" s="13">
        <v>1</v>
      </c>
      <c r="E109" s="13">
        <v>4</v>
      </c>
      <c r="F109" s="13" t="s">
        <v>222</v>
      </c>
    </row>
    <row r="110" spans="1:6" x14ac:dyDescent="0.25">
      <c r="A110" s="13">
        <v>2303</v>
      </c>
      <c r="B110" s="14" t="s">
        <v>267</v>
      </c>
      <c r="C110" s="13" t="s">
        <v>268</v>
      </c>
      <c r="D110" s="13">
        <v>3</v>
      </c>
      <c r="E110" s="13">
        <v>2.5</v>
      </c>
      <c r="F110" s="13" t="s">
        <v>222</v>
      </c>
    </row>
    <row r="111" spans="1:6" x14ac:dyDescent="0.25">
      <c r="A111" s="13">
        <v>2305</v>
      </c>
      <c r="B111" s="14" t="s">
        <v>269</v>
      </c>
      <c r="C111" s="13" t="s">
        <v>270</v>
      </c>
      <c r="D111" s="13">
        <v>3</v>
      </c>
      <c r="E111" s="13">
        <v>4</v>
      </c>
      <c r="F111" s="13" t="s">
        <v>222</v>
      </c>
    </row>
    <row r="112" spans="1:6" x14ac:dyDescent="0.25">
      <c r="A112" s="13">
        <v>2312</v>
      </c>
      <c r="B112" s="14" t="s">
        <v>271</v>
      </c>
      <c r="C112" s="13" t="s">
        <v>272</v>
      </c>
      <c r="D112" s="13">
        <v>2</v>
      </c>
      <c r="E112" s="13">
        <v>4</v>
      </c>
      <c r="F112" s="13" t="s">
        <v>222</v>
      </c>
    </row>
    <row r="113" spans="1:6" x14ac:dyDescent="0.25">
      <c r="A113" s="13">
        <v>2313</v>
      </c>
      <c r="B113" s="14" t="s">
        <v>273</v>
      </c>
      <c r="C113" s="13" t="s">
        <v>274</v>
      </c>
      <c r="D113" s="13">
        <v>1</v>
      </c>
      <c r="E113" s="13">
        <v>4</v>
      </c>
      <c r="F113" s="13" t="s">
        <v>222</v>
      </c>
    </row>
    <row r="114" spans="1:6" x14ac:dyDescent="0.25">
      <c r="A114" s="13">
        <v>2316</v>
      </c>
      <c r="B114" s="14" t="s">
        <v>275</v>
      </c>
      <c r="C114" s="13" t="s">
        <v>276</v>
      </c>
      <c r="D114" s="13">
        <v>3</v>
      </c>
      <c r="E114" s="13">
        <v>4</v>
      </c>
      <c r="F114" s="13" t="s">
        <v>222</v>
      </c>
    </row>
    <row r="115" spans="1:6" x14ac:dyDescent="0.25">
      <c r="A115" s="13">
        <v>2319</v>
      </c>
      <c r="B115" s="14" t="s">
        <v>277</v>
      </c>
      <c r="C115" s="13" t="s">
        <v>278</v>
      </c>
      <c r="D115" s="13">
        <v>2</v>
      </c>
      <c r="E115" s="13">
        <v>2</v>
      </c>
      <c r="F115" s="13" t="s">
        <v>222</v>
      </c>
    </row>
    <row r="116" spans="1:6" x14ac:dyDescent="0.25">
      <c r="A116" s="13">
        <v>2322</v>
      </c>
      <c r="B116" s="14" t="s">
        <v>279</v>
      </c>
      <c r="C116" s="13" t="s">
        <v>280</v>
      </c>
      <c r="D116" s="13">
        <v>1</v>
      </c>
      <c r="E116" s="13">
        <v>4</v>
      </c>
      <c r="F116" s="13" t="s">
        <v>222</v>
      </c>
    </row>
    <row r="117" spans="1:6" x14ac:dyDescent="0.25">
      <c r="A117" s="13">
        <v>2327</v>
      </c>
      <c r="B117" s="14" t="s">
        <v>281</v>
      </c>
      <c r="C117" s="13" t="s">
        <v>282</v>
      </c>
      <c r="D117" s="13">
        <v>3</v>
      </c>
      <c r="E117" s="13">
        <v>2.5</v>
      </c>
      <c r="F117" s="13" t="s">
        <v>222</v>
      </c>
    </row>
    <row r="118" spans="1:6" x14ac:dyDescent="0.25">
      <c r="A118" s="13">
        <v>2328</v>
      </c>
      <c r="B118" s="14" t="s">
        <v>283</v>
      </c>
      <c r="C118" s="13" t="s">
        <v>284</v>
      </c>
      <c r="D118" s="13">
        <v>2</v>
      </c>
      <c r="E118" s="13">
        <v>2.5</v>
      </c>
      <c r="F118" s="13" t="s">
        <v>222</v>
      </c>
    </row>
    <row r="119" spans="1:6" x14ac:dyDescent="0.25">
      <c r="A119" s="13">
        <v>2330</v>
      </c>
      <c r="B119" s="14" t="s">
        <v>285</v>
      </c>
      <c r="C119" s="13" t="s">
        <v>286</v>
      </c>
      <c r="D119" s="13">
        <v>1</v>
      </c>
      <c r="E119" s="13">
        <v>4</v>
      </c>
      <c r="F119" s="13" t="s">
        <v>222</v>
      </c>
    </row>
    <row r="120" spans="1:6" x14ac:dyDescent="0.25">
      <c r="A120" s="13">
        <v>2331</v>
      </c>
      <c r="B120" s="14" t="s">
        <v>287</v>
      </c>
      <c r="C120" s="13" t="s">
        <v>288</v>
      </c>
      <c r="D120" s="13">
        <v>1</v>
      </c>
      <c r="E120" s="13">
        <v>1.5</v>
      </c>
      <c r="F120" s="13" t="s">
        <v>222</v>
      </c>
    </row>
    <row r="121" spans="1:6" x14ac:dyDescent="0.25">
      <c r="A121" s="13">
        <v>2334</v>
      </c>
      <c r="B121" s="14" t="s">
        <v>289</v>
      </c>
      <c r="C121" s="13" t="s">
        <v>290</v>
      </c>
      <c r="D121" s="13">
        <v>2</v>
      </c>
      <c r="E121" s="13">
        <v>2</v>
      </c>
      <c r="F121" s="13" t="s">
        <v>222</v>
      </c>
    </row>
    <row r="122" spans="1:6" x14ac:dyDescent="0.25">
      <c r="A122" s="13">
        <v>2335</v>
      </c>
      <c r="B122" s="14" t="s">
        <v>291</v>
      </c>
      <c r="C122" s="13" t="s">
        <v>292</v>
      </c>
      <c r="D122" s="13">
        <v>2</v>
      </c>
      <c r="E122" s="13">
        <v>3</v>
      </c>
      <c r="F122" s="13" t="s">
        <v>222</v>
      </c>
    </row>
    <row r="123" spans="1:6" x14ac:dyDescent="0.25">
      <c r="A123" s="13">
        <v>2337</v>
      </c>
      <c r="B123" s="14" t="s">
        <v>293</v>
      </c>
      <c r="C123" s="13" t="s">
        <v>294</v>
      </c>
      <c r="D123" s="13">
        <v>2</v>
      </c>
      <c r="E123" s="13">
        <v>4</v>
      </c>
      <c r="F123" s="13" t="s">
        <v>222</v>
      </c>
    </row>
    <row r="124" spans="1:6" x14ac:dyDescent="0.25">
      <c r="A124" s="13">
        <v>2339</v>
      </c>
      <c r="B124" s="14" t="s">
        <v>295</v>
      </c>
      <c r="C124" s="13" t="s">
        <v>296</v>
      </c>
      <c r="D124" s="13">
        <v>3</v>
      </c>
      <c r="E124" s="13">
        <v>3.5</v>
      </c>
      <c r="F124" s="13" t="s">
        <v>222</v>
      </c>
    </row>
    <row r="125" spans="1:6" x14ac:dyDescent="0.25">
      <c r="A125" s="13">
        <v>2340</v>
      </c>
      <c r="B125" s="14" t="s">
        <v>297</v>
      </c>
      <c r="C125" s="13" t="s">
        <v>298</v>
      </c>
      <c r="D125" s="13">
        <v>3</v>
      </c>
      <c r="E125" s="13">
        <v>3.5</v>
      </c>
      <c r="F125" s="13" t="s">
        <v>222</v>
      </c>
    </row>
    <row r="126" spans="1:6" x14ac:dyDescent="0.25">
      <c r="A126" s="13">
        <v>2343</v>
      </c>
      <c r="B126" s="14" t="s">
        <v>299</v>
      </c>
      <c r="C126" s="13" t="s">
        <v>300</v>
      </c>
      <c r="D126" s="13">
        <v>3</v>
      </c>
      <c r="E126" s="13">
        <v>4</v>
      </c>
      <c r="F126" s="13" t="s">
        <v>222</v>
      </c>
    </row>
    <row r="127" spans="1:6" x14ac:dyDescent="0.25">
      <c r="A127" s="13">
        <v>2346</v>
      </c>
      <c r="B127" s="14" t="s">
        <v>301</v>
      </c>
      <c r="C127" s="13" t="s">
        <v>302</v>
      </c>
      <c r="D127" s="13">
        <v>2</v>
      </c>
      <c r="E127" s="13">
        <v>3</v>
      </c>
      <c r="F127" s="13" t="s">
        <v>222</v>
      </c>
    </row>
    <row r="128" spans="1:6" x14ac:dyDescent="0.25">
      <c r="A128" s="13">
        <v>2351</v>
      </c>
      <c r="B128" s="14" t="s">
        <v>303</v>
      </c>
      <c r="C128" s="13" t="s">
        <v>304</v>
      </c>
      <c r="D128" s="13">
        <v>1</v>
      </c>
      <c r="E128" s="13">
        <v>2</v>
      </c>
      <c r="F128" s="13" t="s">
        <v>222</v>
      </c>
    </row>
    <row r="129" spans="1:6" x14ac:dyDescent="0.25">
      <c r="A129" s="13">
        <v>2352</v>
      </c>
      <c r="B129" s="14" t="s">
        <v>305</v>
      </c>
      <c r="C129" s="13" t="s">
        <v>306</v>
      </c>
      <c r="D129" s="13">
        <v>2</v>
      </c>
      <c r="E129" s="13">
        <v>3.5</v>
      </c>
      <c r="F129" s="13" t="s">
        <v>222</v>
      </c>
    </row>
    <row r="130" spans="1:6" x14ac:dyDescent="0.25">
      <c r="A130" s="13">
        <v>2353</v>
      </c>
      <c r="B130" s="14" t="s">
        <v>307</v>
      </c>
      <c r="C130" s="13" t="s">
        <v>308</v>
      </c>
      <c r="D130" s="13">
        <v>1</v>
      </c>
      <c r="E130" s="13">
        <v>2.5</v>
      </c>
      <c r="F130" s="13" t="s">
        <v>222</v>
      </c>
    </row>
    <row r="131" spans="1:6" x14ac:dyDescent="0.25">
      <c r="A131" s="13">
        <v>2354</v>
      </c>
      <c r="B131" s="14" t="s">
        <v>309</v>
      </c>
      <c r="C131" s="13" t="s">
        <v>310</v>
      </c>
      <c r="D131" s="13">
        <v>3</v>
      </c>
      <c r="E131" s="13">
        <v>4</v>
      </c>
      <c r="F131" s="13" t="s">
        <v>222</v>
      </c>
    </row>
    <row r="132" spans="1:6" x14ac:dyDescent="0.25">
      <c r="A132" s="13">
        <v>2355</v>
      </c>
      <c r="B132" s="14" t="s">
        <v>311</v>
      </c>
      <c r="C132" s="13" t="s">
        <v>312</v>
      </c>
      <c r="D132" s="13">
        <v>1</v>
      </c>
      <c r="E132" s="13">
        <v>2</v>
      </c>
      <c r="F132" s="13" t="s">
        <v>222</v>
      </c>
    </row>
    <row r="133" spans="1:6" x14ac:dyDescent="0.25">
      <c r="A133" s="13">
        <v>2356</v>
      </c>
      <c r="B133" s="14" t="s">
        <v>313</v>
      </c>
      <c r="C133" s="13" t="s">
        <v>314</v>
      </c>
      <c r="D133" s="13">
        <v>2</v>
      </c>
      <c r="E133" s="13">
        <v>3</v>
      </c>
      <c r="F133" s="13" t="s">
        <v>222</v>
      </c>
    </row>
    <row r="134" spans="1:6" x14ac:dyDescent="0.25">
      <c r="A134" s="13">
        <v>2358</v>
      </c>
      <c r="B134" s="14" t="s">
        <v>315</v>
      </c>
      <c r="C134" s="13" t="s">
        <v>316</v>
      </c>
      <c r="D134" s="13">
        <v>3</v>
      </c>
      <c r="E134" s="13">
        <v>1.5</v>
      </c>
      <c r="F134" s="13" t="s">
        <v>222</v>
      </c>
    </row>
    <row r="135" spans="1:6" x14ac:dyDescent="0.25">
      <c r="A135" s="13">
        <v>2360</v>
      </c>
      <c r="B135" s="14" t="s">
        <v>317</v>
      </c>
      <c r="C135" s="13" t="s">
        <v>318</v>
      </c>
      <c r="D135" s="13">
        <v>3</v>
      </c>
      <c r="E135" s="13">
        <v>2.5</v>
      </c>
      <c r="F135" s="13" t="s">
        <v>222</v>
      </c>
    </row>
    <row r="136" spans="1:6" x14ac:dyDescent="0.25">
      <c r="A136" s="13">
        <v>2362</v>
      </c>
      <c r="B136" s="14" t="s">
        <v>319</v>
      </c>
      <c r="C136" s="13" t="s">
        <v>320</v>
      </c>
      <c r="D136" s="13">
        <v>1</v>
      </c>
      <c r="E136" s="13">
        <v>4</v>
      </c>
      <c r="F136" s="13" t="s">
        <v>222</v>
      </c>
    </row>
    <row r="137" spans="1:6" x14ac:dyDescent="0.25">
      <c r="A137" s="13">
        <v>2365</v>
      </c>
      <c r="B137" s="14" t="s">
        <v>321</v>
      </c>
      <c r="C137" s="13" t="s">
        <v>322</v>
      </c>
      <c r="D137" s="13">
        <v>1</v>
      </c>
      <c r="E137" s="13">
        <v>2.5</v>
      </c>
      <c r="F137" s="13" t="s">
        <v>222</v>
      </c>
    </row>
    <row r="138" spans="1:6" x14ac:dyDescent="0.25">
      <c r="A138" s="13">
        <v>2367</v>
      </c>
      <c r="B138" s="14" t="s">
        <v>323</v>
      </c>
      <c r="C138" s="13" t="s">
        <v>324</v>
      </c>
      <c r="D138" s="13">
        <v>3</v>
      </c>
      <c r="E138" s="13">
        <v>2.5</v>
      </c>
      <c r="F138" s="13" t="s">
        <v>222</v>
      </c>
    </row>
    <row r="139" spans="1:6" x14ac:dyDescent="0.25">
      <c r="A139" s="13">
        <v>2368</v>
      </c>
      <c r="B139" s="14" t="s">
        <v>325</v>
      </c>
      <c r="C139" s="13" t="s">
        <v>326</v>
      </c>
      <c r="D139" s="13">
        <v>3</v>
      </c>
      <c r="E139" s="13">
        <v>2.5</v>
      </c>
      <c r="F139" s="13" t="s">
        <v>222</v>
      </c>
    </row>
    <row r="140" spans="1:6" x14ac:dyDescent="0.25">
      <c r="A140" s="13">
        <v>2371</v>
      </c>
      <c r="B140" s="14" t="s">
        <v>327</v>
      </c>
      <c r="C140" s="13" t="s">
        <v>328</v>
      </c>
      <c r="D140" s="13">
        <v>2</v>
      </c>
      <c r="E140" s="13">
        <v>3</v>
      </c>
      <c r="F140" s="13" t="s">
        <v>222</v>
      </c>
    </row>
    <row r="141" spans="1:6" x14ac:dyDescent="0.25">
      <c r="A141" s="13">
        <v>2372</v>
      </c>
      <c r="B141" s="14" t="s">
        <v>329</v>
      </c>
      <c r="C141" s="13" t="s">
        <v>330</v>
      </c>
      <c r="D141" s="13">
        <v>1</v>
      </c>
      <c r="E141" s="13">
        <v>2</v>
      </c>
      <c r="F141" s="13" t="s">
        <v>222</v>
      </c>
    </row>
    <row r="142" spans="1:6" x14ac:dyDescent="0.25">
      <c r="A142" s="13">
        <v>2375</v>
      </c>
      <c r="B142" s="14" t="s">
        <v>331</v>
      </c>
      <c r="C142" s="13" t="s">
        <v>332</v>
      </c>
      <c r="D142" s="13">
        <v>3</v>
      </c>
      <c r="E142" s="13">
        <v>2.5</v>
      </c>
      <c r="F142" s="13" t="s">
        <v>222</v>
      </c>
    </row>
    <row r="143" spans="1:6" x14ac:dyDescent="0.25">
      <c r="A143" s="13">
        <v>2376</v>
      </c>
      <c r="B143" s="14" t="s">
        <v>333</v>
      </c>
      <c r="C143" s="13" t="s">
        <v>334</v>
      </c>
      <c r="D143" s="13">
        <v>1</v>
      </c>
      <c r="E143" s="13">
        <v>1.5</v>
      </c>
      <c r="F143" s="13" t="s">
        <v>222</v>
      </c>
    </row>
    <row r="144" spans="1:6" x14ac:dyDescent="0.25">
      <c r="A144" s="13">
        <v>2378</v>
      </c>
      <c r="B144" s="14" t="s">
        <v>335</v>
      </c>
      <c r="C144" s="13" t="s">
        <v>336</v>
      </c>
      <c r="D144" s="13">
        <v>1</v>
      </c>
      <c r="E144" s="13">
        <v>4</v>
      </c>
      <c r="F144" s="13" t="s">
        <v>222</v>
      </c>
    </row>
    <row r="145" spans="1:6" x14ac:dyDescent="0.25">
      <c r="A145" s="13">
        <v>2379</v>
      </c>
      <c r="B145" s="14" t="s">
        <v>337</v>
      </c>
      <c r="C145" s="13" t="s">
        <v>338</v>
      </c>
      <c r="D145" s="13">
        <v>2</v>
      </c>
      <c r="E145" s="13">
        <v>3</v>
      </c>
      <c r="F145" s="13" t="s">
        <v>222</v>
      </c>
    </row>
    <row r="146" spans="1:6" x14ac:dyDescent="0.25">
      <c r="A146" s="13">
        <v>2381</v>
      </c>
      <c r="B146" s="14" t="s">
        <v>339</v>
      </c>
      <c r="C146" s="13" t="s">
        <v>340</v>
      </c>
      <c r="D146" s="13">
        <v>1</v>
      </c>
      <c r="E146" s="13">
        <v>4</v>
      </c>
      <c r="F146" s="13" t="s">
        <v>222</v>
      </c>
    </row>
    <row r="147" spans="1:6" x14ac:dyDescent="0.25">
      <c r="A147" s="13">
        <v>2382</v>
      </c>
      <c r="B147" s="14" t="s">
        <v>341</v>
      </c>
      <c r="C147" s="13" t="s">
        <v>342</v>
      </c>
      <c r="D147" s="13">
        <v>3</v>
      </c>
      <c r="E147" s="13">
        <v>3.5</v>
      </c>
      <c r="F147" s="13" t="s">
        <v>222</v>
      </c>
    </row>
    <row r="148" spans="1:6" x14ac:dyDescent="0.25">
      <c r="A148" s="13">
        <v>2383</v>
      </c>
      <c r="B148" s="14" t="s">
        <v>343</v>
      </c>
      <c r="C148" s="13" t="s">
        <v>344</v>
      </c>
      <c r="D148" s="13">
        <v>2</v>
      </c>
      <c r="E148" s="13">
        <v>1.5</v>
      </c>
      <c r="F148" s="13" t="s">
        <v>222</v>
      </c>
    </row>
    <row r="149" spans="1:6" x14ac:dyDescent="0.25">
      <c r="A149" s="13">
        <v>2385</v>
      </c>
      <c r="B149" s="14" t="s">
        <v>345</v>
      </c>
      <c r="C149" s="13" t="s">
        <v>346</v>
      </c>
      <c r="D149" s="13">
        <v>1</v>
      </c>
      <c r="E149" s="13">
        <v>4</v>
      </c>
      <c r="F149" s="13" t="s">
        <v>222</v>
      </c>
    </row>
    <row r="150" spans="1:6" x14ac:dyDescent="0.25">
      <c r="A150" s="13">
        <v>2388</v>
      </c>
      <c r="B150" s="14" t="s">
        <v>347</v>
      </c>
      <c r="C150" s="13" t="s">
        <v>348</v>
      </c>
      <c r="D150" s="13">
        <v>1</v>
      </c>
      <c r="E150" s="13">
        <v>4</v>
      </c>
      <c r="F150" s="13" t="s">
        <v>222</v>
      </c>
    </row>
    <row r="151" spans="1:6" x14ac:dyDescent="0.25">
      <c r="A151" s="13">
        <v>2390</v>
      </c>
      <c r="B151" s="14" t="s">
        <v>349</v>
      </c>
      <c r="C151" s="13" t="s">
        <v>350</v>
      </c>
      <c r="D151" s="13">
        <v>2</v>
      </c>
      <c r="E151" s="13">
        <v>4</v>
      </c>
      <c r="F151" s="13" t="s">
        <v>222</v>
      </c>
    </row>
    <row r="152" spans="1:6" x14ac:dyDescent="0.25">
      <c r="A152" s="13">
        <v>2391</v>
      </c>
      <c r="B152" s="14" t="s">
        <v>351</v>
      </c>
      <c r="C152" s="13" t="s">
        <v>352</v>
      </c>
      <c r="D152" s="13">
        <v>3</v>
      </c>
      <c r="E152" s="13">
        <v>3</v>
      </c>
      <c r="F152" s="13" t="s">
        <v>222</v>
      </c>
    </row>
    <row r="153" spans="1:6" x14ac:dyDescent="0.25">
      <c r="A153" s="13">
        <v>2397</v>
      </c>
      <c r="B153" s="14" t="s">
        <v>353</v>
      </c>
      <c r="C153" s="13" t="s">
        <v>354</v>
      </c>
      <c r="D153" s="13">
        <v>3</v>
      </c>
      <c r="E153" s="13">
        <v>4</v>
      </c>
      <c r="F153" s="13" t="s">
        <v>222</v>
      </c>
    </row>
    <row r="154" spans="1:6" x14ac:dyDescent="0.25">
      <c r="A154" s="13">
        <v>2398</v>
      </c>
      <c r="B154" s="14" t="s">
        <v>355</v>
      </c>
      <c r="C154" s="13" t="s">
        <v>356</v>
      </c>
      <c r="D154" s="13">
        <v>1</v>
      </c>
      <c r="E154" s="13">
        <v>3.5</v>
      </c>
      <c r="F154" s="13" t="s">
        <v>222</v>
      </c>
    </row>
    <row r="155" spans="1:6" x14ac:dyDescent="0.25">
      <c r="A155" s="13">
        <v>2400</v>
      </c>
      <c r="B155" s="14" t="s">
        <v>357</v>
      </c>
      <c r="C155" s="13" t="s">
        <v>358</v>
      </c>
      <c r="D155" s="13">
        <v>1</v>
      </c>
      <c r="E155" s="13">
        <v>1.5</v>
      </c>
      <c r="F155" s="13" t="s">
        <v>222</v>
      </c>
    </row>
    <row r="156" spans="1:6" x14ac:dyDescent="0.25">
      <c r="A156" s="13">
        <v>2401</v>
      </c>
      <c r="B156" s="14" t="s">
        <v>359</v>
      </c>
      <c r="C156" s="13" t="s">
        <v>360</v>
      </c>
      <c r="D156" s="13">
        <v>2</v>
      </c>
      <c r="E156" s="13">
        <v>2</v>
      </c>
      <c r="F156" s="13" t="s">
        <v>222</v>
      </c>
    </row>
    <row r="157" spans="1:6" x14ac:dyDescent="0.25">
      <c r="A157" s="13">
        <v>2402</v>
      </c>
      <c r="B157" s="14" t="s">
        <v>361</v>
      </c>
      <c r="C157" s="13" t="s">
        <v>362</v>
      </c>
      <c r="D157" s="13">
        <v>2</v>
      </c>
      <c r="E157" s="13">
        <v>4</v>
      </c>
      <c r="F157" s="13" t="s">
        <v>222</v>
      </c>
    </row>
    <row r="158" spans="1:6" x14ac:dyDescent="0.25">
      <c r="A158" s="13">
        <v>2403</v>
      </c>
      <c r="B158" s="14" t="s">
        <v>363</v>
      </c>
      <c r="C158" s="13" t="s">
        <v>364</v>
      </c>
      <c r="D158" s="13">
        <v>2</v>
      </c>
      <c r="E158" s="13">
        <v>2</v>
      </c>
      <c r="F158" s="13" t="s">
        <v>222</v>
      </c>
    </row>
    <row r="159" spans="1:6" x14ac:dyDescent="0.25">
      <c r="A159" s="13">
        <v>2404</v>
      </c>
      <c r="B159" s="14" t="s">
        <v>365</v>
      </c>
      <c r="C159" s="13" t="s">
        <v>366</v>
      </c>
      <c r="D159" s="13">
        <v>2</v>
      </c>
      <c r="E159" s="13">
        <v>3</v>
      </c>
      <c r="F159" s="13" t="s">
        <v>222</v>
      </c>
    </row>
    <row r="160" spans="1:6" x14ac:dyDescent="0.25">
      <c r="A160" s="13">
        <v>2405</v>
      </c>
      <c r="B160" s="14" t="s">
        <v>367</v>
      </c>
      <c r="C160" s="13" t="s">
        <v>368</v>
      </c>
      <c r="D160" s="13">
        <v>3</v>
      </c>
      <c r="E160" s="13">
        <v>2</v>
      </c>
      <c r="F160" s="13" t="s">
        <v>222</v>
      </c>
    </row>
    <row r="161" spans="1:6" x14ac:dyDescent="0.25">
      <c r="A161" s="13">
        <v>2406</v>
      </c>
      <c r="B161" s="14" t="s">
        <v>369</v>
      </c>
      <c r="C161" s="13" t="s">
        <v>370</v>
      </c>
      <c r="D161" s="13">
        <v>1</v>
      </c>
      <c r="E161" s="13">
        <v>4</v>
      </c>
      <c r="F161" s="13" t="s">
        <v>222</v>
      </c>
    </row>
    <row r="162" spans="1:6" x14ac:dyDescent="0.25">
      <c r="A162" s="13">
        <v>2407</v>
      </c>
      <c r="B162" s="14" t="s">
        <v>371</v>
      </c>
      <c r="C162" s="13" t="s">
        <v>372</v>
      </c>
      <c r="D162" s="13">
        <v>3</v>
      </c>
      <c r="E162" s="13">
        <v>2</v>
      </c>
      <c r="F162" s="13" t="s">
        <v>222</v>
      </c>
    </row>
    <row r="163" spans="1:6" x14ac:dyDescent="0.25">
      <c r="A163" s="13">
        <v>2408</v>
      </c>
      <c r="B163" s="14" t="s">
        <v>373</v>
      </c>
      <c r="C163" s="13" t="s">
        <v>374</v>
      </c>
      <c r="D163" s="13">
        <v>2</v>
      </c>
      <c r="E163" s="13">
        <v>3</v>
      </c>
      <c r="F163" s="13" t="s">
        <v>222</v>
      </c>
    </row>
    <row r="164" spans="1:6" x14ac:dyDescent="0.25">
      <c r="A164" s="13">
        <v>2409</v>
      </c>
      <c r="B164" s="14" t="s">
        <v>375</v>
      </c>
      <c r="C164" s="13" t="s">
        <v>376</v>
      </c>
      <c r="D164" s="13">
        <v>3</v>
      </c>
      <c r="E164" s="13">
        <v>4</v>
      </c>
      <c r="F164" s="13" t="s">
        <v>222</v>
      </c>
    </row>
    <row r="165" spans="1:6" x14ac:dyDescent="0.25">
      <c r="A165" s="13">
        <v>2411</v>
      </c>
      <c r="B165" s="14" t="s">
        <v>377</v>
      </c>
      <c r="C165" s="13" t="s">
        <v>378</v>
      </c>
      <c r="D165" s="13">
        <v>1</v>
      </c>
      <c r="E165" s="13">
        <v>4</v>
      </c>
      <c r="F165" s="13" t="s">
        <v>222</v>
      </c>
    </row>
    <row r="166" spans="1:6" x14ac:dyDescent="0.25">
      <c r="A166" s="13">
        <v>2415</v>
      </c>
      <c r="B166" s="14" t="s">
        <v>379</v>
      </c>
      <c r="C166" s="13" t="s">
        <v>380</v>
      </c>
      <c r="D166" s="13">
        <v>1</v>
      </c>
      <c r="E166" s="13">
        <v>2.5</v>
      </c>
      <c r="F166" s="13" t="s">
        <v>222</v>
      </c>
    </row>
    <row r="167" spans="1:6" x14ac:dyDescent="0.25">
      <c r="A167" s="13">
        <v>2416</v>
      </c>
      <c r="B167" s="14" t="s">
        <v>381</v>
      </c>
      <c r="C167" s="13" t="s">
        <v>382</v>
      </c>
      <c r="D167" s="13">
        <v>2</v>
      </c>
      <c r="E167" s="13">
        <v>2.5</v>
      </c>
      <c r="F167" s="13" t="s">
        <v>222</v>
      </c>
    </row>
    <row r="168" spans="1:6" x14ac:dyDescent="0.25">
      <c r="A168" s="13">
        <v>2418</v>
      </c>
      <c r="B168" s="14" t="s">
        <v>383</v>
      </c>
      <c r="C168" s="13" t="s">
        <v>384</v>
      </c>
      <c r="D168" s="13">
        <v>1</v>
      </c>
      <c r="E168" s="13">
        <v>2</v>
      </c>
      <c r="F168" s="13" t="s">
        <v>222</v>
      </c>
    </row>
    <row r="169" spans="1:6" x14ac:dyDescent="0.25">
      <c r="A169" s="13">
        <v>2421</v>
      </c>
      <c r="B169" s="14" t="s">
        <v>385</v>
      </c>
      <c r="C169" s="13" t="s">
        <v>386</v>
      </c>
      <c r="D169" s="13">
        <v>2</v>
      </c>
      <c r="E169" s="13">
        <v>1.5</v>
      </c>
      <c r="F169" s="13" t="s">
        <v>222</v>
      </c>
    </row>
    <row r="170" spans="1:6" x14ac:dyDescent="0.25">
      <c r="A170" s="13">
        <v>2422</v>
      </c>
      <c r="B170" s="14" t="s">
        <v>387</v>
      </c>
      <c r="C170" s="13" t="s">
        <v>388</v>
      </c>
      <c r="D170" s="13">
        <v>3</v>
      </c>
      <c r="E170" s="13">
        <v>1.5</v>
      </c>
      <c r="F170" s="13" t="s">
        <v>222</v>
      </c>
    </row>
    <row r="171" spans="1:6" x14ac:dyDescent="0.25">
      <c r="A171" s="13">
        <v>2424</v>
      </c>
      <c r="B171" s="14" t="s">
        <v>389</v>
      </c>
      <c r="C171" s="13" t="s">
        <v>390</v>
      </c>
      <c r="D171" s="13">
        <v>2</v>
      </c>
      <c r="E171" s="13">
        <v>4</v>
      </c>
      <c r="F171" s="13" t="s">
        <v>222</v>
      </c>
    </row>
    <row r="172" spans="1:6" x14ac:dyDescent="0.25">
      <c r="A172" s="13">
        <v>2425</v>
      </c>
      <c r="B172" s="14" t="s">
        <v>391</v>
      </c>
      <c r="C172" s="13" t="s">
        <v>392</v>
      </c>
      <c r="D172" s="13">
        <v>3</v>
      </c>
      <c r="E172" s="13">
        <v>3</v>
      </c>
      <c r="F172" s="13" t="s">
        <v>222</v>
      </c>
    </row>
    <row r="173" spans="1:6" x14ac:dyDescent="0.25">
      <c r="A173" s="13">
        <v>2426</v>
      </c>
      <c r="B173" s="14" t="s">
        <v>393</v>
      </c>
      <c r="C173" s="13" t="s">
        <v>394</v>
      </c>
      <c r="D173" s="13">
        <v>3</v>
      </c>
      <c r="E173" s="13">
        <v>3.5</v>
      </c>
      <c r="F173" s="13" t="s">
        <v>222</v>
      </c>
    </row>
    <row r="174" spans="1:6" x14ac:dyDescent="0.25">
      <c r="A174" s="13">
        <v>2428</v>
      </c>
      <c r="B174" s="14" t="s">
        <v>395</v>
      </c>
      <c r="C174" s="13" t="s">
        <v>396</v>
      </c>
      <c r="D174" s="13">
        <v>2</v>
      </c>
      <c r="E174" s="13">
        <v>4</v>
      </c>
      <c r="F174" s="13" t="s">
        <v>222</v>
      </c>
    </row>
    <row r="175" spans="1:6" x14ac:dyDescent="0.25">
      <c r="A175" s="13">
        <v>2429</v>
      </c>
      <c r="B175" s="14" t="s">
        <v>397</v>
      </c>
      <c r="C175" s="13" t="s">
        <v>398</v>
      </c>
      <c r="D175" s="13">
        <v>3</v>
      </c>
      <c r="E175" s="13">
        <v>4</v>
      </c>
      <c r="F175" s="13" t="s">
        <v>222</v>
      </c>
    </row>
    <row r="176" spans="1:6" x14ac:dyDescent="0.25">
      <c r="A176" s="13">
        <v>2430</v>
      </c>
      <c r="B176" s="14" t="s">
        <v>399</v>
      </c>
      <c r="C176" s="13" t="s">
        <v>400</v>
      </c>
      <c r="D176" s="13">
        <v>2</v>
      </c>
      <c r="E176" s="13">
        <v>4</v>
      </c>
      <c r="F176" s="13" t="s">
        <v>222</v>
      </c>
    </row>
  </sheetData>
  <autoFilter ref="A4:F17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76"/>
  <sheetViews>
    <sheetView showGridLines="0" workbookViewId="0">
      <pane xSplit="2" ySplit="4" topLeftCell="C2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401</v>
      </c>
    </row>
    <row r="2" spans="1:50" x14ac:dyDescent="0.25">
      <c r="A2" s="29" t="s">
        <v>402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403</v>
      </c>
      <c r="D4" s="5" t="s">
        <v>404</v>
      </c>
      <c r="E4" s="5" t="s">
        <v>405</v>
      </c>
      <c r="F4" s="5" t="s">
        <v>406</v>
      </c>
      <c r="G4" s="5" t="s">
        <v>407</v>
      </c>
      <c r="H4" s="5" t="s">
        <v>408</v>
      </c>
      <c r="I4" s="5" t="s">
        <v>409</v>
      </c>
      <c r="J4" s="5" t="s">
        <v>410</v>
      </c>
      <c r="K4" s="5" t="s">
        <v>411</v>
      </c>
      <c r="L4" s="5" t="s">
        <v>412</v>
      </c>
      <c r="M4" s="5" t="s">
        <v>413</v>
      </c>
      <c r="N4" s="5" t="s">
        <v>414</v>
      </c>
      <c r="O4" s="5" t="s">
        <v>415</v>
      </c>
      <c r="P4" s="5" t="s">
        <v>416</v>
      </c>
      <c r="Q4" s="5" t="s">
        <v>417</v>
      </c>
      <c r="R4" s="5" t="s">
        <v>418</v>
      </c>
      <c r="S4" s="5" t="s">
        <v>419</v>
      </c>
      <c r="T4" s="5" t="s">
        <v>420</v>
      </c>
      <c r="U4" s="5" t="s">
        <v>421</v>
      </c>
      <c r="V4" s="5" t="s">
        <v>422</v>
      </c>
      <c r="W4" s="5" t="s">
        <v>423</v>
      </c>
      <c r="X4" s="5" t="s">
        <v>424</v>
      </c>
      <c r="Y4" s="5" t="s">
        <v>425</v>
      </c>
      <c r="Z4" s="5" t="s">
        <v>426</v>
      </c>
      <c r="AA4" s="5" t="s">
        <v>427</v>
      </c>
      <c r="AB4" s="5" t="s">
        <v>428</v>
      </c>
      <c r="AC4" s="5" t="s">
        <v>429</v>
      </c>
      <c r="AD4" s="5" t="s">
        <v>430</v>
      </c>
      <c r="AE4" s="5" t="s">
        <v>431</v>
      </c>
      <c r="AF4" s="5" t="s">
        <v>432</v>
      </c>
      <c r="AG4" s="5" t="s">
        <v>433</v>
      </c>
      <c r="AH4" s="5" t="s">
        <v>434</v>
      </c>
      <c r="AI4" s="5" t="s">
        <v>435</v>
      </c>
      <c r="AJ4" s="5" t="s">
        <v>436</v>
      </c>
      <c r="AK4" s="5" t="s">
        <v>437</v>
      </c>
      <c r="AL4" s="5" t="s">
        <v>438</v>
      </c>
      <c r="AM4" s="5" t="s">
        <v>439</v>
      </c>
      <c r="AN4" s="5" t="s">
        <v>440</v>
      </c>
      <c r="AO4" s="5" t="s">
        <v>441</v>
      </c>
      <c r="AP4" s="5" t="s">
        <v>442</v>
      </c>
      <c r="AQ4" s="5" t="s">
        <v>443</v>
      </c>
      <c r="AR4" s="5" t="s">
        <v>444</v>
      </c>
      <c r="AS4" s="5" t="s">
        <v>445</v>
      </c>
      <c r="AT4" s="5" t="s">
        <v>446</v>
      </c>
      <c r="AU4" s="5" t="s">
        <v>447</v>
      </c>
      <c r="AV4" s="5" t="s">
        <v>448</v>
      </c>
      <c r="AW4" s="5" t="s">
        <v>449</v>
      </c>
      <c r="AX4" s="5" t="s">
        <v>450</v>
      </c>
    </row>
    <row r="5" spans="1:50" x14ac:dyDescent="0.25">
      <c r="A5" s="8" t="s">
        <v>55</v>
      </c>
      <c r="B5" s="10" t="s">
        <v>57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</row>
    <row r="6" spans="1:50" x14ac:dyDescent="0.25">
      <c r="A6" s="8" t="s">
        <v>58</v>
      </c>
      <c r="B6" s="10" t="s">
        <v>57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</row>
    <row r="7" spans="1:50" x14ac:dyDescent="0.25">
      <c r="A7" s="17" t="s">
        <v>220</v>
      </c>
      <c r="B7" s="13" t="s">
        <v>222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2.5999999999999999E-3</v>
      </c>
      <c r="K7" s="18">
        <v>3.73E-2</v>
      </c>
      <c r="L7" s="18">
        <v>0.1744</v>
      </c>
      <c r="M7" s="18">
        <v>0.34599999999999997</v>
      </c>
      <c r="N7" s="18">
        <v>0.55640000000000001</v>
      </c>
      <c r="O7" s="18">
        <v>0.78590000000000004</v>
      </c>
      <c r="P7" s="18">
        <v>1.0183</v>
      </c>
      <c r="Q7" s="18">
        <v>1.2495000000000001</v>
      </c>
      <c r="R7" s="18">
        <v>1.4810000000000001</v>
      </c>
      <c r="S7" s="18">
        <v>1.6981999999999999</v>
      </c>
      <c r="T7" s="18">
        <v>1.9025000000000001</v>
      </c>
      <c r="U7" s="18">
        <v>2.0764</v>
      </c>
      <c r="V7" s="18">
        <v>2.2248000000000001</v>
      </c>
      <c r="W7" s="18">
        <v>2.355</v>
      </c>
      <c r="X7" s="18">
        <v>2.4624999999999999</v>
      </c>
      <c r="Y7" s="18">
        <v>2.5387</v>
      </c>
      <c r="Z7" s="18">
        <v>2.5722</v>
      </c>
      <c r="AA7" s="18">
        <v>2.5819000000000001</v>
      </c>
      <c r="AB7" s="18">
        <v>2.5636999999999999</v>
      </c>
      <c r="AC7" s="18">
        <v>2.5028999999999999</v>
      </c>
      <c r="AD7" s="18">
        <v>2.41</v>
      </c>
      <c r="AE7" s="18">
        <v>2.2991000000000001</v>
      </c>
      <c r="AF7" s="18">
        <v>2.1585999999999999</v>
      </c>
      <c r="AG7" s="18">
        <v>2.0093000000000001</v>
      </c>
      <c r="AH7" s="18">
        <v>1.8297000000000001</v>
      </c>
      <c r="AI7" s="18">
        <v>1.6274</v>
      </c>
      <c r="AJ7" s="18">
        <v>1.3831</v>
      </c>
      <c r="AK7" s="18">
        <v>1.1544000000000001</v>
      </c>
      <c r="AL7" s="18">
        <v>0.91949999999999998</v>
      </c>
      <c r="AM7" s="18">
        <v>0.69220000000000004</v>
      </c>
      <c r="AN7" s="18">
        <v>0.47310000000000002</v>
      </c>
      <c r="AO7" s="18">
        <v>0.2762</v>
      </c>
      <c r="AP7" s="18">
        <v>8.0399999999999999E-2</v>
      </c>
      <c r="AQ7" s="18">
        <v>1.4800000000000001E-2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</row>
    <row r="8" spans="1:50" x14ac:dyDescent="0.25">
      <c r="A8" s="17" t="s">
        <v>223</v>
      </c>
      <c r="B8" s="13" t="s">
        <v>222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3.3999999999999998E-3</v>
      </c>
      <c r="K8" s="18">
        <v>4.9700000000000001E-2</v>
      </c>
      <c r="L8" s="18">
        <v>0.2326</v>
      </c>
      <c r="M8" s="18">
        <v>0.46129999999999999</v>
      </c>
      <c r="N8" s="18">
        <v>0.7419</v>
      </c>
      <c r="O8" s="18">
        <v>1.0479000000000001</v>
      </c>
      <c r="P8" s="18">
        <v>1.3576999999999999</v>
      </c>
      <c r="Q8" s="18">
        <v>1.6659999999999999</v>
      </c>
      <c r="R8" s="18">
        <v>1.9745999999999999</v>
      </c>
      <c r="S8" s="18">
        <v>2.2643</v>
      </c>
      <c r="T8" s="18">
        <v>2.5367000000000002</v>
      </c>
      <c r="U8" s="18">
        <v>2.7686000000000002</v>
      </c>
      <c r="V8" s="18">
        <v>2.9664000000000001</v>
      </c>
      <c r="W8" s="18">
        <v>3.14</v>
      </c>
      <c r="X8" s="18">
        <v>3.2833000000000001</v>
      </c>
      <c r="Y8" s="18">
        <v>3.3849999999999998</v>
      </c>
      <c r="Z8" s="18">
        <v>3.4296000000000002</v>
      </c>
      <c r="AA8" s="18">
        <v>3.4424999999999999</v>
      </c>
      <c r="AB8" s="18">
        <v>3.4182999999999999</v>
      </c>
      <c r="AC8" s="18">
        <v>3.3372000000000002</v>
      </c>
      <c r="AD8" s="18">
        <v>3.2132999999999998</v>
      </c>
      <c r="AE8" s="18">
        <v>3.0655000000000001</v>
      </c>
      <c r="AF8" s="18">
        <v>2.8782000000000001</v>
      </c>
      <c r="AG8" s="18">
        <v>2.6791</v>
      </c>
      <c r="AH8" s="18">
        <v>2.4396</v>
      </c>
      <c r="AI8" s="18">
        <v>2.1698</v>
      </c>
      <c r="AJ8" s="18">
        <v>1.8441000000000001</v>
      </c>
      <c r="AK8" s="18">
        <v>1.5391999999999999</v>
      </c>
      <c r="AL8" s="18">
        <v>1.2259</v>
      </c>
      <c r="AM8" s="18">
        <v>0.92290000000000005</v>
      </c>
      <c r="AN8" s="18">
        <v>0.63080000000000003</v>
      </c>
      <c r="AO8" s="18">
        <v>0.36830000000000002</v>
      </c>
      <c r="AP8" s="18">
        <v>0.1072</v>
      </c>
      <c r="AQ8" s="18">
        <v>1.9800000000000002E-2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</row>
    <row r="9" spans="1:50" x14ac:dyDescent="0.25">
      <c r="A9" s="8" t="s">
        <v>60</v>
      </c>
      <c r="B9" s="10" t="s">
        <v>57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</row>
    <row r="10" spans="1:50" x14ac:dyDescent="0.25">
      <c r="A10" s="17" t="s">
        <v>225</v>
      </c>
      <c r="B10" s="13" t="s">
        <v>222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3.3999999999999998E-3</v>
      </c>
      <c r="K10" s="18">
        <v>4.9700000000000001E-2</v>
      </c>
      <c r="L10" s="18">
        <v>0.2326</v>
      </c>
      <c r="M10" s="18">
        <v>0.46129999999999999</v>
      </c>
      <c r="N10" s="18">
        <v>0.7419</v>
      </c>
      <c r="O10" s="18">
        <v>1.0479000000000001</v>
      </c>
      <c r="P10" s="18">
        <v>1.3576999999999999</v>
      </c>
      <c r="Q10" s="18">
        <v>1.6659999999999999</v>
      </c>
      <c r="R10" s="18">
        <v>1.9745999999999999</v>
      </c>
      <c r="S10" s="18">
        <v>2.2643</v>
      </c>
      <c r="T10" s="18">
        <v>2.5367000000000002</v>
      </c>
      <c r="U10" s="18">
        <v>2.7686000000000002</v>
      </c>
      <c r="V10" s="18">
        <v>2.9664000000000001</v>
      </c>
      <c r="W10" s="18">
        <v>3.14</v>
      </c>
      <c r="X10" s="18">
        <v>3.2833000000000001</v>
      </c>
      <c r="Y10" s="18">
        <v>3.3849999999999998</v>
      </c>
      <c r="Z10" s="18">
        <v>3.4296000000000002</v>
      </c>
      <c r="AA10" s="18">
        <v>3.4424999999999999</v>
      </c>
      <c r="AB10" s="18">
        <v>3.4182999999999999</v>
      </c>
      <c r="AC10" s="18">
        <v>3.3372000000000002</v>
      </c>
      <c r="AD10" s="18">
        <v>3.2132999999999998</v>
      </c>
      <c r="AE10" s="18">
        <v>3.0655000000000001</v>
      </c>
      <c r="AF10" s="18">
        <v>2.8782000000000001</v>
      </c>
      <c r="AG10" s="18">
        <v>2.6791</v>
      </c>
      <c r="AH10" s="18">
        <v>2.4396</v>
      </c>
      <c r="AI10" s="18">
        <v>2.1698</v>
      </c>
      <c r="AJ10" s="18">
        <v>1.8441000000000001</v>
      </c>
      <c r="AK10" s="18">
        <v>1.5391999999999999</v>
      </c>
      <c r="AL10" s="18">
        <v>1.2259</v>
      </c>
      <c r="AM10" s="18">
        <v>0.92290000000000005</v>
      </c>
      <c r="AN10" s="18">
        <v>0.63080000000000003</v>
      </c>
      <c r="AO10" s="18">
        <v>0.36830000000000002</v>
      </c>
      <c r="AP10" s="18">
        <v>0.1072</v>
      </c>
      <c r="AQ10" s="18">
        <v>1.9800000000000002E-2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</row>
    <row r="11" spans="1:50" x14ac:dyDescent="0.25">
      <c r="A11" s="17" t="s">
        <v>227</v>
      </c>
      <c r="B11" s="13" t="s">
        <v>222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3.3999999999999998E-3</v>
      </c>
      <c r="K11" s="18">
        <v>4.9700000000000001E-2</v>
      </c>
      <c r="L11" s="18">
        <v>0.2326</v>
      </c>
      <c r="M11" s="18">
        <v>0.46129999999999999</v>
      </c>
      <c r="N11" s="18">
        <v>0.7419</v>
      </c>
      <c r="O11" s="18">
        <v>1.0479000000000001</v>
      </c>
      <c r="P11" s="18">
        <v>1.3576999999999999</v>
      </c>
      <c r="Q11" s="18">
        <v>1.6659999999999999</v>
      </c>
      <c r="R11" s="18">
        <v>1.9745999999999999</v>
      </c>
      <c r="S11" s="18">
        <v>2.2643</v>
      </c>
      <c r="T11" s="18">
        <v>2.5367000000000002</v>
      </c>
      <c r="U11" s="18">
        <v>2.7686000000000002</v>
      </c>
      <c r="V11" s="18">
        <v>2.9664000000000001</v>
      </c>
      <c r="W11" s="18">
        <v>3.14</v>
      </c>
      <c r="X11" s="18">
        <v>3.2833000000000001</v>
      </c>
      <c r="Y11" s="18">
        <v>3.3849999999999998</v>
      </c>
      <c r="Z11" s="18">
        <v>3.4296000000000002</v>
      </c>
      <c r="AA11" s="18">
        <v>3.4424999999999999</v>
      </c>
      <c r="AB11" s="18">
        <v>3.4182999999999999</v>
      </c>
      <c r="AC11" s="18">
        <v>3.3372000000000002</v>
      </c>
      <c r="AD11" s="18">
        <v>3.2132999999999998</v>
      </c>
      <c r="AE11" s="18">
        <v>3.0655000000000001</v>
      </c>
      <c r="AF11" s="18">
        <v>2.8782000000000001</v>
      </c>
      <c r="AG11" s="18">
        <v>2.6791</v>
      </c>
      <c r="AH11" s="18">
        <v>2.4396</v>
      </c>
      <c r="AI11" s="18">
        <v>2.1698</v>
      </c>
      <c r="AJ11" s="18">
        <v>1.8441000000000001</v>
      </c>
      <c r="AK11" s="18">
        <v>1.5391999999999999</v>
      </c>
      <c r="AL11" s="18">
        <v>1.2259</v>
      </c>
      <c r="AM11" s="18">
        <v>0.92290000000000005</v>
      </c>
      <c r="AN11" s="18">
        <v>0.63080000000000003</v>
      </c>
      <c r="AO11" s="18">
        <v>0.36830000000000002</v>
      </c>
      <c r="AP11" s="18">
        <v>0.1072</v>
      </c>
      <c r="AQ11" s="18">
        <v>1.9800000000000002E-2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</row>
    <row r="12" spans="1:50" x14ac:dyDescent="0.25">
      <c r="A12" s="17" t="s">
        <v>229</v>
      </c>
      <c r="B12" s="13" t="s">
        <v>222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3.3999999999999998E-3</v>
      </c>
      <c r="K12" s="18">
        <v>4.9700000000000001E-2</v>
      </c>
      <c r="L12" s="18">
        <v>0.2326</v>
      </c>
      <c r="M12" s="18">
        <v>0.46129999999999999</v>
      </c>
      <c r="N12" s="18">
        <v>0.7419</v>
      </c>
      <c r="O12" s="18">
        <v>1.0479000000000001</v>
      </c>
      <c r="P12" s="18">
        <v>1.3576999999999999</v>
      </c>
      <c r="Q12" s="18">
        <v>1.6659999999999999</v>
      </c>
      <c r="R12" s="18">
        <v>1.9745999999999999</v>
      </c>
      <c r="S12" s="18">
        <v>2.2643</v>
      </c>
      <c r="T12" s="18">
        <v>2.5367000000000002</v>
      </c>
      <c r="U12" s="18">
        <v>2.7686000000000002</v>
      </c>
      <c r="V12" s="18">
        <v>2.9664000000000001</v>
      </c>
      <c r="W12" s="18">
        <v>3.14</v>
      </c>
      <c r="X12" s="18">
        <v>3.2833000000000001</v>
      </c>
      <c r="Y12" s="18">
        <v>3.3849999999999998</v>
      </c>
      <c r="Z12" s="18">
        <v>3.4296000000000002</v>
      </c>
      <c r="AA12" s="18">
        <v>3.4424999999999999</v>
      </c>
      <c r="AB12" s="18">
        <v>3.4182999999999999</v>
      </c>
      <c r="AC12" s="18">
        <v>3.3372000000000002</v>
      </c>
      <c r="AD12" s="18">
        <v>3.2132999999999998</v>
      </c>
      <c r="AE12" s="18">
        <v>3.0655000000000001</v>
      </c>
      <c r="AF12" s="18">
        <v>2.8782000000000001</v>
      </c>
      <c r="AG12" s="18">
        <v>2.6791</v>
      </c>
      <c r="AH12" s="18">
        <v>2.4396</v>
      </c>
      <c r="AI12" s="18">
        <v>2.1698</v>
      </c>
      <c r="AJ12" s="18">
        <v>1.8441000000000001</v>
      </c>
      <c r="AK12" s="18">
        <v>1.5391999999999999</v>
      </c>
      <c r="AL12" s="18">
        <v>1.2259</v>
      </c>
      <c r="AM12" s="18">
        <v>0.92290000000000005</v>
      </c>
      <c r="AN12" s="18">
        <v>0.63080000000000003</v>
      </c>
      <c r="AO12" s="18">
        <v>0.36830000000000002</v>
      </c>
      <c r="AP12" s="18">
        <v>0.1072</v>
      </c>
      <c r="AQ12" s="18">
        <v>1.9800000000000002E-2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</row>
    <row r="13" spans="1:50" x14ac:dyDescent="0.25">
      <c r="A13" s="17" t="s">
        <v>231</v>
      </c>
      <c r="B13" s="13" t="s">
        <v>222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3.0000000000000001E-3</v>
      </c>
      <c r="K13" s="18">
        <v>4.3499999999999997E-2</v>
      </c>
      <c r="L13" s="18">
        <v>0.20349999999999999</v>
      </c>
      <c r="M13" s="18">
        <v>0.4037</v>
      </c>
      <c r="N13" s="18">
        <v>0.64910000000000001</v>
      </c>
      <c r="O13" s="18">
        <v>0.91690000000000005</v>
      </c>
      <c r="P13" s="18">
        <v>1.1879999999999999</v>
      </c>
      <c r="Q13" s="18">
        <v>1.4577</v>
      </c>
      <c r="R13" s="18">
        <v>1.7278</v>
      </c>
      <c r="S13" s="18">
        <v>1.9813000000000001</v>
      </c>
      <c r="T13" s="18">
        <v>2.2195999999999998</v>
      </c>
      <c r="U13" s="18">
        <v>2.4224999999999999</v>
      </c>
      <c r="V13" s="18">
        <v>2.5956000000000001</v>
      </c>
      <c r="W13" s="18">
        <v>2.7475000000000001</v>
      </c>
      <c r="X13" s="18">
        <v>2.8729</v>
      </c>
      <c r="Y13" s="18">
        <v>2.9619</v>
      </c>
      <c r="Z13" s="18">
        <v>3.0009000000000001</v>
      </c>
      <c r="AA13" s="18">
        <v>3.0122</v>
      </c>
      <c r="AB13" s="18">
        <v>2.9910000000000001</v>
      </c>
      <c r="AC13" s="18">
        <v>2.92</v>
      </c>
      <c r="AD13" s="18">
        <v>2.8117000000000001</v>
      </c>
      <c r="AE13" s="18">
        <v>2.6823000000000001</v>
      </c>
      <c r="AF13" s="18">
        <v>2.5184000000000002</v>
      </c>
      <c r="AG13" s="18">
        <v>2.3441999999999998</v>
      </c>
      <c r="AH13" s="18">
        <v>2.1345999999999998</v>
      </c>
      <c r="AI13" s="18">
        <v>1.8986000000000001</v>
      </c>
      <c r="AJ13" s="18">
        <v>1.6135999999999999</v>
      </c>
      <c r="AK13" s="18">
        <v>1.3468</v>
      </c>
      <c r="AL13" s="18">
        <v>1.0727</v>
      </c>
      <c r="AM13" s="18">
        <v>0.80759999999999998</v>
      </c>
      <c r="AN13" s="18">
        <v>0.55189999999999995</v>
      </c>
      <c r="AO13" s="18">
        <v>0.32229999999999998</v>
      </c>
      <c r="AP13" s="18">
        <v>9.3799999999999994E-2</v>
      </c>
      <c r="AQ13" s="18">
        <v>1.7299999999999999E-2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</row>
    <row r="14" spans="1:50" x14ac:dyDescent="0.25">
      <c r="A14" s="17" t="s">
        <v>233</v>
      </c>
      <c r="B14" s="13" t="s">
        <v>222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3.3999999999999998E-3</v>
      </c>
      <c r="K14" s="18">
        <v>4.9700000000000001E-2</v>
      </c>
      <c r="L14" s="18">
        <v>0.2326</v>
      </c>
      <c r="M14" s="18">
        <v>0.46129999999999999</v>
      </c>
      <c r="N14" s="18">
        <v>0.7419</v>
      </c>
      <c r="O14" s="18">
        <v>1.0479000000000001</v>
      </c>
      <c r="P14" s="18">
        <v>1.3576999999999999</v>
      </c>
      <c r="Q14" s="18">
        <v>1.6659999999999999</v>
      </c>
      <c r="R14" s="18">
        <v>1.9745999999999999</v>
      </c>
      <c r="S14" s="18">
        <v>2.2643</v>
      </c>
      <c r="T14" s="18">
        <v>2.5367000000000002</v>
      </c>
      <c r="U14" s="18">
        <v>2.7686000000000002</v>
      </c>
      <c r="V14" s="18">
        <v>2.9664000000000001</v>
      </c>
      <c r="W14" s="18">
        <v>3.14</v>
      </c>
      <c r="X14" s="18">
        <v>3.2833000000000001</v>
      </c>
      <c r="Y14" s="18">
        <v>3.3849999999999998</v>
      </c>
      <c r="Z14" s="18">
        <v>3.4296000000000002</v>
      </c>
      <c r="AA14" s="18">
        <v>3.4424999999999999</v>
      </c>
      <c r="AB14" s="18">
        <v>3.4182999999999999</v>
      </c>
      <c r="AC14" s="18">
        <v>3.3372000000000002</v>
      </c>
      <c r="AD14" s="18">
        <v>3.2132999999999998</v>
      </c>
      <c r="AE14" s="18">
        <v>3.0655000000000001</v>
      </c>
      <c r="AF14" s="18">
        <v>2.8782000000000001</v>
      </c>
      <c r="AG14" s="18">
        <v>2.6791</v>
      </c>
      <c r="AH14" s="18">
        <v>2.4396</v>
      </c>
      <c r="AI14" s="18">
        <v>2.1698</v>
      </c>
      <c r="AJ14" s="18">
        <v>1.8441000000000001</v>
      </c>
      <c r="AK14" s="18">
        <v>1.5391999999999999</v>
      </c>
      <c r="AL14" s="18">
        <v>1.2259</v>
      </c>
      <c r="AM14" s="18">
        <v>0.92290000000000005</v>
      </c>
      <c r="AN14" s="18">
        <v>0.63080000000000003</v>
      </c>
      <c r="AO14" s="18">
        <v>0.36830000000000002</v>
      </c>
      <c r="AP14" s="18">
        <v>0.1072</v>
      </c>
      <c r="AQ14" s="18">
        <v>1.9800000000000002E-2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</row>
    <row r="15" spans="1:50" x14ac:dyDescent="0.25">
      <c r="A15" s="17" t="s">
        <v>235</v>
      </c>
      <c r="B15" s="13" t="s">
        <v>222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3.0000000000000001E-3</v>
      </c>
      <c r="K15" s="18">
        <v>4.3499999999999997E-2</v>
      </c>
      <c r="L15" s="18">
        <v>0.20349999999999999</v>
      </c>
      <c r="M15" s="18">
        <v>0.4037</v>
      </c>
      <c r="N15" s="18">
        <v>0.64910000000000001</v>
      </c>
      <c r="O15" s="18">
        <v>0.91690000000000005</v>
      </c>
      <c r="P15" s="18">
        <v>1.1879999999999999</v>
      </c>
      <c r="Q15" s="18">
        <v>1.4577</v>
      </c>
      <c r="R15" s="18">
        <v>1.7278</v>
      </c>
      <c r="S15" s="18">
        <v>1.9813000000000001</v>
      </c>
      <c r="T15" s="18">
        <v>2.2195999999999998</v>
      </c>
      <c r="U15" s="18">
        <v>2.4224999999999999</v>
      </c>
      <c r="V15" s="18">
        <v>2.5956000000000001</v>
      </c>
      <c r="W15" s="18">
        <v>2.7475000000000001</v>
      </c>
      <c r="X15" s="18">
        <v>2.8729</v>
      </c>
      <c r="Y15" s="18">
        <v>2.9619</v>
      </c>
      <c r="Z15" s="18">
        <v>3.0009000000000001</v>
      </c>
      <c r="AA15" s="18">
        <v>3.0122</v>
      </c>
      <c r="AB15" s="18">
        <v>2.9910000000000001</v>
      </c>
      <c r="AC15" s="18">
        <v>2.92</v>
      </c>
      <c r="AD15" s="18">
        <v>2.8117000000000001</v>
      </c>
      <c r="AE15" s="18">
        <v>2.6823000000000001</v>
      </c>
      <c r="AF15" s="18">
        <v>2.5184000000000002</v>
      </c>
      <c r="AG15" s="18">
        <v>2.3441999999999998</v>
      </c>
      <c r="AH15" s="18">
        <v>2.1345999999999998</v>
      </c>
      <c r="AI15" s="18">
        <v>1.8986000000000001</v>
      </c>
      <c r="AJ15" s="18">
        <v>1.6135999999999999</v>
      </c>
      <c r="AK15" s="18">
        <v>1.3468</v>
      </c>
      <c r="AL15" s="18">
        <v>1.0727</v>
      </c>
      <c r="AM15" s="18">
        <v>0.80759999999999998</v>
      </c>
      <c r="AN15" s="18">
        <v>0.55189999999999995</v>
      </c>
      <c r="AO15" s="18">
        <v>0.32229999999999998</v>
      </c>
      <c r="AP15" s="18">
        <v>9.3799999999999994E-2</v>
      </c>
      <c r="AQ15" s="18">
        <v>1.7299999999999999E-2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</row>
    <row r="16" spans="1:50" x14ac:dyDescent="0.25">
      <c r="A16" s="8" t="s">
        <v>62</v>
      </c>
      <c r="B16" s="10" t="s">
        <v>57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</row>
    <row r="17" spans="1:50" x14ac:dyDescent="0.25">
      <c r="A17" s="17" t="s">
        <v>237</v>
      </c>
      <c r="B17" s="13" t="s">
        <v>222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3.0000000000000001E-3</v>
      </c>
      <c r="K17" s="18">
        <v>4.3499999999999997E-2</v>
      </c>
      <c r="L17" s="18">
        <v>0.20349999999999999</v>
      </c>
      <c r="M17" s="18">
        <v>0.4037</v>
      </c>
      <c r="N17" s="18">
        <v>0.64910000000000001</v>
      </c>
      <c r="O17" s="18">
        <v>0.91690000000000005</v>
      </c>
      <c r="P17" s="18">
        <v>1.1879999999999999</v>
      </c>
      <c r="Q17" s="18">
        <v>1.4577</v>
      </c>
      <c r="R17" s="18">
        <v>1.7278</v>
      </c>
      <c r="S17" s="18">
        <v>1.9813000000000001</v>
      </c>
      <c r="T17" s="18">
        <v>2.2195999999999998</v>
      </c>
      <c r="U17" s="18">
        <v>2.4224999999999999</v>
      </c>
      <c r="V17" s="18">
        <v>2.5956000000000001</v>
      </c>
      <c r="W17" s="18">
        <v>2.7475000000000001</v>
      </c>
      <c r="X17" s="18">
        <v>2.8729</v>
      </c>
      <c r="Y17" s="18">
        <v>2.9619</v>
      </c>
      <c r="Z17" s="18">
        <v>3.0009000000000001</v>
      </c>
      <c r="AA17" s="18">
        <v>3.0122</v>
      </c>
      <c r="AB17" s="18">
        <v>2.9910000000000001</v>
      </c>
      <c r="AC17" s="18">
        <v>2.92</v>
      </c>
      <c r="AD17" s="18">
        <v>2.8117000000000001</v>
      </c>
      <c r="AE17" s="18">
        <v>2.6823000000000001</v>
      </c>
      <c r="AF17" s="18">
        <v>2.5184000000000002</v>
      </c>
      <c r="AG17" s="18">
        <v>2.3441999999999998</v>
      </c>
      <c r="AH17" s="18">
        <v>2.1345999999999998</v>
      </c>
      <c r="AI17" s="18">
        <v>1.8986000000000001</v>
      </c>
      <c r="AJ17" s="18">
        <v>1.6135999999999999</v>
      </c>
      <c r="AK17" s="18">
        <v>1.3468</v>
      </c>
      <c r="AL17" s="18">
        <v>1.0727</v>
      </c>
      <c r="AM17" s="18">
        <v>0.80759999999999998</v>
      </c>
      <c r="AN17" s="18">
        <v>0.55189999999999995</v>
      </c>
      <c r="AO17" s="18">
        <v>0.32229999999999998</v>
      </c>
      <c r="AP17" s="18">
        <v>9.3799999999999994E-2</v>
      </c>
      <c r="AQ17" s="18">
        <v>1.7299999999999999E-2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</row>
    <row r="18" spans="1:50" x14ac:dyDescent="0.25">
      <c r="A18" s="17" t="s">
        <v>239</v>
      </c>
      <c r="B18" s="13" t="s">
        <v>222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1.6999999999999999E-3</v>
      </c>
      <c r="K18" s="18">
        <v>2.4899999999999999E-2</v>
      </c>
      <c r="L18" s="18">
        <v>0.1163</v>
      </c>
      <c r="M18" s="18">
        <v>0.23069999999999999</v>
      </c>
      <c r="N18" s="18">
        <v>0.37090000000000001</v>
      </c>
      <c r="O18" s="18">
        <v>0.52400000000000002</v>
      </c>
      <c r="P18" s="18">
        <v>0.67889999999999995</v>
      </c>
      <c r="Q18" s="18">
        <v>0.83299999999999996</v>
      </c>
      <c r="R18" s="18">
        <v>0.98729999999999996</v>
      </c>
      <c r="S18" s="18">
        <v>1.1322000000000001</v>
      </c>
      <c r="T18" s="18">
        <v>1.2683</v>
      </c>
      <c r="U18" s="18">
        <v>1.3843000000000001</v>
      </c>
      <c r="V18" s="18">
        <v>1.4832000000000001</v>
      </c>
      <c r="W18" s="18">
        <v>1.57</v>
      </c>
      <c r="X18" s="18">
        <v>1.6416999999999999</v>
      </c>
      <c r="Y18" s="18">
        <v>1.6924999999999999</v>
      </c>
      <c r="Z18" s="18">
        <v>1.7148000000000001</v>
      </c>
      <c r="AA18" s="18">
        <v>1.7212000000000001</v>
      </c>
      <c r="AB18" s="18">
        <v>1.7092000000000001</v>
      </c>
      <c r="AC18" s="18">
        <v>1.6686000000000001</v>
      </c>
      <c r="AD18" s="18">
        <v>1.6067</v>
      </c>
      <c r="AE18" s="18">
        <v>1.5327999999999999</v>
      </c>
      <c r="AF18" s="18">
        <v>1.4391</v>
      </c>
      <c r="AG18" s="18">
        <v>1.3395999999999999</v>
      </c>
      <c r="AH18" s="18">
        <v>1.2198</v>
      </c>
      <c r="AI18" s="18">
        <v>1.0849</v>
      </c>
      <c r="AJ18" s="18">
        <v>0.92200000000000004</v>
      </c>
      <c r="AK18" s="18">
        <v>0.76959999999999995</v>
      </c>
      <c r="AL18" s="18">
        <v>0.61299999999999999</v>
      </c>
      <c r="AM18" s="18">
        <v>0.46150000000000002</v>
      </c>
      <c r="AN18" s="18">
        <v>0.31540000000000001</v>
      </c>
      <c r="AO18" s="18">
        <v>0.1842</v>
      </c>
      <c r="AP18" s="18">
        <v>5.3600000000000002E-2</v>
      </c>
      <c r="AQ18" s="18">
        <v>9.9000000000000008E-3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</row>
    <row r="19" spans="1:50" x14ac:dyDescent="0.25">
      <c r="A19" s="8" t="s">
        <v>64</v>
      </c>
      <c r="B19" s="10" t="s">
        <v>57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</row>
    <row r="20" spans="1:50" x14ac:dyDescent="0.25">
      <c r="A20" s="8" t="s">
        <v>66</v>
      </c>
      <c r="B20" s="10" t="s">
        <v>57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</row>
    <row r="21" spans="1:50" x14ac:dyDescent="0.25">
      <c r="A21" s="17" t="s">
        <v>241</v>
      </c>
      <c r="B21" s="13" t="s">
        <v>222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2.5999999999999999E-3</v>
      </c>
      <c r="K21" s="18">
        <v>3.73E-2</v>
      </c>
      <c r="L21" s="18">
        <v>0.1744</v>
      </c>
      <c r="M21" s="18">
        <v>0.34599999999999997</v>
      </c>
      <c r="N21" s="18">
        <v>0.55640000000000001</v>
      </c>
      <c r="O21" s="18">
        <v>0.78590000000000004</v>
      </c>
      <c r="P21" s="18">
        <v>1.0183</v>
      </c>
      <c r="Q21" s="18">
        <v>1.2495000000000001</v>
      </c>
      <c r="R21" s="18">
        <v>1.4810000000000001</v>
      </c>
      <c r="S21" s="18">
        <v>1.6981999999999999</v>
      </c>
      <c r="T21" s="18">
        <v>1.9025000000000001</v>
      </c>
      <c r="U21" s="18">
        <v>2.0764</v>
      </c>
      <c r="V21" s="18">
        <v>2.2248000000000001</v>
      </c>
      <c r="W21" s="18">
        <v>2.355</v>
      </c>
      <c r="X21" s="18">
        <v>2.4624999999999999</v>
      </c>
      <c r="Y21" s="18">
        <v>2.5387</v>
      </c>
      <c r="Z21" s="18">
        <v>2.5722</v>
      </c>
      <c r="AA21" s="18">
        <v>2.5819000000000001</v>
      </c>
      <c r="AB21" s="18">
        <v>2.5636999999999999</v>
      </c>
      <c r="AC21" s="18">
        <v>2.5028999999999999</v>
      </c>
      <c r="AD21" s="18">
        <v>2.41</v>
      </c>
      <c r="AE21" s="18">
        <v>2.2991000000000001</v>
      </c>
      <c r="AF21" s="18">
        <v>2.1585999999999999</v>
      </c>
      <c r="AG21" s="18">
        <v>2.0093000000000001</v>
      </c>
      <c r="AH21" s="18">
        <v>1.8297000000000001</v>
      </c>
      <c r="AI21" s="18">
        <v>1.6274</v>
      </c>
      <c r="AJ21" s="18">
        <v>1.3831</v>
      </c>
      <c r="AK21" s="18">
        <v>1.1544000000000001</v>
      </c>
      <c r="AL21" s="18">
        <v>0.91949999999999998</v>
      </c>
      <c r="AM21" s="18">
        <v>0.69220000000000004</v>
      </c>
      <c r="AN21" s="18">
        <v>0.47310000000000002</v>
      </c>
      <c r="AO21" s="18">
        <v>0.2762</v>
      </c>
      <c r="AP21" s="18">
        <v>8.0399999999999999E-2</v>
      </c>
      <c r="AQ21" s="18">
        <v>1.4800000000000001E-2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</row>
    <row r="22" spans="1:50" x14ac:dyDescent="0.25">
      <c r="A22" s="8" t="s">
        <v>68</v>
      </c>
      <c r="B22" s="10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</row>
    <row r="23" spans="1:50" x14ac:dyDescent="0.25">
      <c r="A23" s="17" t="s">
        <v>243</v>
      </c>
      <c r="B23" s="13" t="s">
        <v>222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3.3999999999999998E-3</v>
      </c>
      <c r="K23" s="18">
        <v>4.9700000000000001E-2</v>
      </c>
      <c r="L23" s="18">
        <v>0.2326</v>
      </c>
      <c r="M23" s="18">
        <v>0.46129999999999999</v>
      </c>
      <c r="N23" s="18">
        <v>0.7419</v>
      </c>
      <c r="O23" s="18">
        <v>1.0479000000000001</v>
      </c>
      <c r="P23" s="18">
        <v>1.3576999999999999</v>
      </c>
      <c r="Q23" s="18">
        <v>1.6659999999999999</v>
      </c>
      <c r="R23" s="18">
        <v>1.9745999999999999</v>
      </c>
      <c r="S23" s="18">
        <v>2.2643</v>
      </c>
      <c r="T23" s="18">
        <v>2.5367000000000002</v>
      </c>
      <c r="U23" s="18">
        <v>2.7686000000000002</v>
      </c>
      <c r="V23" s="18">
        <v>2.9664000000000001</v>
      </c>
      <c r="W23" s="18">
        <v>3.14</v>
      </c>
      <c r="X23" s="18">
        <v>3.2833000000000001</v>
      </c>
      <c r="Y23" s="18">
        <v>3.3849999999999998</v>
      </c>
      <c r="Z23" s="18">
        <v>3.4296000000000002</v>
      </c>
      <c r="AA23" s="18">
        <v>3.4424999999999999</v>
      </c>
      <c r="AB23" s="18">
        <v>3.4182999999999999</v>
      </c>
      <c r="AC23" s="18">
        <v>3.3372000000000002</v>
      </c>
      <c r="AD23" s="18">
        <v>3.2132999999999998</v>
      </c>
      <c r="AE23" s="18">
        <v>3.0655000000000001</v>
      </c>
      <c r="AF23" s="18">
        <v>2.8782000000000001</v>
      </c>
      <c r="AG23" s="18">
        <v>2.6791</v>
      </c>
      <c r="AH23" s="18">
        <v>2.4396</v>
      </c>
      <c r="AI23" s="18">
        <v>2.1698</v>
      </c>
      <c r="AJ23" s="18">
        <v>1.8441000000000001</v>
      </c>
      <c r="AK23" s="18">
        <v>1.5391999999999999</v>
      </c>
      <c r="AL23" s="18">
        <v>1.2259</v>
      </c>
      <c r="AM23" s="18">
        <v>0.92290000000000005</v>
      </c>
      <c r="AN23" s="18">
        <v>0.63080000000000003</v>
      </c>
      <c r="AO23" s="18">
        <v>0.36830000000000002</v>
      </c>
      <c r="AP23" s="18">
        <v>0.1072</v>
      </c>
      <c r="AQ23" s="18">
        <v>1.9800000000000002E-2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</row>
    <row r="24" spans="1:50" x14ac:dyDescent="0.25">
      <c r="A24" s="8" t="s">
        <v>70</v>
      </c>
      <c r="B24" s="10" t="s">
        <v>57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</row>
    <row r="25" spans="1:50" x14ac:dyDescent="0.25">
      <c r="A25" s="8" t="s">
        <v>72</v>
      </c>
      <c r="B25" s="10" t="s">
        <v>57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</row>
    <row r="26" spans="1:50" x14ac:dyDescent="0.25">
      <c r="A26" s="8" t="s">
        <v>74</v>
      </c>
      <c r="B26" s="10" t="s">
        <v>57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</row>
    <row r="27" spans="1:50" x14ac:dyDescent="0.25">
      <c r="A27" s="17" t="s">
        <v>245</v>
      </c>
      <c r="B27" s="13" t="s">
        <v>222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2.5999999999999999E-3</v>
      </c>
      <c r="K27" s="18">
        <v>3.73E-2</v>
      </c>
      <c r="L27" s="18">
        <v>0.1744</v>
      </c>
      <c r="M27" s="18">
        <v>0.34599999999999997</v>
      </c>
      <c r="N27" s="18">
        <v>0.55640000000000001</v>
      </c>
      <c r="O27" s="18">
        <v>0.78590000000000004</v>
      </c>
      <c r="P27" s="18">
        <v>1.0183</v>
      </c>
      <c r="Q27" s="18">
        <v>1.2495000000000001</v>
      </c>
      <c r="R27" s="18">
        <v>1.4810000000000001</v>
      </c>
      <c r="S27" s="18">
        <v>1.6981999999999999</v>
      </c>
      <c r="T27" s="18">
        <v>1.9025000000000001</v>
      </c>
      <c r="U27" s="18">
        <v>2.0764</v>
      </c>
      <c r="V27" s="18">
        <v>2.2248000000000001</v>
      </c>
      <c r="W27" s="18">
        <v>2.355</v>
      </c>
      <c r="X27" s="18">
        <v>2.4624999999999999</v>
      </c>
      <c r="Y27" s="18">
        <v>2.5387</v>
      </c>
      <c r="Z27" s="18">
        <v>2.5722</v>
      </c>
      <c r="AA27" s="18">
        <v>2.5819000000000001</v>
      </c>
      <c r="AB27" s="18">
        <v>2.5636999999999999</v>
      </c>
      <c r="AC27" s="18">
        <v>2.5028999999999999</v>
      </c>
      <c r="AD27" s="18">
        <v>2.41</v>
      </c>
      <c r="AE27" s="18">
        <v>2.2991000000000001</v>
      </c>
      <c r="AF27" s="18">
        <v>2.1585999999999999</v>
      </c>
      <c r="AG27" s="18">
        <v>2.0093000000000001</v>
      </c>
      <c r="AH27" s="18">
        <v>1.8297000000000001</v>
      </c>
      <c r="AI27" s="18">
        <v>1.6274</v>
      </c>
      <c r="AJ27" s="18">
        <v>1.3831</v>
      </c>
      <c r="AK27" s="18">
        <v>1.1544000000000001</v>
      </c>
      <c r="AL27" s="18">
        <v>0.91949999999999998</v>
      </c>
      <c r="AM27" s="18">
        <v>0.69220000000000004</v>
      </c>
      <c r="AN27" s="18">
        <v>0.47310000000000002</v>
      </c>
      <c r="AO27" s="18">
        <v>0.2762</v>
      </c>
      <c r="AP27" s="18">
        <v>8.0399999999999999E-2</v>
      </c>
      <c r="AQ27" s="18">
        <v>1.4800000000000001E-2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</row>
    <row r="28" spans="1:50" x14ac:dyDescent="0.25">
      <c r="A28" s="17" t="s">
        <v>247</v>
      </c>
      <c r="B28" s="13" t="s">
        <v>222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1.6999999999999999E-3</v>
      </c>
      <c r="K28" s="18">
        <v>2.4899999999999999E-2</v>
      </c>
      <c r="L28" s="18">
        <v>0.1163</v>
      </c>
      <c r="M28" s="18">
        <v>0.23069999999999999</v>
      </c>
      <c r="N28" s="18">
        <v>0.37090000000000001</v>
      </c>
      <c r="O28" s="18">
        <v>0.52400000000000002</v>
      </c>
      <c r="P28" s="18">
        <v>0.67889999999999995</v>
      </c>
      <c r="Q28" s="18">
        <v>0.83299999999999996</v>
      </c>
      <c r="R28" s="18">
        <v>0.98729999999999996</v>
      </c>
      <c r="S28" s="18">
        <v>1.1322000000000001</v>
      </c>
      <c r="T28" s="18">
        <v>1.2683</v>
      </c>
      <c r="U28" s="18">
        <v>1.3843000000000001</v>
      </c>
      <c r="V28" s="18">
        <v>1.4832000000000001</v>
      </c>
      <c r="W28" s="18">
        <v>1.57</v>
      </c>
      <c r="X28" s="18">
        <v>1.6416999999999999</v>
      </c>
      <c r="Y28" s="18">
        <v>1.6924999999999999</v>
      </c>
      <c r="Z28" s="18">
        <v>1.7148000000000001</v>
      </c>
      <c r="AA28" s="18">
        <v>1.7212000000000001</v>
      </c>
      <c r="AB28" s="18">
        <v>1.7092000000000001</v>
      </c>
      <c r="AC28" s="18">
        <v>1.6686000000000001</v>
      </c>
      <c r="AD28" s="18">
        <v>1.6067</v>
      </c>
      <c r="AE28" s="18">
        <v>1.5327999999999999</v>
      </c>
      <c r="AF28" s="18">
        <v>1.4391</v>
      </c>
      <c r="AG28" s="18">
        <v>1.3395999999999999</v>
      </c>
      <c r="AH28" s="18">
        <v>1.2198</v>
      </c>
      <c r="AI28" s="18">
        <v>1.0849</v>
      </c>
      <c r="AJ28" s="18">
        <v>0.92200000000000004</v>
      </c>
      <c r="AK28" s="18">
        <v>0.76959999999999995</v>
      </c>
      <c r="AL28" s="18">
        <v>0.61299999999999999</v>
      </c>
      <c r="AM28" s="18">
        <v>0.46150000000000002</v>
      </c>
      <c r="AN28" s="18">
        <v>0.31540000000000001</v>
      </c>
      <c r="AO28" s="18">
        <v>0.1842</v>
      </c>
      <c r="AP28" s="18">
        <v>5.3600000000000002E-2</v>
      </c>
      <c r="AQ28" s="18">
        <v>9.9000000000000008E-3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</row>
    <row r="29" spans="1:50" x14ac:dyDescent="0.25">
      <c r="A29" s="17" t="s">
        <v>249</v>
      </c>
      <c r="B29" s="13" t="s">
        <v>222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2.5999999999999999E-3</v>
      </c>
      <c r="K29" s="18">
        <v>3.73E-2</v>
      </c>
      <c r="L29" s="18">
        <v>0.1744</v>
      </c>
      <c r="M29" s="18">
        <v>0.34599999999999997</v>
      </c>
      <c r="N29" s="18">
        <v>0.55640000000000001</v>
      </c>
      <c r="O29" s="18">
        <v>0.78590000000000004</v>
      </c>
      <c r="P29" s="18">
        <v>1.0183</v>
      </c>
      <c r="Q29" s="18">
        <v>1.2495000000000001</v>
      </c>
      <c r="R29" s="18">
        <v>1.4810000000000001</v>
      </c>
      <c r="S29" s="18">
        <v>1.6981999999999999</v>
      </c>
      <c r="T29" s="18">
        <v>1.9025000000000001</v>
      </c>
      <c r="U29" s="18">
        <v>2.0764</v>
      </c>
      <c r="V29" s="18">
        <v>2.2248000000000001</v>
      </c>
      <c r="W29" s="18">
        <v>2.355</v>
      </c>
      <c r="X29" s="18">
        <v>2.4624999999999999</v>
      </c>
      <c r="Y29" s="18">
        <v>2.5387</v>
      </c>
      <c r="Z29" s="18">
        <v>2.5722</v>
      </c>
      <c r="AA29" s="18">
        <v>2.5819000000000001</v>
      </c>
      <c r="AB29" s="18">
        <v>2.5636999999999999</v>
      </c>
      <c r="AC29" s="18">
        <v>2.5028999999999999</v>
      </c>
      <c r="AD29" s="18">
        <v>2.41</v>
      </c>
      <c r="AE29" s="18">
        <v>2.2991000000000001</v>
      </c>
      <c r="AF29" s="18">
        <v>2.1585999999999999</v>
      </c>
      <c r="AG29" s="18">
        <v>2.0093000000000001</v>
      </c>
      <c r="AH29" s="18">
        <v>1.8297000000000001</v>
      </c>
      <c r="AI29" s="18">
        <v>1.6274</v>
      </c>
      <c r="AJ29" s="18">
        <v>1.3831</v>
      </c>
      <c r="AK29" s="18">
        <v>1.1544000000000001</v>
      </c>
      <c r="AL29" s="18">
        <v>0.91949999999999998</v>
      </c>
      <c r="AM29" s="18">
        <v>0.69220000000000004</v>
      </c>
      <c r="AN29" s="18">
        <v>0.47310000000000002</v>
      </c>
      <c r="AO29" s="18">
        <v>0.2762</v>
      </c>
      <c r="AP29" s="18">
        <v>8.0399999999999999E-2</v>
      </c>
      <c r="AQ29" s="18">
        <v>1.4800000000000001E-2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8" t="s">
        <v>76</v>
      </c>
      <c r="B30" s="10" t="s">
        <v>57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</row>
    <row r="31" spans="1:50" x14ac:dyDescent="0.25">
      <c r="A31" s="17" t="s">
        <v>251</v>
      </c>
      <c r="B31" s="13" t="s">
        <v>222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3.3999999999999998E-3</v>
      </c>
      <c r="K31" s="18">
        <v>4.9700000000000001E-2</v>
      </c>
      <c r="L31" s="18">
        <v>0.2326</v>
      </c>
      <c r="M31" s="18">
        <v>0.46129999999999999</v>
      </c>
      <c r="N31" s="18">
        <v>0.7419</v>
      </c>
      <c r="O31" s="18">
        <v>1.0479000000000001</v>
      </c>
      <c r="P31" s="18">
        <v>1.3576999999999999</v>
      </c>
      <c r="Q31" s="18">
        <v>1.6659999999999999</v>
      </c>
      <c r="R31" s="18">
        <v>1.9745999999999999</v>
      </c>
      <c r="S31" s="18">
        <v>2.2643</v>
      </c>
      <c r="T31" s="18">
        <v>2.5367000000000002</v>
      </c>
      <c r="U31" s="18">
        <v>2.7686000000000002</v>
      </c>
      <c r="V31" s="18">
        <v>2.9664000000000001</v>
      </c>
      <c r="W31" s="18">
        <v>3.14</v>
      </c>
      <c r="X31" s="18">
        <v>3.2833000000000001</v>
      </c>
      <c r="Y31" s="18">
        <v>3.3849999999999998</v>
      </c>
      <c r="Z31" s="18">
        <v>3.4296000000000002</v>
      </c>
      <c r="AA31" s="18">
        <v>3.4424999999999999</v>
      </c>
      <c r="AB31" s="18">
        <v>3.4182999999999999</v>
      </c>
      <c r="AC31" s="18">
        <v>3.3372000000000002</v>
      </c>
      <c r="AD31" s="18">
        <v>3.2132999999999998</v>
      </c>
      <c r="AE31" s="18">
        <v>3.0655000000000001</v>
      </c>
      <c r="AF31" s="18">
        <v>2.8782000000000001</v>
      </c>
      <c r="AG31" s="18">
        <v>2.6791</v>
      </c>
      <c r="AH31" s="18">
        <v>2.4396</v>
      </c>
      <c r="AI31" s="18">
        <v>2.1698</v>
      </c>
      <c r="AJ31" s="18">
        <v>1.8441000000000001</v>
      </c>
      <c r="AK31" s="18">
        <v>1.5391999999999999</v>
      </c>
      <c r="AL31" s="18">
        <v>1.2259</v>
      </c>
      <c r="AM31" s="18">
        <v>0.92290000000000005</v>
      </c>
      <c r="AN31" s="18">
        <v>0.63080000000000003</v>
      </c>
      <c r="AO31" s="18">
        <v>0.36830000000000002</v>
      </c>
      <c r="AP31" s="18">
        <v>0.1072</v>
      </c>
      <c r="AQ31" s="18">
        <v>1.9800000000000002E-2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</row>
    <row r="32" spans="1:50" x14ac:dyDescent="0.25">
      <c r="A32" s="17" t="s">
        <v>253</v>
      </c>
      <c r="B32" s="13" t="s">
        <v>222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1.2999999999999999E-3</v>
      </c>
      <c r="K32" s="18">
        <v>1.8700000000000001E-2</v>
      </c>
      <c r="L32" s="18">
        <v>8.72E-2</v>
      </c>
      <c r="M32" s="18">
        <v>0.17299999999999999</v>
      </c>
      <c r="N32" s="18">
        <v>0.2782</v>
      </c>
      <c r="O32" s="18">
        <v>0.39300000000000002</v>
      </c>
      <c r="P32" s="18">
        <v>0.50919999999999999</v>
      </c>
      <c r="Q32" s="18">
        <v>0.62470000000000003</v>
      </c>
      <c r="R32" s="18">
        <v>0.74050000000000005</v>
      </c>
      <c r="S32" s="18">
        <v>0.84909999999999997</v>
      </c>
      <c r="T32" s="18">
        <v>0.95120000000000005</v>
      </c>
      <c r="U32" s="18">
        <v>1.0382</v>
      </c>
      <c r="V32" s="18">
        <v>1.1124000000000001</v>
      </c>
      <c r="W32" s="18">
        <v>1.1775</v>
      </c>
      <c r="X32" s="18">
        <v>1.2312000000000001</v>
      </c>
      <c r="Y32" s="18">
        <v>1.2694000000000001</v>
      </c>
      <c r="Z32" s="18">
        <v>1.2861</v>
      </c>
      <c r="AA32" s="18">
        <v>1.2908999999999999</v>
      </c>
      <c r="AB32" s="18">
        <v>1.2819</v>
      </c>
      <c r="AC32" s="18">
        <v>1.2514000000000001</v>
      </c>
      <c r="AD32" s="18">
        <v>1.2050000000000001</v>
      </c>
      <c r="AE32" s="18">
        <v>1.1496</v>
      </c>
      <c r="AF32" s="18">
        <v>1.0792999999999999</v>
      </c>
      <c r="AG32" s="18">
        <v>1.0046999999999999</v>
      </c>
      <c r="AH32" s="18">
        <v>0.91479999999999995</v>
      </c>
      <c r="AI32" s="18">
        <v>0.81369999999999998</v>
      </c>
      <c r="AJ32" s="18">
        <v>0.6915</v>
      </c>
      <c r="AK32" s="18">
        <v>0.57720000000000005</v>
      </c>
      <c r="AL32" s="18">
        <v>0.4597</v>
      </c>
      <c r="AM32" s="18">
        <v>0.34610000000000002</v>
      </c>
      <c r="AN32" s="18">
        <v>0.23649999999999999</v>
      </c>
      <c r="AO32" s="18">
        <v>0.1381</v>
      </c>
      <c r="AP32" s="18">
        <v>4.02E-2</v>
      </c>
      <c r="AQ32" s="18">
        <v>7.4000000000000003E-3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</row>
    <row r="33" spans="1:50" x14ac:dyDescent="0.25">
      <c r="A33" s="8" t="s">
        <v>78</v>
      </c>
      <c r="B33" s="10" t="s">
        <v>57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</row>
    <row r="34" spans="1:50" x14ac:dyDescent="0.25">
      <c r="A34" s="8" t="s">
        <v>80</v>
      </c>
      <c r="B34" s="10" t="s">
        <v>57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</row>
    <row r="35" spans="1:50" x14ac:dyDescent="0.25">
      <c r="A35" s="8" t="s">
        <v>82</v>
      </c>
      <c r="B35" s="10" t="s">
        <v>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</row>
    <row r="36" spans="1:50" x14ac:dyDescent="0.25">
      <c r="A36" s="17" t="s">
        <v>255</v>
      </c>
      <c r="B36" s="13" t="s">
        <v>222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3.0000000000000001E-3</v>
      </c>
      <c r="K36" s="18">
        <v>4.3499999999999997E-2</v>
      </c>
      <c r="L36" s="18">
        <v>0.20349999999999999</v>
      </c>
      <c r="M36" s="18">
        <v>0.4037</v>
      </c>
      <c r="N36" s="18">
        <v>0.64910000000000001</v>
      </c>
      <c r="O36" s="18">
        <v>0.91690000000000005</v>
      </c>
      <c r="P36" s="18">
        <v>1.1879999999999999</v>
      </c>
      <c r="Q36" s="18">
        <v>1.4577</v>
      </c>
      <c r="R36" s="18">
        <v>1.7278</v>
      </c>
      <c r="S36" s="18">
        <v>1.9813000000000001</v>
      </c>
      <c r="T36" s="18">
        <v>2.2195999999999998</v>
      </c>
      <c r="U36" s="18">
        <v>2.4224999999999999</v>
      </c>
      <c r="V36" s="18">
        <v>2.5956000000000001</v>
      </c>
      <c r="W36" s="18">
        <v>2.7475000000000001</v>
      </c>
      <c r="X36" s="18">
        <v>2.8729</v>
      </c>
      <c r="Y36" s="18">
        <v>2.9619</v>
      </c>
      <c r="Z36" s="18">
        <v>3.0009000000000001</v>
      </c>
      <c r="AA36" s="18">
        <v>3.0122</v>
      </c>
      <c r="AB36" s="18">
        <v>2.9910000000000001</v>
      </c>
      <c r="AC36" s="18">
        <v>2.92</v>
      </c>
      <c r="AD36" s="18">
        <v>2.8117000000000001</v>
      </c>
      <c r="AE36" s="18">
        <v>2.6823000000000001</v>
      </c>
      <c r="AF36" s="18">
        <v>2.5184000000000002</v>
      </c>
      <c r="AG36" s="18">
        <v>2.3441999999999998</v>
      </c>
      <c r="AH36" s="18">
        <v>2.1345999999999998</v>
      </c>
      <c r="AI36" s="18">
        <v>1.8986000000000001</v>
      </c>
      <c r="AJ36" s="18">
        <v>1.6135999999999999</v>
      </c>
      <c r="AK36" s="18">
        <v>1.3468</v>
      </c>
      <c r="AL36" s="18">
        <v>1.0727</v>
      </c>
      <c r="AM36" s="18">
        <v>0.80759999999999998</v>
      </c>
      <c r="AN36" s="18">
        <v>0.55189999999999995</v>
      </c>
      <c r="AO36" s="18">
        <v>0.32229999999999998</v>
      </c>
      <c r="AP36" s="18">
        <v>9.3799999999999994E-2</v>
      </c>
      <c r="AQ36" s="18">
        <v>1.7299999999999999E-2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</row>
    <row r="37" spans="1:50" x14ac:dyDescent="0.25">
      <c r="A37" s="17" t="s">
        <v>257</v>
      </c>
      <c r="B37" s="13" t="s">
        <v>222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1.6999999999999999E-3</v>
      </c>
      <c r="K37" s="18">
        <v>2.4899999999999999E-2</v>
      </c>
      <c r="L37" s="18">
        <v>0.1163</v>
      </c>
      <c r="M37" s="18">
        <v>0.23069999999999999</v>
      </c>
      <c r="N37" s="18">
        <v>0.37090000000000001</v>
      </c>
      <c r="O37" s="18">
        <v>0.52400000000000002</v>
      </c>
      <c r="P37" s="18">
        <v>0.67889999999999995</v>
      </c>
      <c r="Q37" s="18">
        <v>0.83299999999999996</v>
      </c>
      <c r="R37" s="18">
        <v>0.98729999999999996</v>
      </c>
      <c r="S37" s="18">
        <v>1.1322000000000001</v>
      </c>
      <c r="T37" s="18">
        <v>1.2683</v>
      </c>
      <c r="U37" s="18">
        <v>1.3843000000000001</v>
      </c>
      <c r="V37" s="18">
        <v>1.4832000000000001</v>
      </c>
      <c r="W37" s="18">
        <v>1.57</v>
      </c>
      <c r="X37" s="18">
        <v>1.6416999999999999</v>
      </c>
      <c r="Y37" s="18">
        <v>1.6924999999999999</v>
      </c>
      <c r="Z37" s="18">
        <v>1.7148000000000001</v>
      </c>
      <c r="AA37" s="18">
        <v>1.7212000000000001</v>
      </c>
      <c r="AB37" s="18">
        <v>1.7092000000000001</v>
      </c>
      <c r="AC37" s="18">
        <v>1.6686000000000001</v>
      </c>
      <c r="AD37" s="18">
        <v>1.6067</v>
      </c>
      <c r="AE37" s="18">
        <v>1.5327999999999999</v>
      </c>
      <c r="AF37" s="18">
        <v>1.4391</v>
      </c>
      <c r="AG37" s="18">
        <v>1.3395999999999999</v>
      </c>
      <c r="AH37" s="18">
        <v>1.2198</v>
      </c>
      <c r="AI37" s="18">
        <v>1.0849</v>
      </c>
      <c r="AJ37" s="18">
        <v>0.92200000000000004</v>
      </c>
      <c r="AK37" s="18">
        <v>0.76959999999999995</v>
      </c>
      <c r="AL37" s="18">
        <v>0.61299999999999999</v>
      </c>
      <c r="AM37" s="18">
        <v>0.46150000000000002</v>
      </c>
      <c r="AN37" s="18">
        <v>0.31540000000000001</v>
      </c>
      <c r="AO37" s="18">
        <v>0.1842</v>
      </c>
      <c r="AP37" s="18">
        <v>5.3600000000000002E-2</v>
      </c>
      <c r="AQ37" s="18">
        <v>9.9000000000000008E-3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</row>
    <row r="38" spans="1:50" x14ac:dyDescent="0.25">
      <c r="A38" s="8" t="s">
        <v>84</v>
      </c>
      <c r="B38" s="10" t="s">
        <v>57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</row>
    <row r="39" spans="1:50" x14ac:dyDescent="0.25">
      <c r="A39" s="8" t="s">
        <v>86</v>
      </c>
      <c r="B39" s="10" t="s">
        <v>57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</row>
    <row r="40" spans="1:50" x14ac:dyDescent="0.25">
      <c r="A40" s="8" t="s">
        <v>88</v>
      </c>
      <c r="B40" s="10" t="s">
        <v>57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</row>
    <row r="41" spans="1:50" x14ac:dyDescent="0.25">
      <c r="A41" s="17" t="s">
        <v>259</v>
      </c>
      <c r="B41" s="13" t="s">
        <v>222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3.0000000000000001E-3</v>
      </c>
      <c r="K41" s="18">
        <v>4.3499999999999997E-2</v>
      </c>
      <c r="L41" s="18">
        <v>0.20349999999999999</v>
      </c>
      <c r="M41" s="18">
        <v>0.4037</v>
      </c>
      <c r="N41" s="18">
        <v>0.64910000000000001</v>
      </c>
      <c r="O41" s="18">
        <v>0.91690000000000005</v>
      </c>
      <c r="P41" s="18">
        <v>1.1879999999999999</v>
      </c>
      <c r="Q41" s="18">
        <v>1.4577</v>
      </c>
      <c r="R41" s="18">
        <v>1.7278</v>
      </c>
      <c r="S41" s="18">
        <v>1.9813000000000001</v>
      </c>
      <c r="T41" s="18">
        <v>2.2195999999999998</v>
      </c>
      <c r="U41" s="18">
        <v>2.4224999999999999</v>
      </c>
      <c r="V41" s="18">
        <v>2.5956000000000001</v>
      </c>
      <c r="W41" s="18">
        <v>2.7475000000000001</v>
      </c>
      <c r="X41" s="18">
        <v>2.8729</v>
      </c>
      <c r="Y41" s="18">
        <v>2.9619</v>
      </c>
      <c r="Z41" s="18">
        <v>3.0009000000000001</v>
      </c>
      <c r="AA41" s="18">
        <v>3.0122</v>
      </c>
      <c r="AB41" s="18">
        <v>2.9910000000000001</v>
      </c>
      <c r="AC41" s="18">
        <v>2.92</v>
      </c>
      <c r="AD41" s="18">
        <v>2.8117000000000001</v>
      </c>
      <c r="AE41" s="18">
        <v>2.6823000000000001</v>
      </c>
      <c r="AF41" s="18">
        <v>2.5184000000000002</v>
      </c>
      <c r="AG41" s="18">
        <v>2.3441999999999998</v>
      </c>
      <c r="AH41" s="18">
        <v>2.1345999999999998</v>
      </c>
      <c r="AI41" s="18">
        <v>1.8986000000000001</v>
      </c>
      <c r="AJ41" s="18">
        <v>1.6135999999999999</v>
      </c>
      <c r="AK41" s="18">
        <v>1.3468</v>
      </c>
      <c r="AL41" s="18">
        <v>1.0727</v>
      </c>
      <c r="AM41" s="18">
        <v>0.80759999999999998</v>
      </c>
      <c r="AN41" s="18">
        <v>0.55189999999999995</v>
      </c>
      <c r="AO41" s="18">
        <v>0.32229999999999998</v>
      </c>
      <c r="AP41" s="18">
        <v>9.3799999999999994E-2</v>
      </c>
      <c r="AQ41" s="18">
        <v>1.7299999999999999E-2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</row>
    <row r="42" spans="1:50" x14ac:dyDescent="0.25">
      <c r="A42" s="8" t="s">
        <v>90</v>
      </c>
      <c r="B42" s="10" t="s">
        <v>57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</row>
    <row r="43" spans="1:50" x14ac:dyDescent="0.25">
      <c r="A43" s="8" t="s">
        <v>92</v>
      </c>
      <c r="B43" s="10" t="s">
        <v>57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</row>
    <row r="44" spans="1:50" x14ac:dyDescent="0.25">
      <c r="A44" s="8" t="s">
        <v>94</v>
      </c>
      <c r="B44" s="10" t="s">
        <v>57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</row>
    <row r="45" spans="1:50" x14ac:dyDescent="0.25">
      <c r="A45" s="8" t="s">
        <v>96</v>
      </c>
      <c r="B45" s="10" t="s">
        <v>57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</row>
    <row r="46" spans="1:50" x14ac:dyDescent="0.25">
      <c r="A46" s="17" t="s">
        <v>261</v>
      </c>
      <c r="B46" s="13" t="s">
        <v>222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3.0000000000000001E-3</v>
      </c>
      <c r="K46" s="18">
        <v>4.3499999999999997E-2</v>
      </c>
      <c r="L46" s="18">
        <v>0.20349999999999999</v>
      </c>
      <c r="M46" s="18">
        <v>0.4037</v>
      </c>
      <c r="N46" s="18">
        <v>0.64910000000000001</v>
      </c>
      <c r="O46" s="18">
        <v>0.91690000000000005</v>
      </c>
      <c r="P46" s="18">
        <v>1.1879999999999999</v>
      </c>
      <c r="Q46" s="18">
        <v>1.4577</v>
      </c>
      <c r="R46" s="18">
        <v>1.7278</v>
      </c>
      <c r="S46" s="18">
        <v>1.9813000000000001</v>
      </c>
      <c r="T46" s="18">
        <v>2.2195999999999998</v>
      </c>
      <c r="U46" s="18">
        <v>2.4224999999999999</v>
      </c>
      <c r="V46" s="18">
        <v>2.5956000000000001</v>
      </c>
      <c r="W46" s="18">
        <v>2.7475000000000001</v>
      </c>
      <c r="X46" s="18">
        <v>2.8729</v>
      </c>
      <c r="Y46" s="18">
        <v>2.9619</v>
      </c>
      <c r="Z46" s="18">
        <v>3.0009000000000001</v>
      </c>
      <c r="AA46" s="18">
        <v>3.0122</v>
      </c>
      <c r="AB46" s="18">
        <v>2.9910000000000001</v>
      </c>
      <c r="AC46" s="18">
        <v>2.92</v>
      </c>
      <c r="AD46" s="18">
        <v>2.8117000000000001</v>
      </c>
      <c r="AE46" s="18">
        <v>2.6823000000000001</v>
      </c>
      <c r="AF46" s="18">
        <v>2.5184000000000002</v>
      </c>
      <c r="AG46" s="18">
        <v>2.3441999999999998</v>
      </c>
      <c r="AH46" s="18">
        <v>2.1345999999999998</v>
      </c>
      <c r="AI46" s="18">
        <v>1.8986000000000001</v>
      </c>
      <c r="AJ46" s="18">
        <v>1.6135999999999999</v>
      </c>
      <c r="AK46" s="18">
        <v>1.3468</v>
      </c>
      <c r="AL46" s="18">
        <v>1.0727</v>
      </c>
      <c r="AM46" s="18">
        <v>0.80759999999999998</v>
      </c>
      <c r="AN46" s="18">
        <v>0.55189999999999995</v>
      </c>
      <c r="AO46" s="18">
        <v>0.32229999999999998</v>
      </c>
      <c r="AP46" s="18">
        <v>9.3799999999999994E-2</v>
      </c>
      <c r="AQ46" s="18">
        <v>1.7299999999999999E-2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</row>
    <row r="47" spans="1:50" x14ac:dyDescent="0.25">
      <c r="A47" s="17" t="s">
        <v>263</v>
      </c>
      <c r="B47" s="13" t="s">
        <v>222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2.5999999999999999E-3</v>
      </c>
      <c r="K47" s="18">
        <v>3.73E-2</v>
      </c>
      <c r="L47" s="18">
        <v>0.1744</v>
      </c>
      <c r="M47" s="18">
        <v>0.34599999999999997</v>
      </c>
      <c r="N47" s="18">
        <v>0.55640000000000001</v>
      </c>
      <c r="O47" s="18">
        <v>0.78590000000000004</v>
      </c>
      <c r="P47" s="18">
        <v>1.0183</v>
      </c>
      <c r="Q47" s="18">
        <v>1.2495000000000001</v>
      </c>
      <c r="R47" s="18">
        <v>1.4810000000000001</v>
      </c>
      <c r="S47" s="18">
        <v>1.6981999999999999</v>
      </c>
      <c r="T47" s="18">
        <v>1.9025000000000001</v>
      </c>
      <c r="U47" s="18">
        <v>2.0764</v>
      </c>
      <c r="V47" s="18">
        <v>2.2248000000000001</v>
      </c>
      <c r="W47" s="18">
        <v>2.355</v>
      </c>
      <c r="X47" s="18">
        <v>2.4624999999999999</v>
      </c>
      <c r="Y47" s="18">
        <v>2.5387</v>
      </c>
      <c r="Z47" s="18">
        <v>2.5722</v>
      </c>
      <c r="AA47" s="18">
        <v>2.5819000000000001</v>
      </c>
      <c r="AB47" s="18">
        <v>2.5636999999999999</v>
      </c>
      <c r="AC47" s="18">
        <v>2.5028999999999999</v>
      </c>
      <c r="AD47" s="18">
        <v>2.41</v>
      </c>
      <c r="AE47" s="18">
        <v>2.2991000000000001</v>
      </c>
      <c r="AF47" s="18">
        <v>2.1585999999999999</v>
      </c>
      <c r="AG47" s="18">
        <v>2.0093000000000001</v>
      </c>
      <c r="AH47" s="18">
        <v>1.8297000000000001</v>
      </c>
      <c r="AI47" s="18">
        <v>1.6274</v>
      </c>
      <c r="AJ47" s="18">
        <v>1.3831</v>
      </c>
      <c r="AK47" s="18">
        <v>1.1544000000000001</v>
      </c>
      <c r="AL47" s="18">
        <v>0.91949999999999998</v>
      </c>
      <c r="AM47" s="18">
        <v>0.69220000000000004</v>
      </c>
      <c r="AN47" s="18">
        <v>0.47310000000000002</v>
      </c>
      <c r="AO47" s="18">
        <v>0.2762</v>
      </c>
      <c r="AP47" s="18">
        <v>8.0399999999999999E-2</v>
      </c>
      <c r="AQ47" s="18">
        <v>1.4800000000000001E-2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</row>
    <row r="48" spans="1:50" x14ac:dyDescent="0.25">
      <c r="A48" s="17" t="s">
        <v>265</v>
      </c>
      <c r="B48" s="13" t="s">
        <v>222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3.3999999999999998E-3</v>
      </c>
      <c r="K48" s="18">
        <v>4.9700000000000001E-2</v>
      </c>
      <c r="L48" s="18">
        <v>0.2326</v>
      </c>
      <c r="M48" s="18">
        <v>0.46129999999999999</v>
      </c>
      <c r="N48" s="18">
        <v>0.7419</v>
      </c>
      <c r="O48" s="18">
        <v>1.0479000000000001</v>
      </c>
      <c r="P48" s="18">
        <v>1.3576999999999999</v>
      </c>
      <c r="Q48" s="18">
        <v>1.6659999999999999</v>
      </c>
      <c r="R48" s="18">
        <v>1.9745999999999999</v>
      </c>
      <c r="S48" s="18">
        <v>2.2643</v>
      </c>
      <c r="T48" s="18">
        <v>2.5367000000000002</v>
      </c>
      <c r="U48" s="18">
        <v>2.7686000000000002</v>
      </c>
      <c r="V48" s="18">
        <v>2.9664000000000001</v>
      </c>
      <c r="W48" s="18">
        <v>3.14</v>
      </c>
      <c r="X48" s="18">
        <v>3.2833000000000001</v>
      </c>
      <c r="Y48" s="18">
        <v>3.3849999999999998</v>
      </c>
      <c r="Z48" s="18">
        <v>3.4296000000000002</v>
      </c>
      <c r="AA48" s="18">
        <v>3.4424999999999999</v>
      </c>
      <c r="AB48" s="18">
        <v>3.4182999999999999</v>
      </c>
      <c r="AC48" s="18">
        <v>3.3372000000000002</v>
      </c>
      <c r="AD48" s="18">
        <v>3.2132999999999998</v>
      </c>
      <c r="AE48" s="18">
        <v>3.0655000000000001</v>
      </c>
      <c r="AF48" s="18">
        <v>2.8782000000000001</v>
      </c>
      <c r="AG48" s="18">
        <v>2.6791</v>
      </c>
      <c r="AH48" s="18">
        <v>2.4396</v>
      </c>
      <c r="AI48" s="18">
        <v>2.1698</v>
      </c>
      <c r="AJ48" s="18">
        <v>1.8441000000000001</v>
      </c>
      <c r="AK48" s="18">
        <v>1.5391999999999999</v>
      </c>
      <c r="AL48" s="18">
        <v>1.2259</v>
      </c>
      <c r="AM48" s="18">
        <v>0.92290000000000005</v>
      </c>
      <c r="AN48" s="18">
        <v>0.63080000000000003</v>
      </c>
      <c r="AO48" s="18">
        <v>0.36830000000000002</v>
      </c>
      <c r="AP48" s="18">
        <v>0.1072</v>
      </c>
      <c r="AQ48" s="18">
        <v>1.9800000000000002E-2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</row>
    <row r="49" spans="1:50" x14ac:dyDescent="0.25">
      <c r="A49" s="17" t="s">
        <v>267</v>
      </c>
      <c r="B49" s="13" t="s">
        <v>222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2.2000000000000001E-3</v>
      </c>
      <c r="K49" s="18">
        <v>3.1099999999999999E-2</v>
      </c>
      <c r="L49" s="18">
        <v>0.1454</v>
      </c>
      <c r="M49" s="18">
        <v>0.2883</v>
      </c>
      <c r="N49" s="18">
        <v>0.4637</v>
      </c>
      <c r="O49" s="18">
        <v>0.65490000000000004</v>
      </c>
      <c r="P49" s="18">
        <v>0.84860000000000002</v>
      </c>
      <c r="Q49" s="18">
        <v>1.0411999999999999</v>
      </c>
      <c r="R49" s="18">
        <v>1.2341</v>
      </c>
      <c r="S49" s="18">
        <v>1.4152</v>
      </c>
      <c r="T49" s="18">
        <v>1.5853999999999999</v>
      </c>
      <c r="U49" s="18">
        <v>1.7303999999999999</v>
      </c>
      <c r="V49" s="18">
        <v>1.8540000000000001</v>
      </c>
      <c r="W49" s="18">
        <v>1.9624999999999999</v>
      </c>
      <c r="X49" s="18">
        <v>2.0520999999999998</v>
      </c>
      <c r="Y49" s="18">
        <v>2.1156000000000001</v>
      </c>
      <c r="Z49" s="18">
        <v>2.1435</v>
      </c>
      <c r="AA49" s="18">
        <v>2.1516000000000002</v>
      </c>
      <c r="AB49" s="18">
        <v>2.1364999999999998</v>
      </c>
      <c r="AC49" s="18">
        <v>2.0857000000000001</v>
      </c>
      <c r="AD49" s="18">
        <v>2.0083000000000002</v>
      </c>
      <c r="AE49" s="18">
        <v>1.9158999999999999</v>
      </c>
      <c r="AF49" s="18">
        <v>1.7988999999999999</v>
      </c>
      <c r="AG49" s="18">
        <v>1.6745000000000001</v>
      </c>
      <c r="AH49" s="18">
        <v>1.5246999999999999</v>
      </c>
      <c r="AI49" s="18">
        <v>1.3561000000000001</v>
      </c>
      <c r="AJ49" s="18">
        <v>1.1525000000000001</v>
      </c>
      <c r="AK49" s="18">
        <v>0.96199999999999997</v>
      </c>
      <c r="AL49" s="18">
        <v>0.76619999999999999</v>
      </c>
      <c r="AM49" s="18">
        <v>0.57679999999999998</v>
      </c>
      <c r="AN49" s="18">
        <v>0.39419999999999999</v>
      </c>
      <c r="AO49" s="18">
        <v>0.23019999999999999</v>
      </c>
      <c r="AP49" s="18">
        <v>6.7000000000000004E-2</v>
      </c>
      <c r="AQ49" s="18">
        <v>1.24E-2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</row>
    <row r="50" spans="1:50" x14ac:dyDescent="0.25">
      <c r="A50" s="8" t="s">
        <v>98</v>
      </c>
      <c r="B50" s="10" t="s">
        <v>57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</row>
    <row r="51" spans="1:50" x14ac:dyDescent="0.25">
      <c r="A51" s="17" t="s">
        <v>269</v>
      </c>
      <c r="B51" s="13" t="s">
        <v>222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3.3999999999999998E-3</v>
      </c>
      <c r="K51" s="18">
        <v>4.9700000000000001E-2</v>
      </c>
      <c r="L51" s="18">
        <v>0.2326</v>
      </c>
      <c r="M51" s="18">
        <v>0.46129999999999999</v>
      </c>
      <c r="N51" s="18">
        <v>0.7419</v>
      </c>
      <c r="O51" s="18">
        <v>1.0479000000000001</v>
      </c>
      <c r="P51" s="18">
        <v>1.3576999999999999</v>
      </c>
      <c r="Q51" s="18">
        <v>1.6659999999999999</v>
      </c>
      <c r="R51" s="18">
        <v>1.9745999999999999</v>
      </c>
      <c r="S51" s="18">
        <v>2.2643</v>
      </c>
      <c r="T51" s="18">
        <v>2.5367000000000002</v>
      </c>
      <c r="U51" s="18">
        <v>2.7686000000000002</v>
      </c>
      <c r="V51" s="18">
        <v>2.9664000000000001</v>
      </c>
      <c r="W51" s="18">
        <v>3.14</v>
      </c>
      <c r="X51" s="18">
        <v>3.2833000000000001</v>
      </c>
      <c r="Y51" s="18">
        <v>3.3849999999999998</v>
      </c>
      <c r="Z51" s="18">
        <v>3.4296000000000002</v>
      </c>
      <c r="AA51" s="18">
        <v>3.4424999999999999</v>
      </c>
      <c r="AB51" s="18">
        <v>3.4182999999999999</v>
      </c>
      <c r="AC51" s="18">
        <v>3.3372000000000002</v>
      </c>
      <c r="AD51" s="18">
        <v>3.2132999999999998</v>
      </c>
      <c r="AE51" s="18">
        <v>3.0655000000000001</v>
      </c>
      <c r="AF51" s="18">
        <v>2.8782000000000001</v>
      </c>
      <c r="AG51" s="18">
        <v>2.6791</v>
      </c>
      <c r="AH51" s="18">
        <v>2.4396</v>
      </c>
      <c r="AI51" s="18">
        <v>2.1698</v>
      </c>
      <c r="AJ51" s="18">
        <v>1.8441000000000001</v>
      </c>
      <c r="AK51" s="18">
        <v>1.5391999999999999</v>
      </c>
      <c r="AL51" s="18">
        <v>1.2259</v>
      </c>
      <c r="AM51" s="18">
        <v>0.92290000000000005</v>
      </c>
      <c r="AN51" s="18">
        <v>0.63080000000000003</v>
      </c>
      <c r="AO51" s="18">
        <v>0.36830000000000002</v>
      </c>
      <c r="AP51" s="18">
        <v>0.1072</v>
      </c>
      <c r="AQ51" s="18">
        <v>1.9800000000000002E-2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</row>
    <row r="52" spans="1:50" x14ac:dyDescent="0.25">
      <c r="A52" s="8" t="s">
        <v>100</v>
      </c>
      <c r="B52" s="10" t="s">
        <v>57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</row>
    <row r="53" spans="1:50" x14ac:dyDescent="0.25">
      <c r="A53" s="8" t="s">
        <v>102</v>
      </c>
      <c r="B53" s="10" t="s">
        <v>57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</row>
    <row r="54" spans="1:50" x14ac:dyDescent="0.25">
      <c r="A54" s="8" t="s">
        <v>104</v>
      </c>
      <c r="B54" s="10" t="s">
        <v>57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</row>
    <row r="55" spans="1:50" x14ac:dyDescent="0.25">
      <c r="A55" s="8" t="s">
        <v>106</v>
      </c>
      <c r="B55" s="10" t="s">
        <v>57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</row>
    <row r="56" spans="1:50" x14ac:dyDescent="0.25">
      <c r="A56" s="8" t="s">
        <v>108</v>
      </c>
      <c r="B56" s="10" t="s">
        <v>57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</row>
    <row r="57" spans="1:50" x14ac:dyDescent="0.25">
      <c r="A57" s="8" t="s">
        <v>110</v>
      </c>
      <c r="B57" s="10" t="s">
        <v>57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</row>
    <row r="58" spans="1:50" x14ac:dyDescent="0.25">
      <c r="A58" s="17" t="s">
        <v>271</v>
      </c>
      <c r="B58" s="13" t="s">
        <v>222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3.3999999999999998E-3</v>
      </c>
      <c r="K58" s="18">
        <v>4.9700000000000001E-2</v>
      </c>
      <c r="L58" s="18">
        <v>0.2326</v>
      </c>
      <c r="M58" s="18">
        <v>0.46129999999999999</v>
      </c>
      <c r="N58" s="18">
        <v>0.7419</v>
      </c>
      <c r="O58" s="18">
        <v>1.0479000000000001</v>
      </c>
      <c r="P58" s="18">
        <v>1.3576999999999999</v>
      </c>
      <c r="Q58" s="18">
        <v>1.6659999999999999</v>
      </c>
      <c r="R58" s="18">
        <v>1.9745999999999999</v>
      </c>
      <c r="S58" s="18">
        <v>2.2643</v>
      </c>
      <c r="T58" s="18">
        <v>2.5367000000000002</v>
      </c>
      <c r="U58" s="18">
        <v>2.7686000000000002</v>
      </c>
      <c r="V58" s="18">
        <v>2.9664000000000001</v>
      </c>
      <c r="W58" s="18">
        <v>3.14</v>
      </c>
      <c r="X58" s="18">
        <v>3.2833000000000001</v>
      </c>
      <c r="Y58" s="18">
        <v>3.3849999999999998</v>
      </c>
      <c r="Z58" s="18">
        <v>3.4296000000000002</v>
      </c>
      <c r="AA58" s="18">
        <v>3.4424999999999999</v>
      </c>
      <c r="AB58" s="18">
        <v>3.4182999999999999</v>
      </c>
      <c r="AC58" s="18">
        <v>3.3372000000000002</v>
      </c>
      <c r="AD58" s="18">
        <v>3.2132999999999998</v>
      </c>
      <c r="AE58" s="18">
        <v>3.0655000000000001</v>
      </c>
      <c r="AF58" s="18">
        <v>2.8782000000000001</v>
      </c>
      <c r="AG58" s="18">
        <v>2.6791</v>
      </c>
      <c r="AH58" s="18">
        <v>2.4396</v>
      </c>
      <c r="AI58" s="18">
        <v>2.1698</v>
      </c>
      <c r="AJ58" s="18">
        <v>1.8441000000000001</v>
      </c>
      <c r="AK58" s="18">
        <v>1.5391999999999999</v>
      </c>
      <c r="AL58" s="18">
        <v>1.2259</v>
      </c>
      <c r="AM58" s="18">
        <v>0.92290000000000005</v>
      </c>
      <c r="AN58" s="18">
        <v>0.63080000000000003</v>
      </c>
      <c r="AO58" s="18">
        <v>0.36830000000000002</v>
      </c>
      <c r="AP58" s="18">
        <v>0.1072</v>
      </c>
      <c r="AQ58" s="18">
        <v>1.9800000000000002E-2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</row>
    <row r="59" spans="1:50" x14ac:dyDescent="0.25">
      <c r="A59" s="17" t="s">
        <v>273</v>
      </c>
      <c r="B59" s="13" t="s">
        <v>222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3.3999999999999998E-3</v>
      </c>
      <c r="K59" s="18">
        <v>4.9700000000000001E-2</v>
      </c>
      <c r="L59" s="18">
        <v>0.2326</v>
      </c>
      <c r="M59" s="18">
        <v>0.46129999999999999</v>
      </c>
      <c r="N59" s="18">
        <v>0.7419</v>
      </c>
      <c r="O59" s="18">
        <v>1.0479000000000001</v>
      </c>
      <c r="P59" s="18">
        <v>1.3576999999999999</v>
      </c>
      <c r="Q59" s="18">
        <v>1.6659999999999999</v>
      </c>
      <c r="R59" s="18">
        <v>1.9745999999999999</v>
      </c>
      <c r="S59" s="18">
        <v>2.2643</v>
      </c>
      <c r="T59" s="18">
        <v>2.5367000000000002</v>
      </c>
      <c r="U59" s="18">
        <v>2.7686000000000002</v>
      </c>
      <c r="V59" s="18">
        <v>2.9664000000000001</v>
      </c>
      <c r="W59" s="18">
        <v>3.14</v>
      </c>
      <c r="X59" s="18">
        <v>3.2833000000000001</v>
      </c>
      <c r="Y59" s="18">
        <v>3.3849999999999998</v>
      </c>
      <c r="Z59" s="18">
        <v>3.4296000000000002</v>
      </c>
      <c r="AA59" s="18">
        <v>3.4424999999999999</v>
      </c>
      <c r="AB59" s="18">
        <v>3.4182999999999999</v>
      </c>
      <c r="AC59" s="18">
        <v>3.3372000000000002</v>
      </c>
      <c r="AD59" s="18">
        <v>3.2132999999999998</v>
      </c>
      <c r="AE59" s="18">
        <v>3.0655000000000001</v>
      </c>
      <c r="AF59" s="18">
        <v>2.8782000000000001</v>
      </c>
      <c r="AG59" s="18">
        <v>2.6791</v>
      </c>
      <c r="AH59" s="18">
        <v>2.4396</v>
      </c>
      <c r="AI59" s="18">
        <v>2.1698</v>
      </c>
      <c r="AJ59" s="18">
        <v>1.8441000000000001</v>
      </c>
      <c r="AK59" s="18">
        <v>1.5391999999999999</v>
      </c>
      <c r="AL59" s="18">
        <v>1.2259</v>
      </c>
      <c r="AM59" s="18">
        <v>0.92290000000000005</v>
      </c>
      <c r="AN59" s="18">
        <v>0.63080000000000003</v>
      </c>
      <c r="AO59" s="18">
        <v>0.36830000000000002</v>
      </c>
      <c r="AP59" s="18">
        <v>0.1072</v>
      </c>
      <c r="AQ59" s="18">
        <v>1.9800000000000002E-2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</row>
    <row r="60" spans="1:50" x14ac:dyDescent="0.25">
      <c r="A60" s="8" t="s">
        <v>112</v>
      </c>
      <c r="B60" s="10" t="s">
        <v>57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</row>
    <row r="61" spans="1:50" x14ac:dyDescent="0.25">
      <c r="A61" s="8" t="s">
        <v>114</v>
      </c>
      <c r="B61" s="10" t="s">
        <v>57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</row>
    <row r="62" spans="1:50" x14ac:dyDescent="0.25">
      <c r="A62" s="17" t="s">
        <v>275</v>
      </c>
      <c r="B62" s="13" t="s">
        <v>222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3.3999999999999998E-3</v>
      </c>
      <c r="K62" s="18">
        <v>4.9700000000000001E-2</v>
      </c>
      <c r="L62" s="18">
        <v>0.2326</v>
      </c>
      <c r="M62" s="18">
        <v>0.46129999999999999</v>
      </c>
      <c r="N62" s="18">
        <v>0.7419</v>
      </c>
      <c r="O62" s="18">
        <v>1.0479000000000001</v>
      </c>
      <c r="P62" s="18">
        <v>1.3576999999999999</v>
      </c>
      <c r="Q62" s="18">
        <v>1.6659999999999999</v>
      </c>
      <c r="R62" s="18">
        <v>1.9745999999999999</v>
      </c>
      <c r="S62" s="18">
        <v>2.2643</v>
      </c>
      <c r="T62" s="18">
        <v>2.5367000000000002</v>
      </c>
      <c r="U62" s="18">
        <v>2.7686000000000002</v>
      </c>
      <c r="V62" s="18">
        <v>2.9664000000000001</v>
      </c>
      <c r="W62" s="18">
        <v>3.14</v>
      </c>
      <c r="X62" s="18">
        <v>3.2833000000000001</v>
      </c>
      <c r="Y62" s="18">
        <v>3.3849999999999998</v>
      </c>
      <c r="Z62" s="18">
        <v>3.4296000000000002</v>
      </c>
      <c r="AA62" s="18">
        <v>3.4424999999999999</v>
      </c>
      <c r="AB62" s="18">
        <v>3.4182999999999999</v>
      </c>
      <c r="AC62" s="18">
        <v>3.3372000000000002</v>
      </c>
      <c r="AD62" s="18">
        <v>3.2132999999999998</v>
      </c>
      <c r="AE62" s="18">
        <v>3.0655000000000001</v>
      </c>
      <c r="AF62" s="18">
        <v>2.8782000000000001</v>
      </c>
      <c r="AG62" s="18">
        <v>2.6791</v>
      </c>
      <c r="AH62" s="18">
        <v>2.4396</v>
      </c>
      <c r="AI62" s="18">
        <v>2.1698</v>
      </c>
      <c r="AJ62" s="18">
        <v>1.8441000000000001</v>
      </c>
      <c r="AK62" s="18">
        <v>1.5391999999999999</v>
      </c>
      <c r="AL62" s="18">
        <v>1.2259</v>
      </c>
      <c r="AM62" s="18">
        <v>0.92290000000000005</v>
      </c>
      <c r="AN62" s="18">
        <v>0.63080000000000003</v>
      </c>
      <c r="AO62" s="18">
        <v>0.36830000000000002</v>
      </c>
      <c r="AP62" s="18">
        <v>0.1072</v>
      </c>
      <c r="AQ62" s="18">
        <v>1.9800000000000002E-2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</row>
    <row r="63" spans="1:50" x14ac:dyDescent="0.25">
      <c r="A63" s="8" t="s">
        <v>116</v>
      </c>
      <c r="B63" s="10" t="s">
        <v>57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</row>
    <row r="64" spans="1:50" x14ac:dyDescent="0.25">
      <c r="A64" s="8" t="s">
        <v>118</v>
      </c>
      <c r="B64" s="10" t="s">
        <v>57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</row>
    <row r="65" spans="1:50" x14ac:dyDescent="0.25">
      <c r="A65" s="17" t="s">
        <v>277</v>
      </c>
      <c r="B65" s="13" t="s">
        <v>222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1.6999999999999999E-3</v>
      </c>
      <c r="K65" s="18">
        <v>2.4899999999999999E-2</v>
      </c>
      <c r="L65" s="18">
        <v>0.1163</v>
      </c>
      <c r="M65" s="18">
        <v>0.23069999999999999</v>
      </c>
      <c r="N65" s="18">
        <v>0.37090000000000001</v>
      </c>
      <c r="O65" s="18">
        <v>0.52400000000000002</v>
      </c>
      <c r="P65" s="18">
        <v>0.67889999999999995</v>
      </c>
      <c r="Q65" s="18">
        <v>0.83299999999999996</v>
      </c>
      <c r="R65" s="18">
        <v>0.98729999999999996</v>
      </c>
      <c r="S65" s="18">
        <v>1.1322000000000001</v>
      </c>
      <c r="T65" s="18">
        <v>1.2683</v>
      </c>
      <c r="U65" s="18">
        <v>1.3843000000000001</v>
      </c>
      <c r="V65" s="18">
        <v>1.4832000000000001</v>
      </c>
      <c r="W65" s="18">
        <v>1.57</v>
      </c>
      <c r="X65" s="18">
        <v>1.6416999999999999</v>
      </c>
      <c r="Y65" s="18">
        <v>1.6924999999999999</v>
      </c>
      <c r="Z65" s="18">
        <v>1.7148000000000001</v>
      </c>
      <c r="AA65" s="18">
        <v>1.7212000000000001</v>
      </c>
      <c r="AB65" s="18">
        <v>1.7092000000000001</v>
      </c>
      <c r="AC65" s="18">
        <v>1.6686000000000001</v>
      </c>
      <c r="AD65" s="18">
        <v>1.6067</v>
      </c>
      <c r="AE65" s="18">
        <v>1.5327999999999999</v>
      </c>
      <c r="AF65" s="18">
        <v>1.4391</v>
      </c>
      <c r="AG65" s="18">
        <v>1.3395999999999999</v>
      </c>
      <c r="AH65" s="18">
        <v>1.2198</v>
      </c>
      <c r="AI65" s="18">
        <v>1.0849</v>
      </c>
      <c r="AJ65" s="18">
        <v>0.92200000000000004</v>
      </c>
      <c r="AK65" s="18">
        <v>0.76959999999999995</v>
      </c>
      <c r="AL65" s="18">
        <v>0.61299999999999999</v>
      </c>
      <c r="AM65" s="18">
        <v>0.46150000000000002</v>
      </c>
      <c r="AN65" s="18">
        <v>0.31540000000000001</v>
      </c>
      <c r="AO65" s="18">
        <v>0.1842</v>
      </c>
      <c r="AP65" s="18">
        <v>5.3600000000000002E-2</v>
      </c>
      <c r="AQ65" s="18">
        <v>9.9000000000000008E-3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</row>
    <row r="66" spans="1:50" x14ac:dyDescent="0.25">
      <c r="A66" s="8" t="s">
        <v>120</v>
      </c>
      <c r="B66" s="10" t="s">
        <v>57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</row>
    <row r="67" spans="1:50" x14ac:dyDescent="0.25">
      <c r="A67" s="8" t="s">
        <v>122</v>
      </c>
      <c r="B67" s="10" t="s">
        <v>57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</row>
    <row r="68" spans="1:50" x14ac:dyDescent="0.25">
      <c r="A68" s="17" t="s">
        <v>279</v>
      </c>
      <c r="B68" s="13" t="s">
        <v>222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3.3999999999999998E-3</v>
      </c>
      <c r="K68" s="18">
        <v>4.9700000000000001E-2</v>
      </c>
      <c r="L68" s="18">
        <v>0.2326</v>
      </c>
      <c r="M68" s="18">
        <v>0.46129999999999999</v>
      </c>
      <c r="N68" s="18">
        <v>0.7419</v>
      </c>
      <c r="O68" s="18">
        <v>1.0479000000000001</v>
      </c>
      <c r="P68" s="18">
        <v>1.3576999999999999</v>
      </c>
      <c r="Q68" s="18">
        <v>1.6659999999999999</v>
      </c>
      <c r="R68" s="18">
        <v>1.9745999999999999</v>
      </c>
      <c r="S68" s="18">
        <v>2.2643</v>
      </c>
      <c r="T68" s="18">
        <v>2.5367000000000002</v>
      </c>
      <c r="U68" s="18">
        <v>2.7686000000000002</v>
      </c>
      <c r="V68" s="18">
        <v>2.9664000000000001</v>
      </c>
      <c r="W68" s="18">
        <v>3.14</v>
      </c>
      <c r="X68" s="18">
        <v>3.2833000000000001</v>
      </c>
      <c r="Y68" s="18">
        <v>3.3849999999999998</v>
      </c>
      <c r="Z68" s="18">
        <v>3.4296000000000002</v>
      </c>
      <c r="AA68" s="18">
        <v>3.4424999999999999</v>
      </c>
      <c r="AB68" s="18">
        <v>3.4182999999999999</v>
      </c>
      <c r="AC68" s="18">
        <v>3.3372000000000002</v>
      </c>
      <c r="AD68" s="18">
        <v>3.2132999999999998</v>
      </c>
      <c r="AE68" s="18">
        <v>3.0655000000000001</v>
      </c>
      <c r="AF68" s="18">
        <v>2.8782000000000001</v>
      </c>
      <c r="AG68" s="18">
        <v>2.6791</v>
      </c>
      <c r="AH68" s="18">
        <v>2.4396</v>
      </c>
      <c r="AI68" s="18">
        <v>2.1698</v>
      </c>
      <c r="AJ68" s="18">
        <v>1.8441000000000001</v>
      </c>
      <c r="AK68" s="18">
        <v>1.5391999999999999</v>
      </c>
      <c r="AL68" s="18">
        <v>1.2259</v>
      </c>
      <c r="AM68" s="18">
        <v>0.92290000000000005</v>
      </c>
      <c r="AN68" s="18">
        <v>0.63080000000000003</v>
      </c>
      <c r="AO68" s="18">
        <v>0.36830000000000002</v>
      </c>
      <c r="AP68" s="18">
        <v>0.1072</v>
      </c>
      <c r="AQ68" s="18">
        <v>1.9800000000000002E-2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</row>
    <row r="69" spans="1:50" x14ac:dyDescent="0.25">
      <c r="A69" s="8" t="s">
        <v>124</v>
      </c>
      <c r="B69" s="10" t="s">
        <v>57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</row>
    <row r="70" spans="1:50" x14ac:dyDescent="0.25">
      <c r="A70" s="8" t="s">
        <v>126</v>
      </c>
      <c r="B70" s="10" t="s">
        <v>57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</row>
    <row r="71" spans="1:50" x14ac:dyDescent="0.25">
      <c r="A71" s="8" t="s">
        <v>128</v>
      </c>
      <c r="B71" s="10" t="s">
        <v>57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</row>
    <row r="72" spans="1:50" x14ac:dyDescent="0.25">
      <c r="A72" s="8" t="s">
        <v>130</v>
      </c>
      <c r="B72" s="10" t="s">
        <v>57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</row>
    <row r="73" spans="1:50" x14ac:dyDescent="0.25">
      <c r="A73" s="17" t="s">
        <v>281</v>
      </c>
      <c r="B73" s="13" t="s">
        <v>222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2.2000000000000001E-3</v>
      </c>
      <c r="K73" s="18">
        <v>3.1099999999999999E-2</v>
      </c>
      <c r="L73" s="18">
        <v>0.1454</v>
      </c>
      <c r="M73" s="18">
        <v>0.2883</v>
      </c>
      <c r="N73" s="18">
        <v>0.4637</v>
      </c>
      <c r="O73" s="18">
        <v>0.65490000000000004</v>
      </c>
      <c r="P73" s="18">
        <v>0.84860000000000002</v>
      </c>
      <c r="Q73" s="18">
        <v>1.0411999999999999</v>
      </c>
      <c r="R73" s="18">
        <v>1.2341</v>
      </c>
      <c r="S73" s="18">
        <v>1.4152</v>
      </c>
      <c r="T73" s="18">
        <v>1.5853999999999999</v>
      </c>
      <c r="U73" s="18">
        <v>1.7303999999999999</v>
      </c>
      <c r="V73" s="18">
        <v>1.8540000000000001</v>
      </c>
      <c r="W73" s="18">
        <v>1.9624999999999999</v>
      </c>
      <c r="X73" s="18">
        <v>2.0520999999999998</v>
      </c>
      <c r="Y73" s="18">
        <v>2.1156000000000001</v>
      </c>
      <c r="Z73" s="18">
        <v>2.1435</v>
      </c>
      <c r="AA73" s="18">
        <v>2.1516000000000002</v>
      </c>
      <c r="AB73" s="18">
        <v>2.1364999999999998</v>
      </c>
      <c r="AC73" s="18">
        <v>2.0857000000000001</v>
      </c>
      <c r="AD73" s="18">
        <v>2.0083000000000002</v>
      </c>
      <c r="AE73" s="18">
        <v>1.9158999999999999</v>
      </c>
      <c r="AF73" s="18">
        <v>1.7988999999999999</v>
      </c>
      <c r="AG73" s="18">
        <v>1.6745000000000001</v>
      </c>
      <c r="AH73" s="18">
        <v>1.5246999999999999</v>
      </c>
      <c r="AI73" s="18">
        <v>1.3561000000000001</v>
      </c>
      <c r="AJ73" s="18">
        <v>1.1525000000000001</v>
      </c>
      <c r="AK73" s="18">
        <v>0.96199999999999997</v>
      </c>
      <c r="AL73" s="18">
        <v>0.76619999999999999</v>
      </c>
      <c r="AM73" s="18">
        <v>0.57679999999999998</v>
      </c>
      <c r="AN73" s="18">
        <v>0.39419999999999999</v>
      </c>
      <c r="AO73" s="18">
        <v>0.23019999999999999</v>
      </c>
      <c r="AP73" s="18">
        <v>6.7000000000000004E-2</v>
      </c>
      <c r="AQ73" s="18">
        <v>1.24E-2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</row>
    <row r="74" spans="1:50" x14ac:dyDescent="0.25">
      <c r="A74" s="17" t="s">
        <v>283</v>
      </c>
      <c r="B74" s="13" t="s">
        <v>222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2.2000000000000001E-3</v>
      </c>
      <c r="K74" s="18">
        <v>3.1099999999999999E-2</v>
      </c>
      <c r="L74" s="18">
        <v>0.1454</v>
      </c>
      <c r="M74" s="18">
        <v>0.2883</v>
      </c>
      <c r="N74" s="18">
        <v>0.4637</v>
      </c>
      <c r="O74" s="18">
        <v>0.65490000000000004</v>
      </c>
      <c r="P74" s="18">
        <v>0.84860000000000002</v>
      </c>
      <c r="Q74" s="18">
        <v>1.0411999999999999</v>
      </c>
      <c r="R74" s="18">
        <v>1.2341</v>
      </c>
      <c r="S74" s="18">
        <v>1.4152</v>
      </c>
      <c r="T74" s="18">
        <v>1.5853999999999999</v>
      </c>
      <c r="U74" s="18">
        <v>1.7303999999999999</v>
      </c>
      <c r="V74" s="18">
        <v>1.8540000000000001</v>
      </c>
      <c r="W74" s="18">
        <v>1.9624999999999999</v>
      </c>
      <c r="X74" s="18">
        <v>2.0520999999999998</v>
      </c>
      <c r="Y74" s="18">
        <v>2.1156000000000001</v>
      </c>
      <c r="Z74" s="18">
        <v>2.1435</v>
      </c>
      <c r="AA74" s="18">
        <v>2.1516000000000002</v>
      </c>
      <c r="AB74" s="18">
        <v>2.1364999999999998</v>
      </c>
      <c r="AC74" s="18">
        <v>2.0857000000000001</v>
      </c>
      <c r="AD74" s="18">
        <v>2.0083000000000002</v>
      </c>
      <c r="AE74" s="18">
        <v>1.9158999999999999</v>
      </c>
      <c r="AF74" s="18">
        <v>1.7988999999999999</v>
      </c>
      <c r="AG74" s="18">
        <v>1.6745000000000001</v>
      </c>
      <c r="AH74" s="18">
        <v>1.5246999999999999</v>
      </c>
      <c r="AI74" s="18">
        <v>1.3561000000000001</v>
      </c>
      <c r="AJ74" s="18">
        <v>1.1525000000000001</v>
      </c>
      <c r="AK74" s="18">
        <v>0.96199999999999997</v>
      </c>
      <c r="AL74" s="18">
        <v>0.76619999999999999</v>
      </c>
      <c r="AM74" s="18">
        <v>0.57679999999999998</v>
      </c>
      <c r="AN74" s="18">
        <v>0.39419999999999999</v>
      </c>
      <c r="AO74" s="18">
        <v>0.23019999999999999</v>
      </c>
      <c r="AP74" s="18">
        <v>6.7000000000000004E-2</v>
      </c>
      <c r="AQ74" s="18">
        <v>1.24E-2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</row>
    <row r="75" spans="1:50" x14ac:dyDescent="0.25">
      <c r="A75" s="8" t="s">
        <v>132</v>
      </c>
      <c r="B75" s="10" t="s">
        <v>57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</row>
    <row r="76" spans="1:50" x14ac:dyDescent="0.25">
      <c r="A76" s="17" t="s">
        <v>285</v>
      </c>
      <c r="B76" s="13" t="s">
        <v>222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3.3999999999999998E-3</v>
      </c>
      <c r="K76" s="18">
        <v>4.9700000000000001E-2</v>
      </c>
      <c r="L76" s="18">
        <v>0.2326</v>
      </c>
      <c r="M76" s="18">
        <v>0.46129999999999999</v>
      </c>
      <c r="N76" s="18">
        <v>0.7419</v>
      </c>
      <c r="O76" s="18">
        <v>1.0479000000000001</v>
      </c>
      <c r="P76" s="18">
        <v>1.3576999999999999</v>
      </c>
      <c r="Q76" s="18">
        <v>1.6659999999999999</v>
      </c>
      <c r="R76" s="18">
        <v>1.9745999999999999</v>
      </c>
      <c r="S76" s="18">
        <v>2.2643</v>
      </c>
      <c r="T76" s="18">
        <v>2.5367000000000002</v>
      </c>
      <c r="U76" s="18">
        <v>2.7686000000000002</v>
      </c>
      <c r="V76" s="18">
        <v>2.9664000000000001</v>
      </c>
      <c r="W76" s="18">
        <v>3.14</v>
      </c>
      <c r="X76" s="18">
        <v>3.2833000000000001</v>
      </c>
      <c r="Y76" s="18">
        <v>3.3849999999999998</v>
      </c>
      <c r="Z76" s="18">
        <v>3.4296000000000002</v>
      </c>
      <c r="AA76" s="18">
        <v>3.4424999999999999</v>
      </c>
      <c r="AB76" s="18">
        <v>3.4182999999999999</v>
      </c>
      <c r="AC76" s="18">
        <v>3.3372000000000002</v>
      </c>
      <c r="AD76" s="18">
        <v>3.2132999999999998</v>
      </c>
      <c r="AE76" s="18">
        <v>3.0655000000000001</v>
      </c>
      <c r="AF76" s="18">
        <v>2.8782000000000001</v>
      </c>
      <c r="AG76" s="18">
        <v>2.6791</v>
      </c>
      <c r="AH76" s="18">
        <v>2.4396</v>
      </c>
      <c r="AI76" s="18">
        <v>2.1698</v>
      </c>
      <c r="AJ76" s="18">
        <v>1.8441000000000001</v>
      </c>
      <c r="AK76" s="18">
        <v>1.5391999999999999</v>
      </c>
      <c r="AL76" s="18">
        <v>1.2259</v>
      </c>
      <c r="AM76" s="18">
        <v>0.92290000000000005</v>
      </c>
      <c r="AN76" s="18">
        <v>0.63080000000000003</v>
      </c>
      <c r="AO76" s="18">
        <v>0.36830000000000002</v>
      </c>
      <c r="AP76" s="18">
        <v>0.1072</v>
      </c>
      <c r="AQ76" s="18">
        <v>1.9800000000000002E-2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</row>
    <row r="77" spans="1:50" x14ac:dyDescent="0.25">
      <c r="A77" s="17" t="s">
        <v>287</v>
      </c>
      <c r="B77" s="13" t="s">
        <v>222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1.2999999999999999E-3</v>
      </c>
      <c r="K77" s="18">
        <v>1.8700000000000001E-2</v>
      </c>
      <c r="L77" s="18">
        <v>8.72E-2</v>
      </c>
      <c r="M77" s="18">
        <v>0.17299999999999999</v>
      </c>
      <c r="N77" s="18">
        <v>0.2782</v>
      </c>
      <c r="O77" s="18">
        <v>0.39300000000000002</v>
      </c>
      <c r="P77" s="18">
        <v>0.50919999999999999</v>
      </c>
      <c r="Q77" s="18">
        <v>0.62470000000000003</v>
      </c>
      <c r="R77" s="18">
        <v>0.74050000000000005</v>
      </c>
      <c r="S77" s="18">
        <v>0.84909999999999997</v>
      </c>
      <c r="T77" s="18">
        <v>0.95120000000000005</v>
      </c>
      <c r="U77" s="18">
        <v>1.0382</v>
      </c>
      <c r="V77" s="18">
        <v>1.1124000000000001</v>
      </c>
      <c r="W77" s="18">
        <v>1.1775</v>
      </c>
      <c r="X77" s="18">
        <v>1.2312000000000001</v>
      </c>
      <c r="Y77" s="18">
        <v>1.2694000000000001</v>
      </c>
      <c r="Z77" s="18">
        <v>1.2861</v>
      </c>
      <c r="AA77" s="18">
        <v>1.2908999999999999</v>
      </c>
      <c r="AB77" s="18">
        <v>1.2819</v>
      </c>
      <c r="AC77" s="18">
        <v>1.2514000000000001</v>
      </c>
      <c r="AD77" s="18">
        <v>1.2050000000000001</v>
      </c>
      <c r="AE77" s="18">
        <v>1.1496</v>
      </c>
      <c r="AF77" s="18">
        <v>1.0792999999999999</v>
      </c>
      <c r="AG77" s="18">
        <v>1.0046999999999999</v>
      </c>
      <c r="AH77" s="18">
        <v>0.91479999999999995</v>
      </c>
      <c r="AI77" s="18">
        <v>0.81369999999999998</v>
      </c>
      <c r="AJ77" s="18">
        <v>0.6915</v>
      </c>
      <c r="AK77" s="18">
        <v>0.57720000000000005</v>
      </c>
      <c r="AL77" s="18">
        <v>0.4597</v>
      </c>
      <c r="AM77" s="18">
        <v>0.34610000000000002</v>
      </c>
      <c r="AN77" s="18">
        <v>0.23649999999999999</v>
      </c>
      <c r="AO77" s="18">
        <v>0.1381</v>
      </c>
      <c r="AP77" s="18">
        <v>4.02E-2</v>
      </c>
      <c r="AQ77" s="18">
        <v>7.4000000000000003E-3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</row>
    <row r="78" spans="1:50" x14ac:dyDescent="0.25">
      <c r="A78" s="8" t="s">
        <v>134</v>
      </c>
      <c r="B78" s="10" t="s">
        <v>57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</row>
    <row r="79" spans="1:50" x14ac:dyDescent="0.25">
      <c r="A79" s="8" t="s">
        <v>136</v>
      </c>
      <c r="B79" s="10" t="s">
        <v>57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</row>
    <row r="80" spans="1:50" x14ac:dyDescent="0.25">
      <c r="A80" s="17" t="s">
        <v>289</v>
      </c>
      <c r="B80" s="13" t="s">
        <v>222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1.6999999999999999E-3</v>
      </c>
      <c r="K80" s="18">
        <v>2.4899999999999999E-2</v>
      </c>
      <c r="L80" s="18">
        <v>0.1163</v>
      </c>
      <c r="M80" s="18">
        <v>0.23069999999999999</v>
      </c>
      <c r="N80" s="18">
        <v>0.37090000000000001</v>
      </c>
      <c r="O80" s="18">
        <v>0.52400000000000002</v>
      </c>
      <c r="P80" s="18">
        <v>0.67889999999999995</v>
      </c>
      <c r="Q80" s="18">
        <v>0.83299999999999996</v>
      </c>
      <c r="R80" s="18">
        <v>0.98729999999999996</v>
      </c>
      <c r="S80" s="18">
        <v>1.1322000000000001</v>
      </c>
      <c r="T80" s="18">
        <v>1.2683</v>
      </c>
      <c r="U80" s="18">
        <v>1.3843000000000001</v>
      </c>
      <c r="V80" s="18">
        <v>1.4832000000000001</v>
      </c>
      <c r="W80" s="18">
        <v>1.57</v>
      </c>
      <c r="X80" s="18">
        <v>1.6416999999999999</v>
      </c>
      <c r="Y80" s="18">
        <v>1.6924999999999999</v>
      </c>
      <c r="Z80" s="18">
        <v>1.7148000000000001</v>
      </c>
      <c r="AA80" s="18">
        <v>1.7212000000000001</v>
      </c>
      <c r="AB80" s="18">
        <v>1.7092000000000001</v>
      </c>
      <c r="AC80" s="18">
        <v>1.6686000000000001</v>
      </c>
      <c r="AD80" s="18">
        <v>1.6067</v>
      </c>
      <c r="AE80" s="18">
        <v>1.5327999999999999</v>
      </c>
      <c r="AF80" s="18">
        <v>1.4391</v>
      </c>
      <c r="AG80" s="18">
        <v>1.3395999999999999</v>
      </c>
      <c r="AH80" s="18">
        <v>1.2198</v>
      </c>
      <c r="AI80" s="18">
        <v>1.0849</v>
      </c>
      <c r="AJ80" s="18">
        <v>0.92200000000000004</v>
      </c>
      <c r="AK80" s="18">
        <v>0.76959999999999995</v>
      </c>
      <c r="AL80" s="18">
        <v>0.61299999999999999</v>
      </c>
      <c r="AM80" s="18">
        <v>0.46150000000000002</v>
      </c>
      <c r="AN80" s="18">
        <v>0.31540000000000001</v>
      </c>
      <c r="AO80" s="18">
        <v>0.1842</v>
      </c>
      <c r="AP80" s="18">
        <v>5.3600000000000002E-2</v>
      </c>
      <c r="AQ80" s="18">
        <v>9.9000000000000008E-3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</row>
    <row r="81" spans="1:50" x14ac:dyDescent="0.25">
      <c r="A81" s="17" t="s">
        <v>291</v>
      </c>
      <c r="B81" s="13" t="s">
        <v>222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2.5999999999999999E-3</v>
      </c>
      <c r="K81" s="18">
        <v>3.73E-2</v>
      </c>
      <c r="L81" s="18">
        <v>0.1744</v>
      </c>
      <c r="M81" s="18">
        <v>0.34599999999999997</v>
      </c>
      <c r="N81" s="18">
        <v>0.55640000000000001</v>
      </c>
      <c r="O81" s="18">
        <v>0.78590000000000004</v>
      </c>
      <c r="P81" s="18">
        <v>1.0183</v>
      </c>
      <c r="Q81" s="18">
        <v>1.2495000000000001</v>
      </c>
      <c r="R81" s="18">
        <v>1.4810000000000001</v>
      </c>
      <c r="S81" s="18">
        <v>1.6981999999999999</v>
      </c>
      <c r="T81" s="18">
        <v>1.9025000000000001</v>
      </c>
      <c r="U81" s="18">
        <v>2.0764</v>
      </c>
      <c r="V81" s="18">
        <v>2.2248000000000001</v>
      </c>
      <c r="W81" s="18">
        <v>2.355</v>
      </c>
      <c r="X81" s="18">
        <v>2.4624999999999999</v>
      </c>
      <c r="Y81" s="18">
        <v>2.5387</v>
      </c>
      <c r="Z81" s="18">
        <v>2.5722</v>
      </c>
      <c r="AA81" s="18">
        <v>2.5819000000000001</v>
      </c>
      <c r="AB81" s="18">
        <v>2.5636999999999999</v>
      </c>
      <c r="AC81" s="18">
        <v>2.5028999999999999</v>
      </c>
      <c r="AD81" s="18">
        <v>2.41</v>
      </c>
      <c r="AE81" s="18">
        <v>2.2991000000000001</v>
      </c>
      <c r="AF81" s="18">
        <v>2.1585999999999999</v>
      </c>
      <c r="AG81" s="18">
        <v>2.0093000000000001</v>
      </c>
      <c r="AH81" s="18">
        <v>1.8297000000000001</v>
      </c>
      <c r="AI81" s="18">
        <v>1.6274</v>
      </c>
      <c r="AJ81" s="18">
        <v>1.3831</v>
      </c>
      <c r="AK81" s="18">
        <v>1.1544000000000001</v>
      </c>
      <c r="AL81" s="18">
        <v>0.91949999999999998</v>
      </c>
      <c r="AM81" s="18">
        <v>0.69220000000000004</v>
      </c>
      <c r="AN81" s="18">
        <v>0.47310000000000002</v>
      </c>
      <c r="AO81" s="18">
        <v>0.2762</v>
      </c>
      <c r="AP81" s="18">
        <v>8.0399999999999999E-2</v>
      </c>
      <c r="AQ81" s="18">
        <v>1.4800000000000001E-2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</row>
    <row r="82" spans="1:50" x14ac:dyDescent="0.25">
      <c r="A82" s="8" t="s">
        <v>138</v>
      </c>
      <c r="B82" s="10" t="s">
        <v>57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</row>
    <row r="83" spans="1:50" x14ac:dyDescent="0.25">
      <c r="A83" s="17" t="s">
        <v>293</v>
      </c>
      <c r="B83" s="13" t="s">
        <v>222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3.3999999999999998E-3</v>
      </c>
      <c r="K83" s="18">
        <v>4.9700000000000001E-2</v>
      </c>
      <c r="L83" s="18">
        <v>0.2326</v>
      </c>
      <c r="M83" s="18">
        <v>0.46129999999999999</v>
      </c>
      <c r="N83" s="18">
        <v>0.7419</v>
      </c>
      <c r="O83" s="18">
        <v>1.0479000000000001</v>
      </c>
      <c r="P83" s="18">
        <v>1.3576999999999999</v>
      </c>
      <c r="Q83" s="18">
        <v>1.6659999999999999</v>
      </c>
      <c r="R83" s="18">
        <v>1.9745999999999999</v>
      </c>
      <c r="S83" s="18">
        <v>2.2643</v>
      </c>
      <c r="T83" s="18">
        <v>2.5367000000000002</v>
      </c>
      <c r="U83" s="18">
        <v>2.7686000000000002</v>
      </c>
      <c r="V83" s="18">
        <v>2.9664000000000001</v>
      </c>
      <c r="W83" s="18">
        <v>3.14</v>
      </c>
      <c r="X83" s="18">
        <v>3.2833000000000001</v>
      </c>
      <c r="Y83" s="18">
        <v>3.3849999999999998</v>
      </c>
      <c r="Z83" s="18">
        <v>3.4296000000000002</v>
      </c>
      <c r="AA83" s="18">
        <v>3.4424999999999999</v>
      </c>
      <c r="AB83" s="18">
        <v>3.4182999999999999</v>
      </c>
      <c r="AC83" s="18">
        <v>3.3372000000000002</v>
      </c>
      <c r="AD83" s="18">
        <v>3.2132999999999998</v>
      </c>
      <c r="AE83" s="18">
        <v>3.0655000000000001</v>
      </c>
      <c r="AF83" s="18">
        <v>2.8782000000000001</v>
      </c>
      <c r="AG83" s="18">
        <v>2.6791</v>
      </c>
      <c r="AH83" s="18">
        <v>2.4396</v>
      </c>
      <c r="AI83" s="18">
        <v>2.1698</v>
      </c>
      <c r="AJ83" s="18">
        <v>1.8441000000000001</v>
      </c>
      <c r="AK83" s="18">
        <v>1.5391999999999999</v>
      </c>
      <c r="AL83" s="18">
        <v>1.2259</v>
      </c>
      <c r="AM83" s="18">
        <v>0.92290000000000005</v>
      </c>
      <c r="AN83" s="18">
        <v>0.63080000000000003</v>
      </c>
      <c r="AO83" s="18">
        <v>0.36830000000000002</v>
      </c>
      <c r="AP83" s="18">
        <v>0.1072</v>
      </c>
      <c r="AQ83" s="18">
        <v>1.9800000000000002E-2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</row>
    <row r="84" spans="1:50" x14ac:dyDescent="0.25">
      <c r="A84" s="8" t="s">
        <v>140</v>
      </c>
      <c r="B84" s="10" t="s">
        <v>57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</row>
    <row r="85" spans="1:50" x14ac:dyDescent="0.25">
      <c r="A85" s="17" t="s">
        <v>295</v>
      </c>
      <c r="B85" s="13" t="s">
        <v>222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3.0000000000000001E-3</v>
      </c>
      <c r="K85" s="18">
        <v>4.3499999999999997E-2</v>
      </c>
      <c r="L85" s="18">
        <v>0.20349999999999999</v>
      </c>
      <c r="M85" s="18">
        <v>0.4037</v>
      </c>
      <c r="N85" s="18">
        <v>0.64910000000000001</v>
      </c>
      <c r="O85" s="18">
        <v>0.91690000000000005</v>
      </c>
      <c r="P85" s="18">
        <v>1.1879999999999999</v>
      </c>
      <c r="Q85" s="18">
        <v>1.4577</v>
      </c>
      <c r="R85" s="18">
        <v>1.7278</v>
      </c>
      <c r="S85" s="18">
        <v>1.9813000000000001</v>
      </c>
      <c r="T85" s="18">
        <v>2.2195999999999998</v>
      </c>
      <c r="U85" s="18">
        <v>2.4224999999999999</v>
      </c>
      <c r="V85" s="18">
        <v>2.5956000000000001</v>
      </c>
      <c r="W85" s="18">
        <v>2.7475000000000001</v>
      </c>
      <c r="X85" s="18">
        <v>2.8729</v>
      </c>
      <c r="Y85" s="18">
        <v>2.9619</v>
      </c>
      <c r="Z85" s="18">
        <v>3.0009000000000001</v>
      </c>
      <c r="AA85" s="18">
        <v>3.0122</v>
      </c>
      <c r="AB85" s="18">
        <v>2.9910000000000001</v>
      </c>
      <c r="AC85" s="18">
        <v>2.92</v>
      </c>
      <c r="AD85" s="18">
        <v>2.8117000000000001</v>
      </c>
      <c r="AE85" s="18">
        <v>2.6823000000000001</v>
      </c>
      <c r="AF85" s="18">
        <v>2.5184000000000002</v>
      </c>
      <c r="AG85" s="18">
        <v>2.3441999999999998</v>
      </c>
      <c r="AH85" s="18">
        <v>2.1345999999999998</v>
      </c>
      <c r="AI85" s="18">
        <v>1.8986000000000001</v>
      </c>
      <c r="AJ85" s="18">
        <v>1.6135999999999999</v>
      </c>
      <c r="AK85" s="18">
        <v>1.3468</v>
      </c>
      <c r="AL85" s="18">
        <v>1.0727</v>
      </c>
      <c r="AM85" s="18">
        <v>0.80759999999999998</v>
      </c>
      <c r="AN85" s="18">
        <v>0.55189999999999995</v>
      </c>
      <c r="AO85" s="18">
        <v>0.32229999999999998</v>
      </c>
      <c r="AP85" s="18">
        <v>9.3799999999999994E-2</v>
      </c>
      <c r="AQ85" s="18">
        <v>1.7299999999999999E-2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</row>
    <row r="86" spans="1:50" x14ac:dyDescent="0.25">
      <c r="A86" s="17" t="s">
        <v>297</v>
      </c>
      <c r="B86" s="13" t="s">
        <v>222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3.0000000000000001E-3</v>
      </c>
      <c r="K86" s="18">
        <v>4.3499999999999997E-2</v>
      </c>
      <c r="L86" s="18">
        <v>0.20349999999999999</v>
      </c>
      <c r="M86" s="18">
        <v>0.4037</v>
      </c>
      <c r="N86" s="18">
        <v>0.64910000000000001</v>
      </c>
      <c r="O86" s="18">
        <v>0.91690000000000005</v>
      </c>
      <c r="P86" s="18">
        <v>1.1879999999999999</v>
      </c>
      <c r="Q86" s="18">
        <v>1.4577</v>
      </c>
      <c r="R86" s="18">
        <v>1.7278</v>
      </c>
      <c r="S86" s="18">
        <v>1.9813000000000001</v>
      </c>
      <c r="T86" s="18">
        <v>2.2195999999999998</v>
      </c>
      <c r="U86" s="18">
        <v>2.4224999999999999</v>
      </c>
      <c r="V86" s="18">
        <v>2.5956000000000001</v>
      </c>
      <c r="W86" s="18">
        <v>2.7475000000000001</v>
      </c>
      <c r="X86" s="18">
        <v>2.8729</v>
      </c>
      <c r="Y86" s="18">
        <v>2.9619</v>
      </c>
      <c r="Z86" s="18">
        <v>3.0009000000000001</v>
      </c>
      <c r="AA86" s="18">
        <v>3.0122</v>
      </c>
      <c r="AB86" s="18">
        <v>2.9910000000000001</v>
      </c>
      <c r="AC86" s="18">
        <v>2.92</v>
      </c>
      <c r="AD86" s="18">
        <v>2.8117000000000001</v>
      </c>
      <c r="AE86" s="18">
        <v>2.6823000000000001</v>
      </c>
      <c r="AF86" s="18">
        <v>2.5184000000000002</v>
      </c>
      <c r="AG86" s="18">
        <v>2.3441999999999998</v>
      </c>
      <c r="AH86" s="18">
        <v>2.1345999999999998</v>
      </c>
      <c r="AI86" s="18">
        <v>1.8986000000000001</v>
      </c>
      <c r="AJ86" s="18">
        <v>1.6135999999999999</v>
      </c>
      <c r="AK86" s="18">
        <v>1.3468</v>
      </c>
      <c r="AL86" s="18">
        <v>1.0727</v>
      </c>
      <c r="AM86" s="18">
        <v>0.80759999999999998</v>
      </c>
      <c r="AN86" s="18">
        <v>0.55189999999999995</v>
      </c>
      <c r="AO86" s="18">
        <v>0.32229999999999998</v>
      </c>
      <c r="AP86" s="18">
        <v>9.3799999999999994E-2</v>
      </c>
      <c r="AQ86" s="18">
        <v>1.7299999999999999E-2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</row>
    <row r="87" spans="1:50" x14ac:dyDescent="0.25">
      <c r="A87" s="8" t="s">
        <v>142</v>
      </c>
      <c r="B87" s="10" t="s">
        <v>57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</row>
    <row r="88" spans="1:50" x14ac:dyDescent="0.25">
      <c r="A88" s="8" t="s">
        <v>144</v>
      </c>
      <c r="B88" s="10" t="s">
        <v>57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</row>
    <row r="89" spans="1:50" x14ac:dyDescent="0.25">
      <c r="A89" s="17" t="s">
        <v>299</v>
      </c>
      <c r="B89" s="13" t="s">
        <v>222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3.3999999999999998E-3</v>
      </c>
      <c r="K89" s="18">
        <v>4.9700000000000001E-2</v>
      </c>
      <c r="L89" s="18">
        <v>0.2326</v>
      </c>
      <c r="M89" s="18">
        <v>0.46129999999999999</v>
      </c>
      <c r="N89" s="18">
        <v>0.7419</v>
      </c>
      <c r="O89" s="18">
        <v>1.0479000000000001</v>
      </c>
      <c r="P89" s="18">
        <v>1.3576999999999999</v>
      </c>
      <c r="Q89" s="18">
        <v>1.6659999999999999</v>
      </c>
      <c r="R89" s="18">
        <v>1.9745999999999999</v>
      </c>
      <c r="S89" s="18">
        <v>2.2643</v>
      </c>
      <c r="T89" s="18">
        <v>2.5367000000000002</v>
      </c>
      <c r="U89" s="18">
        <v>2.7686000000000002</v>
      </c>
      <c r="V89" s="18">
        <v>2.9664000000000001</v>
      </c>
      <c r="W89" s="18">
        <v>3.14</v>
      </c>
      <c r="X89" s="18">
        <v>3.2833000000000001</v>
      </c>
      <c r="Y89" s="18">
        <v>3.3849999999999998</v>
      </c>
      <c r="Z89" s="18">
        <v>3.4296000000000002</v>
      </c>
      <c r="AA89" s="18">
        <v>3.4424999999999999</v>
      </c>
      <c r="AB89" s="18">
        <v>3.4182999999999999</v>
      </c>
      <c r="AC89" s="18">
        <v>3.3372000000000002</v>
      </c>
      <c r="AD89" s="18">
        <v>3.2132999999999998</v>
      </c>
      <c r="AE89" s="18">
        <v>3.0655000000000001</v>
      </c>
      <c r="AF89" s="18">
        <v>2.8782000000000001</v>
      </c>
      <c r="AG89" s="18">
        <v>2.6791</v>
      </c>
      <c r="AH89" s="18">
        <v>2.4396</v>
      </c>
      <c r="AI89" s="18">
        <v>2.1698</v>
      </c>
      <c r="AJ89" s="18">
        <v>1.8441000000000001</v>
      </c>
      <c r="AK89" s="18">
        <v>1.5391999999999999</v>
      </c>
      <c r="AL89" s="18">
        <v>1.2259</v>
      </c>
      <c r="AM89" s="18">
        <v>0.92290000000000005</v>
      </c>
      <c r="AN89" s="18">
        <v>0.63080000000000003</v>
      </c>
      <c r="AO89" s="18">
        <v>0.36830000000000002</v>
      </c>
      <c r="AP89" s="18">
        <v>0.1072</v>
      </c>
      <c r="AQ89" s="18">
        <v>1.9800000000000002E-2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</row>
    <row r="90" spans="1:50" x14ac:dyDescent="0.25">
      <c r="A90" s="8" t="s">
        <v>146</v>
      </c>
      <c r="B90" s="10" t="s">
        <v>57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</row>
    <row r="91" spans="1:50" x14ac:dyDescent="0.25">
      <c r="A91" s="8" t="s">
        <v>148</v>
      </c>
      <c r="B91" s="10" t="s">
        <v>57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</row>
    <row r="92" spans="1:50" x14ac:dyDescent="0.25">
      <c r="A92" s="17" t="s">
        <v>301</v>
      </c>
      <c r="B92" s="13" t="s">
        <v>222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2.5999999999999999E-3</v>
      </c>
      <c r="K92" s="18">
        <v>3.73E-2</v>
      </c>
      <c r="L92" s="18">
        <v>0.1744</v>
      </c>
      <c r="M92" s="18">
        <v>0.34599999999999997</v>
      </c>
      <c r="N92" s="18">
        <v>0.55640000000000001</v>
      </c>
      <c r="O92" s="18">
        <v>0.78590000000000004</v>
      </c>
      <c r="P92" s="18">
        <v>1.0183</v>
      </c>
      <c r="Q92" s="18">
        <v>1.2495000000000001</v>
      </c>
      <c r="R92" s="18">
        <v>1.4810000000000001</v>
      </c>
      <c r="S92" s="18">
        <v>1.6981999999999999</v>
      </c>
      <c r="T92" s="18">
        <v>1.9025000000000001</v>
      </c>
      <c r="U92" s="18">
        <v>2.0764</v>
      </c>
      <c r="V92" s="18">
        <v>2.2248000000000001</v>
      </c>
      <c r="W92" s="18">
        <v>2.355</v>
      </c>
      <c r="X92" s="18">
        <v>2.4624999999999999</v>
      </c>
      <c r="Y92" s="18">
        <v>2.5387</v>
      </c>
      <c r="Z92" s="18">
        <v>2.5722</v>
      </c>
      <c r="AA92" s="18">
        <v>2.5819000000000001</v>
      </c>
      <c r="AB92" s="18">
        <v>2.5636999999999999</v>
      </c>
      <c r="AC92" s="18">
        <v>2.5028999999999999</v>
      </c>
      <c r="AD92" s="18">
        <v>2.41</v>
      </c>
      <c r="AE92" s="18">
        <v>2.2991000000000001</v>
      </c>
      <c r="AF92" s="18">
        <v>2.1585999999999999</v>
      </c>
      <c r="AG92" s="18">
        <v>2.0093000000000001</v>
      </c>
      <c r="AH92" s="18">
        <v>1.8297000000000001</v>
      </c>
      <c r="AI92" s="18">
        <v>1.6274</v>
      </c>
      <c r="AJ92" s="18">
        <v>1.3831</v>
      </c>
      <c r="AK92" s="18">
        <v>1.1544000000000001</v>
      </c>
      <c r="AL92" s="18">
        <v>0.91949999999999998</v>
      </c>
      <c r="AM92" s="18">
        <v>0.69220000000000004</v>
      </c>
      <c r="AN92" s="18">
        <v>0.47310000000000002</v>
      </c>
      <c r="AO92" s="18">
        <v>0.2762</v>
      </c>
      <c r="AP92" s="18">
        <v>8.0399999999999999E-2</v>
      </c>
      <c r="AQ92" s="18">
        <v>1.4800000000000001E-2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</row>
    <row r="93" spans="1:50" x14ac:dyDescent="0.25">
      <c r="A93" s="8" t="s">
        <v>150</v>
      </c>
      <c r="B93" s="10" t="s">
        <v>57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</row>
    <row r="94" spans="1:50" x14ac:dyDescent="0.25">
      <c r="A94" s="8" t="s">
        <v>152</v>
      </c>
      <c r="B94" s="10" t="s">
        <v>57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</row>
    <row r="95" spans="1:50" x14ac:dyDescent="0.25">
      <c r="A95" s="8" t="s">
        <v>154</v>
      </c>
      <c r="B95" s="10" t="s">
        <v>57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</row>
    <row r="96" spans="1:50" x14ac:dyDescent="0.25">
      <c r="A96" s="8" t="s">
        <v>156</v>
      </c>
      <c r="B96" s="10" t="s">
        <v>57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</row>
    <row r="97" spans="1:50" x14ac:dyDescent="0.25">
      <c r="A97" s="17" t="s">
        <v>303</v>
      </c>
      <c r="B97" s="13" t="s">
        <v>222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1.6999999999999999E-3</v>
      </c>
      <c r="K97" s="18">
        <v>2.4899999999999999E-2</v>
      </c>
      <c r="L97" s="18">
        <v>0.1163</v>
      </c>
      <c r="M97" s="18">
        <v>0.23069999999999999</v>
      </c>
      <c r="N97" s="18">
        <v>0.37090000000000001</v>
      </c>
      <c r="O97" s="18">
        <v>0.52400000000000002</v>
      </c>
      <c r="P97" s="18">
        <v>0.67889999999999995</v>
      </c>
      <c r="Q97" s="18">
        <v>0.83299999999999996</v>
      </c>
      <c r="R97" s="18">
        <v>0.98729999999999996</v>
      </c>
      <c r="S97" s="18">
        <v>1.1322000000000001</v>
      </c>
      <c r="T97" s="18">
        <v>1.2683</v>
      </c>
      <c r="U97" s="18">
        <v>1.3843000000000001</v>
      </c>
      <c r="V97" s="18">
        <v>1.4832000000000001</v>
      </c>
      <c r="W97" s="18">
        <v>1.57</v>
      </c>
      <c r="X97" s="18">
        <v>1.6416999999999999</v>
      </c>
      <c r="Y97" s="18">
        <v>1.6924999999999999</v>
      </c>
      <c r="Z97" s="18">
        <v>1.7148000000000001</v>
      </c>
      <c r="AA97" s="18">
        <v>1.7212000000000001</v>
      </c>
      <c r="AB97" s="18">
        <v>1.7092000000000001</v>
      </c>
      <c r="AC97" s="18">
        <v>1.6686000000000001</v>
      </c>
      <c r="AD97" s="18">
        <v>1.6067</v>
      </c>
      <c r="AE97" s="18">
        <v>1.5327999999999999</v>
      </c>
      <c r="AF97" s="18">
        <v>1.4391</v>
      </c>
      <c r="AG97" s="18">
        <v>1.3395999999999999</v>
      </c>
      <c r="AH97" s="18">
        <v>1.2198</v>
      </c>
      <c r="AI97" s="18">
        <v>1.0849</v>
      </c>
      <c r="AJ97" s="18">
        <v>0.92200000000000004</v>
      </c>
      <c r="AK97" s="18">
        <v>0.76959999999999995</v>
      </c>
      <c r="AL97" s="18">
        <v>0.61299999999999999</v>
      </c>
      <c r="AM97" s="18">
        <v>0.46150000000000002</v>
      </c>
      <c r="AN97" s="18">
        <v>0.31540000000000001</v>
      </c>
      <c r="AO97" s="18">
        <v>0.1842</v>
      </c>
      <c r="AP97" s="18">
        <v>5.3600000000000002E-2</v>
      </c>
      <c r="AQ97" s="18">
        <v>9.9000000000000008E-3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</row>
    <row r="98" spans="1:50" x14ac:dyDescent="0.25">
      <c r="A98" s="17" t="s">
        <v>305</v>
      </c>
      <c r="B98" s="13" t="s">
        <v>222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3.0000000000000001E-3</v>
      </c>
      <c r="K98" s="18">
        <v>4.3499999999999997E-2</v>
      </c>
      <c r="L98" s="18">
        <v>0.20349999999999999</v>
      </c>
      <c r="M98" s="18">
        <v>0.4037</v>
      </c>
      <c r="N98" s="18">
        <v>0.64910000000000001</v>
      </c>
      <c r="O98" s="18">
        <v>0.91690000000000005</v>
      </c>
      <c r="P98" s="18">
        <v>1.1879999999999999</v>
      </c>
      <c r="Q98" s="18">
        <v>1.4577</v>
      </c>
      <c r="R98" s="18">
        <v>1.7278</v>
      </c>
      <c r="S98" s="18">
        <v>1.9813000000000001</v>
      </c>
      <c r="T98" s="18">
        <v>2.2195999999999998</v>
      </c>
      <c r="U98" s="18">
        <v>2.4224999999999999</v>
      </c>
      <c r="V98" s="18">
        <v>2.5956000000000001</v>
      </c>
      <c r="W98" s="18">
        <v>2.7475000000000001</v>
      </c>
      <c r="X98" s="18">
        <v>2.8729</v>
      </c>
      <c r="Y98" s="18">
        <v>2.9619</v>
      </c>
      <c r="Z98" s="18">
        <v>3.0009000000000001</v>
      </c>
      <c r="AA98" s="18">
        <v>3.0122</v>
      </c>
      <c r="AB98" s="18">
        <v>2.9910000000000001</v>
      </c>
      <c r="AC98" s="18">
        <v>2.92</v>
      </c>
      <c r="AD98" s="18">
        <v>2.8117000000000001</v>
      </c>
      <c r="AE98" s="18">
        <v>2.6823000000000001</v>
      </c>
      <c r="AF98" s="18">
        <v>2.5184000000000002</v>
      </c>
      <c r="AG98" s="18">
        <v>2.3441999999999998</v>
      </c>
      <c r="AH98" s="18">
        <v>2.1345999999999998</v>
      </c>
      <c r="AI98" s="18">
        <v>1.8986000000000001</v>
      </c>
      <c r="AJ98" s="18">
        <v>1.6135999999999999</v>
      </c>
      <c r="AK98" s="18">
        <v>1.3468</v>
      </c>
      <c r="AL98" s="18">
        <v>1.0727</v>
      </c>
      <c r="AM98" s="18">
        <v>0.80759999999999998</v>
      </c>
      <c r="AN98" s="18">
        <v>0.55189999999999995</v>
      </c>
      <c r="AO98" s="18">
        <v>0.32229999999999998</v>
      </c>
      <c r="AP98" s="18">
        <v>9.3799999999999994E-2</v>
      </c>
      <c r="AQ98" s="18">
        <v>1.7299999999999999E-2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</row>
    <row r="99" spans="1:50" x14ac:dyDescent="0.25">
      <c r="A99" s="17" t="s">
        <v>307</v>
      </c>
      <c r="B99" s="13" t="s">
        <v>222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2.2000000000000001E-3</v>
      </c>
      <c r="K99" s="18">
        <v>3.1099999999999999E-2</v>
      </c>
      <c r="L99" s="18">
        <v>0.1454</v>
      </c>
      <c r="M99" s="18">
        <v>0.2883</v>
      </c>
      <c r="N99" s="18">
        <v>0.4637</v>
      </c>
      <c r="O99" s="18">
        <v>0.65490000000000004</v>
      </c>
      <c r="P99" s="18">
        <v>0.84860000000000002</v>
      </c>
      <c r="Q99" s="18">
        <v>1.0411999999999999</v>
      </c>
      <c r="R99" s="18">
        <v>1.2341</v>
      </c>
      <c r="S99" s="18">
        <v>1.4152</v>
      </c>
      <c r="T99" s="18">
        <v>1.5853999999999999</v>
      </c>
      <c r="U99" s="18">
        <v>1.7303999999999999</v>
      </c>
      <c r="V99" s="18">
        <v>1.8540000000000001</v>
      </c>
      <c r="W99" s="18">
        <v>1.9624999999999999</v>
      </c>
      <c r="X99" s="18">
        <v>2.0520999999999998</v>
      </c>
      <c r="Y99" s="18">
        <v>2.1156000000000001</v>
      </c>
      <c r="Z99" s="18">
        <v>2.1435</v>
      </c>
      <c r="AA99" s="18">
        <v>2.1516000000000002</v>
      </c>
      <c r="AB99" s="18">
        <v>2.1364999999999998</v>
      </c>
      <c r="AC99" s="18">
        <v>2.0857000000000001</v>
      </c>
      <c r="AD99" s="18">
        <v>2.0083000000000002</v>
      </c>
      <c r="AE99" s="18">
        <v>1.9158999999999999</v>
      </c>
      <c r="AF99" s="18">
        <v>1.7988999999999999</v>
      </c>
      <c r="AG99" s="18">
        <v>1.6745000000000001</v>
      </c>
      <c r="AH99" s="18">
        <v>1.5246999999999999</v>
      </c>
      <c r="AI99" s="18">
        <v>1.3561000000000001</v>
      </c>
      <c r="AJ99" s="18">
        <v>1.1525000000000001</v>
      </c>
      <c r="AK99" s="18">
        <v>0.96199999999999997</v>
      </c>
      <c r="AL99" s="18">
        <v>0.76619999999999999</v>
      </c>
      <c r="AM99" s="18">
        <v>0.57679999999999998</v>
      </c>
      <c r="AN99" s="18">
        <v>0.39419999999999999</v>
      </c>
      <c r="AO99" s="18">
        <v>0.23019999999999999</v>
      </c>
      <c r="AP99" s="18">
        <v>6.7000000000000004E-2</v>
      </c>
      <c r="AQ99" s="18">
        <v>1.24E-2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</row>
    <row r="100" spans="1:50" x14ac:dyDescent="0.25">
      <c r="A100" s="17" t="s">
        <v>309</v>
      </c>
      <c r="B100" s="13" t="s">
        <v>222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3.3999999999999998E-3</v>
      </c>
      <c r="K100" s="18">
        <v>4.9700000000000001E-2</v>
      </c>
      <c r="L100" s="18">
        <v>0.2326</v>
      </c>
      <c r="M100" s="18">
        <v>0.46129999999999999</v>
      </c>
      <c r="N100" s="18">
        <v>0.7419</v>
      </c>
      <c r="O100" s="18">
        <v>1.0479000000000001</v>
      </c>
      <c r="P100" s="18">
        <v>1.3576999999999999</v>
      </c>
      <c r="Q100" s="18">
        <v>1.6659999999999999</v>
      </c>
      <c r="R100" s="18">
        <v>1.9745999999999999</v>
      </c>
      <c r="S100" s="18">
        <v>2.2643</v>
      </c>
      <c r="T100" s="18">
        <v>2.5367000000000002</v>
      </c>
      <c r="U100" s="18">
        <v>2.7686000000000002</v>
      </c>
      <c r="V100" s="18">
        <v>2.9664000000000001</v>
      </c>
      <c r="W100" s="18">
        <v>3.14</v>
      </c>
      <c r="X100" s="18">
        <v>3.2833000000000001</v>
      </c>
      <c r="Y100" s="18">
        <v>3.3849999999999998</v>
      </c>
      <c r="Z100" s="18">
        <v>3.4296000000000002</v>
      </c>
      <c r="AA100" s="18">
        <v>3.4424999999999999</v>
      </c>
      <c r="AB100" s="18">
        <v>3.4182999999999999</v>
      </c>
      <c r="AC100" s="18">
        <v>3.3372000000000002</v>
      </c>
      <c r="AD100" s="18">
        <v>3.2132999999999998</v>
      </c>
      <c r="AE100" s="18">
        <v>3.0655000000000001</v>
      </c>
      <c r="AF100" s="18">
        <v>2.8782000000000001</v>
      </c>
      <c r="AG100" s="18">
        <v>2.6791</v>
      </c>
      <c r="AH100" s="18">
        <v>2.4396</v>
      </c>
      <c r="AI100" s="18">
        <v>2.1698</v>
      </c>
      <c r="AJ100" s="18">
        <v>1.8441000000000001</v>
      </c>
      <c r="AK100" s="18">
        <v>1.5391999999999999</v>
      </c>
      <c r="AL100" s="18">
        <v>1.2259</v>
      </c>
      <c r="AM100" s="18">
        <v>0.92290000000000005</v>
      </c>
      <c r="AN100" s="18">
        <v>0.63080000000000003</v>
      </c>
      <c r="AO100" s="18">
        <v>0.36830000000000002</v>
      </c>
      <c r="AP100" s="18">
        <v>0.1072</v>
      </c>
      <c r="AQ100" s="18">
        <v>1.9800000000000002E-2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</row>
    <row r="101" spans="1:50" x14ac:dyDescent="0.25">
      <c r="A101" s="17" t="s">
        <v>311</v>
      </c>
      <c r="B101" s="13" t="s">
        <v>222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1.6999999999999999E-3</v>
      </c>
      <c r="K101" s="18">
        <v>2.4899999999999999E-2</v>
      </c>
      <c r="L101" s="18">
        <v>0.1163</v>
      </c>
      <c r="M101" s="18">
        <v>0.23069999999999999</v>
      </c>
      <c r="N101" s="18">
        <v>0.37090000000000001</v>
      </c>
      <c r="O101" s="18">
        <v>0.52400000000000002</v>
      </c>
      <c r="P101" s="18">
        <v>0.67889999999999995</v>
      </c>
      <c r="Q101" s="18">
        <v>0.83299999999999996</v>
      </c>
      <c r="R101" s="18">
        <v>0.98729999999999996</v>
      </c>
      <c r="S101" s="18">
        <v>1.1322000000000001</v>
      </c>
      <c r="T101" s="18">
        <v>1.2683</v>
      </c>
      <c r="U101" s="18">
        <v>1.3843000000000001</v>
      </c>
      <c r="V101" s="18">
        <v>1.4832000000000001</v>
      </c>
      <c r="W101" s="18">
        <v>1.57</v>
      </c>
      <c r="X101" s="18">
        <v>1.6416999999999999</v>
      </c>
      <c r="Y101" s="18">
        <v>1.6924999999999999</v>
      </c>
      <c r="Z101" s="18">
        <v>1.7148000000000001</v>
      </c>
      <c r="AA101" s="18">
        <v>1.7212000000000001</v>
      </c>
      <c r="AB101" s="18">
        <v>1.7092000000000001</v>
      </c>
      <c r="AC101" s="18">
        <v>1.6686000000000001</v>
      </c>
      <c r="AD101" s="18">
        <v>1.6067</v>
      </c>
      <c r="AE101" s="18">
        <v>1.5327999999999999</v>
      </c>
      <c r="AF101" s="18">
        <v>1.4391</v>
      </c>
      <c r="AG101" s="18">
        <v>1.3395999999999999</v>
      </c>
      <c r="AH101" s="18">
        <v>1.2198</v>
      </c>
      <c r="AI101" s="18">
        <v>1.0849</v>
      </c>
      <c r="AJ101" s="18">
        <v>0.92200000000000004</v>
      </c>
      <c r="AK101" s="18">
        <v>0.76959999999999995</v>
      </c>
      <c r="AL101" s="18">
        <v>0.61299999999999999</v>
      </c>
      <c r="AM101" s="18">
        <v>0.46150000000000002</v>
      </c>
      <c r="AN101" s="18">
        <v>0.31540000000000001</v>
      </c>
      <c r="AO101" s="18">
        <v>0.1842</v>
      </c>
      <c r="AP101" s="18">
        <v>5.3600000000000002E-2</v>
      </c>
      <c r="AQ101" s="18">
        <v>9.9000000000000008E-3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</row>
    <row r="102" spans="1:50" x14ac:dyDescent="0.25">
      <c r="A102" s="17" t="s">
        <v>313</v>
      </c>
      <c r="B102" s="13" t="s">
        <v>222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2.5999999999999999E-3</v>
      </c>
      <c r="K102" s="18">
        <v>3.73E-2</v>
      </c>
      <c r="L102" s="18">
        <v>0.1744</v>
      </c>
      <c r="M102" s="18">
        <v>0.34599999999999997</v>
      </c>
      <c r="N102" s="18">
        <v>0.55640000000000001</v>
      </c>
      <c r="O102" s="18">
        <v>0.78590000000000004</v>
      </c>
      <c r="P102" s="18">
        <v>1.0183</v>
      </c>
      <c r="Q102" s="18">
        <v>1.2495000000000001</v>
      </c>
      <c r="R102" s="18">
        <v>1.4810000000000001</v>
      </c>
      <c r="S102" s="18">
        <v>1.6981999999999999</v>
      </c>
      <c r="T102" s="18">
        <v>1.9025000000000001</v>
      </c>
      <c r="U102" s="18">
        <v>2.0764</v>
      </c>
      <c r="V102" s="18">
        <v>2.2248000000000001</v>
      </c>
      <c r="W102" s="18">
        <v>2.355</v>
      </c>
      <c r="X102" s="18">
        <v>2.4624999999999999</v>
      </c>
      <c r="Y102" s="18">
        <v>2.5387</v>
      </c>
      <c r="Z102" s="18">
        <v>2.5722</v>
      </c>
      <c r="AA102" s="18">
        <v>2.5819000000000001</v>
      </c>
      <c r="AB102" s="18">
        <v>2.5636999999999999</v>
      </c>
      <c r="AC102" s="18">
        <v>2.5028999999999999</v>
      </c>
      <c r="AD102" s="18">
        <v>2.41</v>
      </c>
      <c r="AE102" s="18">
        <v>2.2991000000000001</v>
      </c>
      <c r="AF102" s="18">
        <v>2.1585999999999999</v>
      </c>
      <c r="AG102" s="18">
        <v>2.0093000000000001</v>
      </c>
      <c r="AH102" s="18">
        <v>1.8297000000000001</v>
      </c>
      <c r="AI102" s="18">
        <v>1.6274</v>
      </c>
      <c r="AJ102" s="18">
        <v>1.3831</v>
      </c>
      <c r="AK102" s="18">
        <v>1.1544000000000001</v>
      </c>
      <c r="AL102" s="18">
        <v>0.91949999999999998</v>
      </c>
      <c r="AM102" s="18">
        <v>0.69220000000000004</v>
      </c>
      <c r="AN102" s="18">
        <v>0.47310000000000002</v>
      </c>
      <c r="AO102" s="18">
        <v>0.2762</v>
      </c>
      <c r="AP102" s="18">
        <v>8.0399999999999999E-2</v>
      </c>
      <c r="AQ102" s="18">
        <v>1.4800000000000001E-2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</row>
    <row r="103" spans="1:50" x14ac:dyDescent="0.25">
      <c r="A103" s="8" t="s">
        <v>158</v>
      </c>
      <c r="B103" s="10" t="s">
        <v>57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</row>
    <row r="104" spans="1:50" x14ac:dyDescent="0.25">
      <c r="A104" s="17" t="s">
        <v>315</v>
      </c>
      <c r="B104" s="13" t="s">
        <v>222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1.2999999999999999E-3</v>
      </c>
      <c r="K104" s="18">
        <v>1.8700000000000001E-2</v>
      </c>
      <c r="L104" s="18">
        <v>8.72E-2</v>
      </c>
      <c r="M104" s="18">
        <v>0.17299999999999999</v>
      </c>
      <c r="N104" s="18">
        <v>0.2782</v>
      </c>
      <c r="O104" s="18">
        <v>0.39300000000000002</v>
      </c>
      <c r="P104" s="18">
        <v>0.50919999999999999</v>
      </c>
      <c r="Q104" s="18">
        <v>0.62470000000000003</v>
      </c>
      <c r="R104" s="18">
        <v>0.74050000000000005</v>
      </c>
      <c r="S104" s="18">
        <v>0.84909999999999997</v>
      </c>
      <c r="T104" s="18">
        <v>0.95120000000000005</v>
      </c>
      <c r="U104" s="18">
        <v>1.0382</v>
      </c>
      <c r="V104" s="18">
        <v>1.1124000000000001</v>
      </c>
      <c r="W104" s="18">
        <v>1.1775</v>
      </c>
      <c r="X104" s="18">
        <v>1.2312000000000001</v>
      </c>
      <c r="Y104" s="18">
        <v>1.2694000000000001</v>
      </c>
      <c r="Z104" s="18">
        <v>1.2861</v>
      </c>
      <c r="AA104" s="18">
        <v>1.2908999999999999</v>
      </c>
      <c r="AB104" s="18">
        <v>1.2819</v>
      </c>
      <c r="AC104" s="18">
        <v>1.2514000000000001</v>
      </c>
      <c r="AD104" s="18">
        <v>1.2050000000000001</v>
      </c>
      <c r="AE104" s="18">
        <v>1.1496</v>
      </c>
      <c r="AF104" s="18">
        <v>1.0792999999999999</v>
      </c>
      <c r="AG104" s="18">
        <v>1.0046999999999999</v>
      </c>
      <c r="AH104" s="18">
        <v>0.91479999999999995</v>
      </c>
      <c r="AI104" s="18">
        <v>0.81369999999999998</v>
      </c>
      <c r="AJ104" s="18">
        <v>0.6915</v>
      </c>
      <c r="AK104" s="18">
        <v>0.57720000000000005</v>
      </c>
      <c r="AL104" s="18">
        <v>0.4597</v>
      </c>
      <c r="AM104" s="18">
        <v>0.34610000000000002</v>
      </c>
      <c r="AN104" s="18">
        <v>0.23649999999999999</v>
      </c>
      <c r="AO104" s="18">
        <v>0.1381</v>
      </c>
      <c r="AP104" s="18">
        <v>4.02E-2</v>
      </c>
      <c r="AQ104" s="18">
        <v>7.4000000000000003E-3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</row>
    <row r="105" spans="1:50" x14ac:dyDescent="0.25">
      <c r="A105" s="8" t="s">
        <v>160</v>
      </c>
      <c r="B105" s="10" t="s">
        <v>57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</row>
    <row r="106" spans="1:50" x14ac:dyDescent="0.25">
      <c r="A106" s="17" t="s">
        <v>317</v>
      </c>
      <c r="B106" s="13" t="s">
        <v>222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2.2000000000000001E-3</v>
      </c>
      <c r="K106" s="18">
        <v>3.1099999999999999E-2</v>
      </c>
      <c r="L106" s="18">
        <v>0.1454</v>
      </c>
      <c r="M106" s="18">
        <v>0.2883</v>
      </c>
      <c r="N106" s="18">
        <v>0.4637</v>
      </c>
      <c r="O106" s="18">
        <v>0.65490000000000004</v>
      </c>
      <c r="P106" s="18">
        <v>0.84860000000000002</v>
      </c>
      <c r="Q106" s="18">
        <v>1.0411999999999999</v>
      </c>
      <c r="R106" s="18">
        <v>1.2341</v>
      </c>
      <c r="S106" s="18">
        <v>1.4152</v>
      </c>
      <c r="T106" s="18">
        <v>1.5853999999999999</v>
      </c>
      <c r="U106" s="18">
        <v>1.7303999999999999</v>
      </c>
      <c r="V106" s="18">
        <v>1.8540000000000001</v>
      </c>
      <c r="W106" s="18">
        <v>1.9624999999999999</v>
      </c>
      <c r="X106" s="18">
        <v>2.0520999999999998</v>
      </c>
      <c r="Y106" s="18">
        <v>2.1156000000000001</v>
      </c>
      <c r="Z106" s="18">
        <v>2.1435</v>
      </c>
      <c r="AA106" s="18">
        <v>2.1516000000000002</v>
      </c>
      <c r="AB106" s="18">
        <v>2.1364999999999998</v>
      </c>
      <c r="AC106" s="18">
        <v>2.0857000000000001</v>
      </c>
      <c r="AD106" s="18">
        <v>2.0083000000000002</v>
      </c>
      <c r="AE106" s="18">
        <v>1.9158999999999999</v>
      </c>
      <c r="AF106" s="18">
        <v>1.7988999999999999</v>
      </c>
      <c r="AG106" s="18">
        <v>1.6745000000000001</v>
      </c>
      <c r="AH106" s="18">
        <v>1.5246999999999999</v>
      </c>
      <c r="AI106" s="18">
        <v>1.3561000000000001</v>
      </c>
      <c r="AJ106" s="18">
        <v>1.1525000000000001</v>
      </c>
      <c r="AK106" s="18">
        <v>0.96199999999999997</v>
      </c>
      <c r="AL106" s="18">
        <v>0.76619999999999999</v>
      </c>
      <c r="AM106" s="18">
        <v>0.57679999999999998</v>
      </c>
      <c r="AN106" s="18">
        <v>0.39419999999999999</v>
      </c>
      <c r="AO106" s="18">
        <v>0.23019999999999999</v>
      </c>
      <c r="AP106" s="18">
        <v>6.7000000000000004E-2</v>
      </c>
      <c r="AQ106" s="18">
        <v>1.24E-2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</row>
    <row r="107" spans="1:50" x14ac:dyDescent="0.25">
      <c r="A107" s="8" t="s">
        <v>162</v>
      </c>
      <c r="B107" s="10" t="s">
        <v>57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</row>
    <row r="108" spans="1:50" x14ac:dyDescent="0.25">
      <c r="A108" s="17" t="s">
        <v>319</v>
      </c>
      <c r="B108" s="13" t="s">
        <v>222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3.3999999999999998E-3</v>
      </c>
      <c r="K108" s="18">
        <v>4.9700000000000001E-2</v>
      </c>
      <c r="L108" s="18">
        <v>0.2326</v>
      </c>
      <c r="M108" s="18">
        <v>0.46129999999999999</v>
      </c>
      <c r="N108" s="18">
        <v>0.7419</v>
      </c>
      <c r="O108" s="18">
        <v>1.0479000000000001</v>
      </c>
      <c r="P108" s="18">
        <v>1.3576999999999999</v>
      </c>
      <c r="Q108" s="18">
        <v>1.6659999999999999</v>
      </c>
      <c r="R108" s="18">
        <v>1.9745999999999999</v>
      </c>
      <c r="S108" s="18">
        <v>2.2643</v>
      </c>
      <c r="T108" s="18">
        <v>2.5367000000000002</v>
      </c>
      <c r="U108" s="18">
        <v>2.7686000000000002</v>
      </c>
      <c r="V108" s="18">
        <v>2.9664000000000001</v>
      </c>
      <c r="W108" s="18">
        <v>3.14</v>
      </c>
      <c r="X108" s="18">
        <v>3.2833000000000001</v>
      </c>
      <c r="Y108" s="18">
        <v>3.3849999999999998</v>
      </c>
      <c r="Z108" s="18">
        <v>3.4296000000000002</v>
      </c>
      <c r="AA108" s="18">
        <v>3.4424999999999999</v>
      </c>
      <c r="AB108" s="18">
        <v>3.4182999999999999</v>
      </c>
      <c r="AC108" s="18">
        <v>3.3372000000000002</v>
      </c>
      <c r="AD108" s="18">
        <v>3.2132999999999998</v>
      </c>
      <c r="AE108" s="18">
        <v>3.0655000000000001</v>
      </c>
      <c r="AF108" s="18">
        <v>2.8782000000000001</v>
      </c>
      <c r="AG108" s="18">
        <v>2.6791</v>
      </c>
      <c r="AH108" s="18">
        <v>2.4396</v>
      </c>
      <c r="AI108" s="18">
        <v>2.1698</v>
      </c>
      <c r="AJ108" s="18">
        <v>1.8441000000000001</v>
      </c>
      <c r="AK108" s="18">
        <v>1.5391999999999999</v>
      </c>
      <c r="AL108" s="18">
        <v>1.2259</v>
      </c>
      <c r="AM108" s="18">
        <v>0.92290000000000005</v>
      </c>
      <c r="AN108" s="18">
        <v>0.63080000000000003</v>
      </c>
      <c r="AO108" s="18">
        <v>0.36830000000000002</v>
      </c>
      <c r="AP108" s="18">
        <v>0.1072</v>
      </c>
      <c r="AQ108" s="18">
        <v>1.9800000000000002E-2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</row>
    <row r="109" spans="1:50" x14ac:dyDescent="0.25">
      <c r="A109" s="8" t="s">
        <v>164</v>
      </c>
      <c r="B109" s="10" t="s">
        <v>57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</row>
    <row r="110" spans="1:50" x14ac:dyDescent="0.25">
      <c r="A110" s="8" t="s">
        <v>166</v>
      </c>
      <c r="B110" s="10" t="s">
        <v>57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</row>
    <row r="111" spans="1:50" x14ac:dyDescent="0.25">
      <c r="A111" s="17" t="s">
        <v>321</v>
      </c>
      <c r="B111" s="13" t="s">
        <v>222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2.2000000000000001E-3</v>
      </c>
      <c r="K111" s="18">
        <v>3.1099999999999999E-2</v>
      </c>
      <c r="L111" s="18">
        <v>0.1454</v>
      </c>
      <c r="M111" s="18">
        <v>0.2883</v>
      </c>
      <c r="N111" s="18">
        <v>0.4637</v>
      </c>
      <c r="O111" s="18">
        <v>0.65490000000000004</v>
      </c>
      <c r="P111" s="18">
        <v>0.84860000000000002</v>
      </c>
      <c r="Q111" s="18">
        <v>1.0411999999999999</v>
      </c>
      <c r="R111" s="18">
        <v>1.2341</v>
      </c>
      <c r="S111" s="18">
        <v>1.4152</v>
      </c>
      <c r="T111" s="18">
        <v>1.5853999999999999</v>
      </c>
      <c r="U111" s="18">
        <v>1.7303999999999999</v>
      </c>
      <c r="V111" s="18">
        <v>1.8540000000000001</v>
      </c>
      <c r="W111" s="18">
        <v>1.9624999999999999</v>
      </c>
      <c r="X111" s="18">
        <v>2.0520999999999998</v>
      </c>
      <c r="Y111" s="18">
        <v>2.1156000000000001</v>
      </c>
      <c r="Z111" s="18">
        <v>2.1435</v>
      </c>
      <c r="AA111" s="18">
        <v>2.1516000000000002</v>
      </c>
      <c r="AB111" s="18">
        <v>2.1364999999999998</v>
      </c>
      <c r="AC111" s="18">
        <v>2.0857000000000001</v>
      </c>
      <c r="AD111" s="18">
        <v>2.0083000000000002</v>
      </c>
      <c r="AE111" s="18">
        <v>1.9158999999999999</v>
      </c>
      <c r="AF111" s="18">
        <v>1.7988999999999999</v>
      </c>
      <c r="AG111" s="18">
        <v>1.6745000000000001</v>
      </c>
      <c r="AH111" s="18">
        <v>1.5246999999999999</v>
      </c>
      <c r="AI111" s="18">
        <v>1.3561000000000001</v>
      </c>
      <c r="AJ111" s="18">
        <v>1.1525000000000001</v>
      </c>
      <c r="AK111" s="18">
        <v>0.96199999999999997</v>
      </c>
      <c r="AL111" s="18">
        <v>0.76619999999999999</v>
      </c>
      <c r="AM111" s="18">
        <v>0.57679999999999998</v>
      </c>
      <c r="AN111" s="18">
        <v>0.39419999999999999</v>
      </c>
      <c r="AO111" s="18">
        <v>0.23019999999999999</v>
      </c>
      <c r="AP111" s="18">
        <v>6.7000000000000004E-2</v>
      </c>
      <c r="AQ111" s="18">
        <v>1.24E-2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</row>
    <row r="112" spans="1:50" x14ac:dyDescent="0.25">
      <c r="A112" s="8" t="s">
        <v>168</v>
      </c>
      <c r="B112" s="10" t="s">
        <v>57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</row>
    <row r="113" spans="1:50" x14ac:dyDescent="0.25">
      <c r="A113" s="17" t="s">
        <v>323</v>
      </c>
      <c r="B113" s="13" t="s">
        <v>222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2.2000000000000001E-3</v>
      </c>
      <c r="K113" s="18">
        <v>3.1099999999999999E-2</v>
      </c>
      <c r="L113" s="18">
        <v>0.1454</v>
      </c>
      <c r="M113" s="18">
        <v>0.2883</v>
      </c>
      <c r="N113" s="18">
        <v>0.4637</v>
      </c>
      <c r="O113" s="18">
        <v>0.65490000000000004</v>
      </c>
      <c r="P113" s="18">
        <v>0.84860000000000002</v>
      </c>
      <c r="Q113" s="18">
        <v>1.0411999999999999</v>
      </c>
      <c r="R113" s="18">
        <v>1.2341</v>
      </c>
      <c r="S113" s="18">
        <v>1.4152</v>
      </c>
      <c r="T113" s="18">
        <v>1.5853999999999999</v>
      </c>
      <c r="U113" s="18">
        <v>1.7303999999999999</v>
      </c>
      <c r="V113" s="18">
        <v>1.8540000000000001</v>
      </c>
      <c r="W113" s="18">
        <v>1.9624999999999999</v>
      </c>
      <c r="X113" s="18">
        <v>2.0520999999999998</v>
      </c>
      <c r="Y113" s="18">
        <v>2.1156000000000001</v>
      </c>
      <c r="Z113" s="18">
        <v>2.1435</v>
      </c>
      <c r="AA113" s="18">
        <v>2.1516000000000002</v>
      </c>
      <c r="AB113" s="18">
        <v>2.1364999999999998</v>
      </c>
      <c r="AC113" s="18">
        <v>2.0857000000000001</v>
      </c>
      <c r="AD113" s="18">
        <v>2.0083000000000002</v>
      </c>
      <c r="AE113" s="18">
        <v>1.9158999999999999</v>
      </c>
      <c r="AF113" s="18">
        <v>1.7988999999999999</v>
      </c>
      <c r="AG113" s="18">
        <v>1.6745000000000001</v>
      </c>
      <c r="AH113" s="18">
        <v>1.5246999999999999</v>
      </c>
      <c r="AI113" s="18">
        <v>1.3561000000000001</v>
      </c>
      <c r="AJ113" s="18">
        <v>1.1525000000000001</v>
      </c>
      <c r="AK113" s="18">
        <v>0.96199999999999997</v>
      </c>
      <c r="AL113" s="18">
        <v>0.76619999999999999</v>
      </c>
      <c r="AM113" s="18">
        <v>0.57679999999999998</v>
      </c>
      <c r="AN113" s="18">
        <v>0.39419999999999999</v>
      </c>
      <c r="AO113" s="18">
        <v>0.23019999999999999</v>
      </c>
      <c r="AP113" s="18">
        <v>6.7000000000000004E-2</v>
      </c>
      <c r="AQ113" s="18">
        <v>1.24E-2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</row>
    <row r="114" spans="1:50" x14ac:dyDescent="0.25">
      <c r="A114" s="17" t="s">
        <v>325</v>
      </c>
      <c r="B114" s="13" t="s">
        <v>222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2.2000000000000001E-3</v>
      </c>
      <c r="K114" s="18">
        <v>3.1099999999999999E-2</v>
      </c>
      <c r="L114" s="18">
        <v>0.1454</v>
      </c>
      <c r="M114" s="18">
        <v>0.2883</v>
      </c>
      <c r="N114" s="18">
        <v>0.4637</v>
      </c>
      <c r="O114" s="18">
        <v>0.65490000000000004</v>
      </c>
      <c r="P114" s="18">
        <v>0.84860000000000002</v>
      </c>
      <c r="Q114" s="18">
        <v>1.0411999999999999</v>
      </c>
      <c r="R114" s="18">
        <v>1.2341</v>
      </c>
      <c r="S114" s="18">
        <v>1.4152</v>
      </c>
      <c r="T114" s="18">
        <v>1.5853999999999999</v>
      </c>
      <c r="U114" s="18">
        <v>1.7303999999999999</v>
      </c>
      <c r="V114" s="18">
        <v>1.8540000000000001</v>
      </c>
      <c r="W114" s="18">
        <v>1.9624999999999999</v>
      </c>
      <c r="X114" s="18">
        <v>2.0520999999999998</v>
      </c>
      <c r="Y114" s="18">
        <v>2.1156000000000001</v>
      </c>
      <c r="Z114" s="18">
        <v>2.1435</v>
      </c>
      <c r="AA114" s="18">
        <v>2.1516000000000002</v>
      </c>
      <c r="AB114" s="18">
        <v>2.1364999999999998</v>
      </c>
      <c r="AC114" s="18">
        <v>2.0857000000000001</v>
      </c>
      <c r="AD114" s="18">
        <v>2.0083000000000002</v>
      </c>
      <c r="AE114" s="18">
        <v>1.9158999999999999</v>
      </c>
      <c r="AF114" s="18">
        <v>1.7988999999999999</v>
      </c>
      <c r="AG114" s="18">
        <v>1.6745000000000001</v>
      </c>
      <c r="AH114" s="18">
        <v>1.5246999999999999</v>
      </c>
      <c r="AI114" s="18">
        <v>1.3561000000000001</v>
      </c>
      <c r="AJ114" s="18">
        <v>1.1525000000000001</v>
      </c>
      <c r="AK114" s="18">
        <v>0.96199999999999997</v>
      </c>
      <c r="AL114" s="18">
        <v>0.76619999999999999</v>
      </c>
      <c r="AM114" s="18">
        <v>0.57679999999999998</v>
      </c>
      <c r="AN114" s="18">
        <v>0.39419999999999999</v>
      </c>
      <c r="AO114" s="18">
        <v>0.23019999999999999</v>
      </c>
      <c r="AP114" s="18">
        <v>6.7000000000000004E-2</v>
      </c>
      <c r="AQ114" s="18">
        <v>1.24E-2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</row>
    <row r="115" spans="1:50" x14ac:dyDescent="0.25">
      <c r="A115" s="8" t="s">
        <v>170</v>
      </c>
      <c r="B115" s="10" t="s">
        <v>57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</row>
    <row r="116" spans="1:50" x14ac:dyDescent="0.25">
      <c r="A116" s="8" t="s">
        <v>172</v>
      </c>
      <c r="B116" s="10" t="s">
        <v>57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</row>
    <row r="117" spans="1:50" x14ac:dyDescent="0.25">
      <c r="A117" s="17" t="s">
        <v>327</v>
      </c>
      <c r="B117" s="13" t="s">
        <v>222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2.5999999999999999E-3</v>
      </c>
      <c r="K117" s="18">
        <v>3.73E-2</v>
      </c>
      <c r="L117" s="18">
        <v>0.1744</v>
      </c>
      <c r="M117" s="18">
        <v>0.34599999999999997</v>
      </c>
      <c r="N117" s="18">
        <v>0.55640000000000001</v>
      </c>
      <c r="O117" s="18">
        <v>0.78590000000000004</v>
      </c>
      <c r="P117" s="18">
        <v>1.0183</v>
      </c>
      <c r="Q117" s="18">
        <v>1.2495000000000001</v>
      </c>
      <c r="R117" s="18">
        <v>1.4810000000000001</v>
      </c>
      <c r="S117" s="18">
        <v>1.6981999999999999</v>
      </c>
      <c r="T117" s="18">
        <v>1.9025000000000001</v>
      </c>
      <c r="U117" s="18">
        <v>2.0764</v>
      </c>
      <c r="V117" s="18">
        <v>2.2248000000000001</v>
      </c>
      <c r="W117" s="18">
        <v>2.355</v>
      </c>
      <c r="X117" s="18">
        <v>2.4624999999999999</v>
      </c>
      <c r="Y117" s="18">
        <v>2.5387</v>
      </c>
      <c r="Z117" s="18">
        <v>2.5722</v>
      </c>
      <c r="AA117" s="18">
        <v>2.5819000000000001</v>
      </c>
      <c r="AB117" s="18">
        <v>2.5636999999999999</v>
      </c>
      <c r="AC117" s="18">
        <v>2.5028999999999999</v>
      </c>
      <c r="AD117" s="18">
        <v>2.41</v>
      </c>
      <c r="AE117" s="18">
        <v>2.2991000000000001</v>
      </c>
      <c r="AF117" s="18">
        <v>2.1585999999999999</v>
      </c>
      <c r="AG117" s="18">
        <v>2.0093000000000001</v>
      </c>
      <c r="AH117" s="18">
        <v>1.8297000000000001</v>
      </c>
      <c r="AI117" s="18">
        <v>1.6274</v>
      </c>
      <c r="AJ117" s="18">
        <v>1.3831</v>
      </c>
      <c r="AK117" s="18">
        <v>1.1544000000000001</v>
      </c>
      <c r="AL117" s="18">
        <v>0.91949999999999998</v>
      </c>
      <c r="AM117" s="18">
        <v>0.69220000000000004</v>
      </c>
      <c r="AN117" s="18">
        <v>0.47310000000000002</v>
      </c>
      <c r="AO117" s="18">
        <v>0.2762</v>
      </c>
      <c r="AP117" s="18">
        <v>8.0399999999999999E-2</v>
      </c>
      <c r="AQ117" s="18">
        <v>1.4800000000000001E-2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</row>
    <row r="118" spans="1:50" x14ac:dyDescent="0.25">
      <c r="A118" s="17" t="s">
        <v>329</v>
      </c>
      <c r="B118" s="13" t="s">
        <v>222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1.6999999999999999E-3</v>
      </c>
      <c r="K118" s="18">
        <v>2.4899999999999999E-2</v>
      </c>
      <c r="L118" s="18">
        <v>0.1163</v>
      </c>
      <c r="M118" s="18">
        <v>0.23069999999999999</v>
      </c>
      <c r="N118" s="18">
        <v>0.37090000000000001</v>
      </c>
      <c r="O118" s="18">
        <v>0.52400000000000002</v>
      </c>
      <c r="P118" s="18">
        <v>0.67889999999999995</v>
      </c>
      <c r="Q118" s="18">
        <v>0.83299999999999996</v>
      </c>
      <c r="R118" s="18">
        <v>0.98729999999999996</v>
      </c>
      <c r="S118" s="18">
        <v>1.1322000000000001</v>
      </c>
      <c r="T118" s="18">
        <v>1.2683</v>
      </c>
      <c r="U118" s="18">
        <v>1.3843000000000001</v>
      </c>
      <c r="V118" s="18">
        <v>1.4832000000000001</v>
      </c>
      <c r="W118" s="18">
        <v>1.57</v>
      </c>
      <c r="X118" s="18">
        <v>1.6416999999999999</v>
      </c>
      <c r="Y118" s="18">
        <v>1.6924999999999999</v>
      </c>
      <c r="Z118" s="18">
        <v>1.7148000000000001</v>
      </c>
      <c r="AA118" s="18">
        <v>1.7212000000000001</v>
      </c>
      <c r="AB118" s="18">
        <v>1.7092000000000001</v>
      </c>
      <c r="AC118" s="18">
        <v>1.6686000000000001</v>
      </c>
      <c r="AD118" s="18">
        <v>1.6067</v>
      </c>
      <c r="AE118" s="18">
        <v>1.5327999999999999</v>
      </c>
      <c r="AF118" s="18">
        <v>1.4391</v>
      </c>
      <c r="AG118" s="18">
        <v>1.3395999999999999</v>
      </c>
      <c r="AH118" s="18">
        <v>1.2198</v>
      </c>
      <c r="AI118" s="18">
        <v>1.0849</v>
      </c>
      <c r="AJ118" s="18">
        <v>0.92200000000000004</v>
      </c>
      <c r="AK118" s="18">
        <v>0.76959999999999995</v>
      </c>
      <c r="AL118" s="18">
        <v>0.61299999999999999</v>
      </c>
      <c r="AM118" s="18">
        <v>0.46150000000000002</v>
      </c>
      <c r="AN118" s="18">
        <v>0.31540000000000001</v>
      </c>
      <c r="AO118" s="18">
        <v>0.1842</v>
      </c>
      <c r="AP118" s="18">
        <v>5.3600000000000002E-2</v>
      </c>
      <c r="AQ118" s="18">
        <v>9.9000000000000008E-3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</row>
    <row r="119" spans="1:50" x14ac:dyDescent="0.25">
      <c r="A119" s="8" t="s">
        <v>174</v>
      </c>
      <c r="B119" s="10" t="s">
        <v>57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</row>
    <row r="120" spans="1:50" x14ac:dyDescent="0.25">
      <c r="A120" s="8" t="s">
        <v>176</v>
      </c>
      <c r="B120" s="10" t="s">
        <v>57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</row>
    <row r="121" spans="1:50" x14ac:dyDescent="0.25">
      <c r="A121" s="17" t="s">
        <v>331</v>
      </c>
      <c r="B121" s="13" t="s">
        <v>222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2.2000000000000001E-3</v>
      </c>
      <c r="K121" s="18">
        <v>3.1099999999999999E-2</v>
      </c>
      <c r="L121" s="18">
        <v>0.1454</v>
      </c>
      <c r="M121" s="18">
        <v>0.2883</v>
      </c>
      <c r="N121" s="18">
        <v>0.4637</v>
      </c>
      <c r="O121" s="18">
        <v>0.65490000000000004</v>
      </c>
      <c r="P121" s="18">
        <v>0.84860000000000002</v>
      </c>
      <c r="Q121" s="18">
        <v>1.0411999999999999</v>
      </c>
      <c r="R121" s="18">
        <v>1.2341</v>
      </c>
      <c r="S121" s="18">
        <v>1.4152</v>
      </c>
      <c r="T121" s="18">
        <v>1.5853999999999999</v>
      </c>
      <c r="U121" s="18">
        <v>1.7303999999999999</v>
      </c>
      <c r="V121" s="18">
        <v>1.8540000000000001</v>
      </c>
      <c r="W121" s="18">
        <v>1.9624999999999999</v>
      </c>
      <c r="X121" s="18">
        <v>2.0520999999999998</v>
      </c>
      <c r="Y121" s="18">
        <v>2.1156000000000001</v>
      </c>
      <c r="Z121" s="18">
        <v>2.1435</v>
      </c>
      <c r="AA121" s="18">
        <v>2.1516000000000002</v>
      </c>
      <c r="AB121" s="18">
        <v>2.1364999999999998</v>
      </c>
      <c r="AC121" s="18">
        <v>2.0857000000000001</v>
      </c>
      <c r="AD121" s="18">
        <v>2.0083000000000002</v>
      </c>
      <c r="AE121" s="18">
        <v>1.9158999999999999</v>
      </c>
      <c r="AF121" s="18">
        <v>1.7988999999999999</v>
      </c>
      <c r="AG121" s="18">
        <v>1.6745000000000001</v>
      </c>
      <c r="AH121" s="18">
        <v>1.5246999999999999</v>
      </c>
      <c r="AI121" s="18">
        <v>1.3561000000000001</v>
      </c>
      <c r="AJ121" s="18">
        <v>1.1525000000000001</v>
      </c>
      <c r="AK121" s="18">
        <v>0.96199999999999997</v>
      </c>
      <c r="AL121" s="18">
        <v>0.76619999999999999</v>
      </c>
      <c r="AM121" s="18">
        <v>0.57679999999999998</v>
      </c>
      <c r="AN121" s="18">
        <v>0.39419999999999999</v>
      </c>
      <c r="AO121" s="18">
        <v>0.23019999999999999</v>
      </c>
      <c r="AP121" s="18">
        <v>6.7000000000000004E-2</v>
      </c>
      <c r="AQ121" s="18">
        <v>1.24E-2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</row>
    <row r="122" spans="1:50" x14ac:dyDescent="0.25">
      <c r="A122" s="17" t="s">
        <v>333</v>
      </c>
      <c r="B122" s="13" t="s">
        <v>222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1.2999999999999999E-3</v>
      </c>
      <c r="K122" s="18">
        <v>1.8700000000000001E-2</v>
      </c>
      <c r="L122" s="18">
        <v>8.72E-2</v>
      </c>
      <c r="M122" s="18">
        <v>0.17299999999999999</v>
      </c>
      <c r="N122" s="18">
        <v>0.2782</v>
      </c>
      <c r="O122" s="18">
        <v>0.39300000000000002</v>
      </c>
      <c r="P122" s="18">
        <v>0.50919999999999999</v>
      </c>
      <c r="Q122" s="18">
        <v>0.62470000000000003</v>
      </c>
      <c r="R122" s="18">
        <v>0.74050000000000005</v>
      </c>
      <c r="S122" s="18">
        <v>0.84909999999999997</v>
      </c>
      <c r="T122" s="18">
        <v>0.95120000000000005</v>
      </c>
      <c r="U122" s="18">
        <v>1.0382</v>
      </c>
      <c r="V122" s="18">
        <v>1.1124000000000001</v>
      </c>
      <c r="W122" s="18">
        <v>1.1775</v>
      </c>
      <c r="X122" s="18">
        <v>1.2312000000000001</v>
      </c>
      <c r="Y122" s="18">
        <v>1.2694000000000001</v>
      </c>
      <c r="Z122" s="18">
        <v>1.2861</v>
      </c>
      <c r="AA122" s="18">
        <v>1.2908999999999999</v>
      </c>
      <c r="AB122" s="18">
        <v>1.2819</v>
      </c>
      <c r="AC122" s="18">
        <v>1.2514000000000001</v>
      </c>
      <c r="AD122" s="18">
        <v>1.2050000000000001</v>
      </c>
      <c r="AE122" s="18">
        <v>1.1496</v>
      </c>
      <c r="AF122" s="18">
        <v>1.0792999999999999</v>
      </c>
      <c r="AG122" s="18">
        <v>1.0046999999999999</v>
      </c>
      <c r="AH122" s="18">
        <v>0.91479999999999995</v>
      </c>
      <c r="AI122" s="18">
        <v>0.81369999999999998</v>
      </c>
      <c r="AJ122" s="18">
        <v>0.6915</v>
      </c>
      <c r="AK122" s="18">
        <v>0.57720000000000005</v>
      </c>
      <c r="AL122" s="18">
        <v>0.4597</v>
      </c>
      <c r="AM122" s="18">
        <v>0.34610000000000002</v>
      </c>
      <c r="AN122" s="18">
        <v>0.23649999999999999</v>
      </c>
      <c r="AO122" s="18">
        <v>0.1381</v>
      </c>
      <c r="AP122" s="18">
        <v>4.02E-2</v>
      </c>
      <c r="AQ122" s="18">
        <v>7.4000000000000003E-3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</row>
    <row r="123" spans="1:50" x14ac:dyDescent="0.25">
      <c r="A123" s="8" t="s">
        <v>178</v>
      </c>
      <c r="B123" s="10" t="s">
        <v>57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</row>
    <row r="124" spans="1:50" x14ac:dyDescent="0.25">
      <c r="A124" s="17" t="s">
        <v>335</v>
      </c>
      <c r="B124" s="13" t="s">
        <v>222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3.3999999999999998E-3</v>
      </c>
      <c r="K124" s="18">
        <v>4.9700000000000001E-2</v>
      </c>
      <c r="L124" s="18">
        <v>0.2326</v>
      </c>
      <c r="M124" s="18">
        <v>0.46129999999999999</v>
      </c>
      <c r="N124" s="18">
        <v>0.7419</v>
      </c>
      <c r="O124" s="18">
        <v>1.0479000000000001</v>
      </c>
      <c r="P124" s="18">
        <v>1.3576999999999999</v>
      </c>
      <c r="Q124" s="18">
        <v>1.6659999999999999</v>
      </c>
      <c r="R124" s="18">
        <v>1.9745999999999999</v>
      </c>
      <c r="S124" s="18">
        <v>2.2643</v>
      </c>
      <c r="T124" s="18">
        <v>2.5367000000000002</v>
      </c>
      <c r="U124" s="18">
        <v>2.7686000000000002</v>
      </c>
      <c r="V124" s="18">
        <v>2.9664000000000001</v>
      </c>
      <c r="W124" s="18">
        <v>3.14</v>
      </c>
      <c r="X124" s="18">
        <v>3.2833000000000001</v>
      </c>
      <c r="Y124" s="18">
        <v>3.3849999999999998</v>
      </c>
      <c r="Z124" s="18">
        <v>3.4296000000000002</v>
      </c>
      <c r="AA124" s="18">
        <v>3.4424999999999999</v>
      </c>
      <c r="AB124" s="18">
        <v>3.4182999999999999</v>
      </c>
      <c r="AC124" s="18">
        <v>3.3372000000000002</v>
      </c>
      <c r="AD124" s="18">
        <v>3.2132999999999998</v>
      </c>
      <c r="AE124" s="18">
        <v>3.0655000000000001</v>
      </c>
      <c r="AF124" s="18">
        <v>2.8782000000000001</v>
      </c>
      <c r="AG124" s="18">
        <v>2.6791</v>
      </c>
      <c r="AH124" s="18">
        <v>2.4396</v>
      </c>
      <c r="AI124" s="18">
        <v>2.1698</v>
      </c>
      <c r="AJ124" s="18">
        <v>1.8441000000000001</v>
      </c>
      <c r="AK124" s="18">
        <v>1.5391999999999999</v>
      </c>
      <c r="AL124" s="18">
        <v>1.2259</v>
      </c>
      <c r="AM124" s="18">
        <v>0.92290000000000005</v>
      </c>
      <c r="AN124" s="18">
        <v>0.63080000000000003</v>
      </c>
      <c r="AO124" s="18">
        <v>0.36830000000000002</v>
      </c>
      <c r="AP124" s="18">
        <v>0.1072</v>
      </c>
      <c r="AQ124" s="18">
        <v>1.9800000000000002E-2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</row>
    <row r="125" spans="1:50" x14ac:dyDescent="0.25">
      <c r="A125" s="17" t="s">
        <v>337</v>
      </c>
      <c r="B125" s="13" t="s">
        <v>222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2.5999999999999999E-3</v>
      </c>
      <c r="K125" s="18">
        <v>3.73E-2</v>
      </c>
      <c r="L125" s="18">
        <v>0.1744</v>
      </c>
      <c r="M125" s="18">
        <v>0.34599999999999997</v>
      </c>
      <c r="N125" s="18">
        <v>0.55640000000000001</v>
      </c>
      <c r="O125" s="18">
        <v>0.78590000000000004</v>
      </c>
      <c r="P125" s="18">
        <v>1.0183</v>
      </c>
      <c r="Q125" s="18">
        <v>1.2495000000000001</v>
      </c>
      <c r="R125" s="18">
        <v>1.4810000000000001</v>
      </c>
      <c r="S125" s="18">
        <v>1.6981999999999999</v>
      </c>
      <c r="T125" s="18">
        <v>1.9025000000000001</v>
      </c>
      <c r="U125" s="18">
        <v>2.0764</v>
      </c>
      <c r="V125" s="18">
        <v>2.2248000000000001</v>
      </c>
      <c r="W125" s="18">
        <v>2.355</v>
      </c>
      <c r="X125" s="18">
        <v>2.4624999999999999</v>
      </c>
      <c r="Y125" s="18">
        <v>2.5387</v>
      </c>
      <c r="Z125" s="18">
        <v>2.5722</v>
      </c>
      <c r="AA125" s="18">
        <v>2.5819000000000001</v>
      </c>
      <c r="AB125" s="18">
        <v>2.5636999999999999</v>
      </c>
      <c r="AC125" s="18">
        <v>2.5028999999999999</v>
      </c>
      <c r="AD125" s="18">
        <v>2.41</v>
      </c>
      <c r="AE125" s="18">
        <v>2.2991000000000001</v>
      </c>
      <c r="AF125" s="18">
        <v>2.1585999999999999</v>
      </c>
      <c r="AG125" s="18">
        <v>2.0093000000000001</v>
      </c>
      <c r="AH125" s="18">
        <v>1.8297000000000001</v>
      </c>
      <c r="AI125" s="18">
        <v>1.6274</v>
      </c>
      <c r="AJ125" s="18">
        <v>1.3831</v>
      </c>
      <c r="AK125" s="18">
        <v>1.1544000000000001</v>
      </c>
      <c r="AL125" s="18">
        <v>0.91949999999999998</v>
      </c>
      <c r="AM125" s="18">
        <v>0.69220000000000004</v>
      </c>
      <c r="AN125" s="18">
        <v>0.47310000000000002</v>
      </c>
      <c r="AO125" s="18">
        <v>0.2762</v>
      </c>
      <c r="AP125" s="18">
        <v>8.0399999999999999E-2</v>
      </c>
      <c r="AQ125" s="18">
        <v>1.4800000000000001E-2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</row>
    <row r="126" spans="1:50" x14ac:dyDescent="0.25">
      <c r="A126" s="8" t="s">
        <v>180</v>
      </c>
      <c r="B126" s="10" t="s">
        <v>57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</row>
    <row r="127" spans="1:50" x14ac:dyDescent="0.25">
      <c r="A127" s="17" t="s">
        <v>339</v>
      </c>
      <c r="B127" s="13" t="s">
        <v>222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3.3999999999999998E-3</v>
      </c>
      <c r="K127" s="18">
        <v>4.9700000000000001E-2</v>
      </c>
      <c r="L127" s="18">
        <v>0.2326</v>
      </c>
      <c r="M127" s="18">
        <v>0.46129999999999999</v>
      </c>
      <c r="N127" s="18">
        <v>0.7419</v>
      </c>
      <c r="O127" s="18">
        <v>1.0479000000000001</v>
      </c>
      <c r="P127" s="18">
        <v>1.3576999999999999</v>
      </c>
      <c r="Q127" s="18">
        <v>1.6659999999999999</v>
      </c>
      <c r="R127" s="18">
        <v>1.9745999999999999</v>
      </c>
      <c r="S127" s="18">
        <v>2.2643</v>
      </c>
      <c r="T127" s="18">
        <v>2.5367000000000002</v>
      </c>
      <c r="U127" s="18">
        <v>2.7686000000000002</v>
      </c>
      <c r="V127" s="18">
        <v>2.9664000000000001</v>
      </c>
      <c r="W127" s="18">
        <v>3.14</v>
      </c>
      <c r="X127" s="18">
        <v>3.2833000000000001</v>
      </c>
      <c r="Y127" s="18">
        <v>3.3849999999999998</v>
      </c>
      <c r="Z127" s="18">
        <v>3.4296000000000002</v>
      </c>
      <c r="AA127" s="18">
        <v>3.4424999999999999</v>
      </c>
      <c r="AB127" s="18">
        <v>3.4182999999999999</v>
      </c>
      <c r="AC127" s="18">
        <v>3.3372000000000002</v>
      </c>
      <c r="AD127" s="18">
        <v>3.2132999999999998</v>
      </c>
      <c r="AE127" s="18">
        <v>3.0655000000000001</v>
      </c>
      <c r="AF127" s="18">
        <v>2.8782000000000001</v>
      </c>
      <c r="AG127" s="18">
        <v>2.6791</v>
      </c>
      <c r="AH127" s="18">
        <v>2.4396</v>
      </c>
      <c r="AI127" s="18">
        <v>2.1698</v>
      </c>
      <c r="AJ127" s="18">
        <v>1.8441000000000001</v>
      </c>
      <c r="AK127" s="18">
        <v>1.5391999999999999</v>
      </c>
      <c r="AL127" s="18">
        <v>1.2259</v>
      </c>
      <c r="AM127" s="18">
        <v>0.92290000000000005</v>
      </c>
      <c r="AN127" s="18">
        <v>0.63080000000000003</v>
      </c>
      <c r="AO127" s="18">
        <v>0.36830000000000002</v>
      </c>
      <c r="AP127" s="18">
        <v>0.1072</v>
      </c>
      <c r="AQ127" s="18">
        <v>1.9800000000000002E-2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</row>
    <row r="128" spans="1:50" x14ac:dyDescent="0.25">
      <c r="A128" s="17" t="s">
        <v>341</v>
      </c>
      <c r="B128" s="13" t="s">
        <v>222</v>
      </c>
      <c r="C128" s="18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3.0000000000000001E-3</v>
      </c>
      <c r="K128" s="18">
        <v>4.3499999999999997E-2</v>
      </c>
      <c r="L128" s="18">
        <v>0.20349999999999999</v>
      </c>
      <c r="M128" s="18">
        <v>0.4037</v>
      </c>
      <c r="N128" s="18">
        <v>0.64910000000000001</v>
      </c>
      <c r="O128" s="18">
        <v>0.91690000000000005</v>
      </c>
      <c r="P128" s="18">
        <v>1.1879999999999999</v>
      </c>
      <c r="Q128" s="18">
        <v>1.4577</v>
      </c>
      <c r="R128" s="18">
        <v>1.7278</v>
      </c>
      <c r="S128" s="18">
        <v>1.9813000000000001</v>
      </c>
      <c r="T128" s="18">
        <v>2.2195999999999998</v>
      </c>
      <c r="U128" s="18">
        <v>2.4224999999999999</v>
      </c>
      <c r="V128" s="18">
        <v>2.5956000000000001</v>
      </c>
      <c r="W128" s="18">
        <v>2.7475000000000001</v>
      </c>
      <c r="X128" s="18">
        <v>2.8729</v>
      </c>
      <c r="Y128" s="18">
        <v>2.9619</v>
      </c>
      <c r="Z128" s="18">
        <v>3.0009000000000001</v>
      </c>
      <c r="AA128" s="18">
        <v>3.0122</v>
      </c>
      <c r="AB128" s="18">
        <v>2.9910000000000001</v>
      </c>
      <c r="AC128" s="18">
        <v>2.92</v>
      </c>
      <c r="AD128" s="18">
        <v>2.8117000000000001</v>
      </c>
      <c r="AE128" s="18">
        <v>2.6823000000000001</v>
      </c>
      <c r="AF128" s="18">
        <v>2.5184000000000002</v>
      </c>
      <c r="AG128" s="18">
        <v>2.3441999999999998</v>
      </c>
      <c r="AH128" s="18">
        <v>2.1345999999999998</v>
      </c>
      <c r="AI128" s="18">
        <v>1.8986000000000001</v>
      </c>
      <c r="AJ128" s="18">
        <v>1.6135999999999999</v>
      </c>
      <c r="AK128" s="18">
        <v>1.3468</v>
      </c>
      <c r="AL128" s="18">
        <v>1.0727</v>
      </c>
      <c r="AM128" s="18">
        <v>0.80759999999999998</v>
      </c>
      <c r="AN128" s="18">
        <v>0.55189999999999995</v>
      </c>
      <c r="AO128" s="18">
        <v>0.32229999999999998</v>
      </c>
      <c r="AP128" s="18">
        <v>9.3799999999999994E-2</v>
      </c>
      <c r="AQ128" s="18">
        <v>1.7299999999999999E-2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</row>
    <row r="129" spans="1:50" x14ac:dyDescent="0.25">
      <c r="A129" s="17" t="s">
        <v>343</v>
      </c>
      <c r="B129" s="13" t="s">
        <v>222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1.2999999999999999E-3</v>
      </c>
      <c r="K129" s="18">
        <v>1.8700000000000001E-2</v>
      </c>
      <c r="L129" s="18">
        <v>8.72E-2</v>
      </c>
      <c r="M129" s="18">
        <v>0.17299999999999999</v>
      </c>
      <c r="N129" s="18">
        <v>0.2782</v>
      </c>
      <c r="O129" s="18">
        <v>0.39300000000000002</v>
      </c>
      <c r="P129" s="18">
        <v>0.50919999999999999</v>
      </c>
      <c r="Q129" s="18">
        <v>0.62470000000000003</v>
      </c>
      <c r="R129" s="18">
        <v>0.74050000000000005</v>
      </c>
      <c r="S129" s="18">
        <v>0.84909999999999997</v>
      </c>
      <c r="T129" s="18">
        <v>0.95120000000000005</v>
      </c>
      <c r="U129" s="18">
        <v>1.0382</v>
      </c>
      <c r="V129" s="18">
        <v>1.1124000000000001</v>
      </c>
      <c r="W129" s="18">
        <v>1.1775</v>
      </c>
      <c r="X129" s="18">
        <v>1.2312000000000001</v>
      </c>
      <c r="Y129" s="18">
        <v>1.2694000000000001</v>
      </c>
      <c r="Z129" s="18">
        <v>1.2861</v>
      </c>
      <c r="AA129" s="18">
        <v>1.2908999999999999</v>
      </c>
      <c r="AB129" s="18">
        <v>1.2819</v>
      </c>
      <c r="AC129" s="18">
        <v>1.2514000000000001</v>
      </c>
      <c r="AD129" s="18">
        <v>1.2050000000000001</v>
      </c>
      <c r="AE129" s="18">
        <v>1.1496</v>
      </c>
      <c r="AF129" s="18">
        <v>1.0792999999999999</v>
      </c>
      <c r="AG129" s="18">
        <v>1.0046999999999999</v>
      </c>
      <c r="AH129" s="18">
        <v>0.91479999999999995</v>
      </c>
      <c r="AI129" s="18">
        <v>0.81369999999999998</v>
      </c>
      <c r="AJ129" s="18">
        <v>0.6915</v>
      </c>
      <c r="AK129" s="18">
        <v>0.57720000000000005</v>
      </c>
      <c r="AL129" s="18">
        <v>0.4597</v>
      </c>
      <c r="AM129" s="18">
        <v>0.34610000000000002</v>
      </c>
      <c r="AN129" s="18">
        <v>0.23649999999999999</v>
      </c>
      <c r="AO129" s="18">
        <v>0.1381</v>
      </c>
      <c r="AP129" s="18">
        <v>4.02E-2</v>
      </c>
      <c r="AQ129" s="18">
        <v>7.4000000000000003E-3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</row>
    <row r="130" spans="1:50" x14ac:dyDescent="0.25">
      <c r="A130" s="8" t="s">
        <v>182</v>
      </c>
      <c r="B130" s="10" t="s">
        <v>57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</row>
    <row r="131" spans="1:50" x14ac:dyDescent="0.25">
      <c r="A131" s="17" t="s">
        <v>345</v>
      </c>
      <c r="B131" s="13" t="s">
        <v>222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3.3999999999999998E-3</v>
      </c>
      <c r="K131" s="18">
        <v>4.9700000000000001E-2</v>
      </c>
      <c r="L131" s="18">
        <v>0.2326</v>
      </c>
      <c r="M131" s="18">
        <v>0.46129999999999999</v>
      </c>
      <c r="N131" s="18">
        <v>0.7419</v>
      </c>
      <c r="O131" s="18">
        <v>1.0479000000000001</v>
      </c>
      <c r="P131" s="18">
        <v>1.3576999999999999</v>
      </c>
      <c r="Q131" s="18">
        <v>1.6659999999999999</v>
      </c>
      <c r="R131" s="18">
        <v>1.9745999999999999</v>
      </c>
      <c r="S131" s="18">
        <v>2.2643</v>
      </c>
      <c r="T131" s="18">
        <v>2.5367000000000002</v>
      </c>
      <c r="U131" s="18">
        <v>2.7686000000000002</v>
      </c>
      <c r="V131" s="18">
        <v>2.9664000000000001</v>
      </c>
      <c r="W131" s="18">
        <v>3.14</v>
      </c>
      <c r="X131" s="18">
        <v>3.2833000000000001</v>
      </c>
      <c r="Y131" s="18">
        <v>3.3849999999999998</v>
      </c>
      <c r="Z131" s="18">
        <v>3.4296000000000002</v>
      </c>
      <c r="AA131" s="18">
        <v>3.4424999999999999</v>
      </c>
      <c r="AB131" s="18">
        <v>3.4182999999999999</v>
      </c>
      <c r="AC131" s="18">
        <v>3.3372000000000002</v>
      </c>
      <c r="AD131" s="18">
        <v>3.2132999999999998</v>
      </c>
      <c r="AE131" s="18">
        <v>3.0655000000000001</v>
      </c>
      <c r="AF131" s="18">
        <v>2.8782000000000001</v>
      </c>
      <c r="AG131" s="18">
        <v>2.6791</v>
      </c>
      <c r="AH131" s="18">
        <v>2.4396</v>
      </c>
      <c r="AI131" s="18">
        <v>2.1698</v>
      </c>
      <c r="AJ131" s="18">
        <v>1.8441000000000001</v>
      </c>
      <c r="AK131" s="18">
        <v>1.5391999999999999</v>
      </c>
      <c r="AL131" s="18">
        <v>1.2259</v>
      </c>
      <c r="AM131" s="18">
        <v>0.92290000000000005</v>
      </c>
      <c r="AN131" s="18">
        <v>0.63080000000000003</v>
      </c>
      <c r="AO131" s="18">
        <v>0.36830000000000002</v>
      </c>
      <c r="AP131" s="18">
        <v>0.1072</v>
      </c>
      <c r="AQ131" s="18">
        <v>1.9800000000000002E-2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</row>
    <row r="132" spans="1:50" x14ac:dyDescent="0.25">
      <c r="A132" s="8" t="s">
        <v>184</v>
      </c>
      <c r="B132" s="10" t="s">
        <v>57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</row>
    <row r="133" spans="1:50" x14ac:dyDescent="0.25">
      <c r="A133" s="8" t="s">
        <v>186</v>
      </c>
      <c r="B133" s="10" t="s">
        <v>57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</row>
    <row r="134" spans="1:50" x14ac:dyDescent="0.25">
      <c r="A134" s="17" t="s">
        <v>347</v>
      </c>
      <c r="B134" s="13" t="s">
        <v>222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3.3999999999999998E-3</v>
      </c>
      <c r="K134" s="18">
        <v>4.9700000000000001E-2</v>
      </c>
      <c r="L134" s="18">
        <v>0.2326</v>
      </c>
      <c r="M134" s="18">
        <v>0.46129999999999999</v>
      </c>
      <c r="N134" s="18">
        <v>0.7419</v>
      </c>
      <c r="O134" s="18">
        <v>1.0479000000000001</v>
      </c>
      <c r="P134" s="18">
        <v>1.3576999999999999</v>
      </c>
      <c r="Q134" s="18">
        <v>1.6659999999999999</v>
      </c>
      <c r="R134" s="18">
        <v>1.9745999999999999</v>
      </c>
      <c r="S134" s="18">
        <v>2.2643</v>
      </c>
      <c r="T134" s="18">
        <v>2.5367000000000002</v>
      </c>
      <c r="U134" s="18">
        <v>2.7686000000000002</v>
      </c>
      <c r="V134" s="18">
        <v>2.9664000000000001</v>
      </c>
      <c r="W134" s="18">
        <v>3.14</v>
      </c>
      <c r="X134" s="18">
        <v>3.2833000000000001</v>
      </c>
      <c r="Y134" s="18">
        <v>3.3849999999999998</v>
      </c>
      <c r="Z134" s="18">
        <v>3.4296000000000002</v>
      </c>
      <c r="AA134" s="18">
        <v>3.4424999999999999</v>
      </c>
      <c r="AB134" s="18">
        <v>3.4182999999999999</v>
      </c>
      <c r="AC134" s="18">
        <v>3.3372000000000002</v>
      </c>
      <c r="AD134" s="18">
        <v>3.2132999999999998</v>
      </c>
      <c r="AE134" s="18">
        <v>3.0655000000000001</v>
      </c>
      <c r="AF134" s="18">
        <v>2.8782000000000001</v>
      </c>
      <c r="AG134" s="18">
        <v>2.6791</v>
      </c>
      <c r="AH134" s="18">
        <v>2.4396</v>
      </c>
      <c r="AI134" s="18">
        <v>2.1698</v>
      </c>
      <c r="AJ134" s="18">
        <v>1.8441000000000001</v>
      </c>
      <c r="AK134" s="18">
        <v>1.5391999999999999</v>
      </c>
      <c r="AL134" s="18">
        <v>1.2259</v>
      </c>
      <c r="AM134" s="18">
        <v>0.92290000000000005</v>
      </c>
      <c r="AN134" s="18">
        <v>0.63080000000000003</v>
      </c>
      <c r="AO134" s="18">
        <v>0.36830000000000002</v>
      </c>
      <c r="AP134" s="18">
        <v>0.1072</v>
      </c>
      <c r="AQ134" s="18">
        <v>1.9800000000000002E-2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</row>
    <row r="135" spans="1:50" x14ac:dyDescent="0.25">
      <c r="A135" s="8" t="s">
        <v>188</v>
      </c>
      <c r="B135" s="10" t="s">
        <v>57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</row>
    <row r="136" spans="1:50" x14ac:dyDescent="0.25">
      <c r="A136" s="17" t="s">
        <v>349</v>
      </c>
      <c r="B136" s="13" t="s">
        <v>222</v>
      </c>
      <c r="C136" s="18">
        <v>0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3.3999999999999998E-3</v>
      </c>
      <c r="K136" s="18">
        <v>4.9700000000000001E-2</v>
      </c>
      <c r="L136" s="18">
        <v>0.2326</v>
      </c>
      <c r="M136" s="18">
        <v>0.46129999999999999</v>
      </c>
      <c r="N136" s="18">
        <v>0.7419</v>
      </c>
      <c r="O136" s="18">
        <v>1.0479000000000001</v>
      </c>
      <c r="P136" s="18">
        <v>1.3576999999999999</v>
      </c>
      <c r="Q136" s="18">
        <v>1.6659999999999999</v>
      </c>
      <c r="R136" s="18">
        <v>1.9745999999999999</v>
      </c>
      <c r="S136" s="18">
        <v>2.2643</v>
      </c>
      <c r="T136" s="18">
        <v>2.5367000000000002</v>
      </c>
      <c r="U136" s="18">
        <v>2.7686000000000002</v>
      </c>
      <c r="V136" s="18">
        <v>2.9664000000000001</v>
      </c>
      <c r="W136" s="18">
        <v>3.14</v>
      </c>
      <c r="X136" s="18">
        <v>3.2833000000000001</v>
      </c>
      <c r="Y136" s="18">
        <v>3.3849999999999998</v>
      </c>
      <c r="Z136" s="18">
        <v>3.4296000000000002</v>
      </c>
      <c r="AA136" s="18">
        <v>3.4424999999999999</v>
      </c>
      <c r="AB136" s="18">
        <v>3.4182999999999999</v>
      </c>
      <c r="AC136" s="18">
        <v>3.3372000000000002</v>
      </c>
      <c r="AD136" s="18">
        <v>3.2132999999999998</v>
      </c>
      <c r="AE136" s="18">
        <v>3.0655000000000001</v>
      </c>
      <c r="AF136" s="18">
        <v>2.8782000000000001</v>
      </c>
      <c r="AG136" s="18">
        <v>2.6791</v>
      </c>
      <c r="AH136" s="18">
        <v>2.4396</v>
      </c>
      <c r="AI136" s="18">
        <v>2.1698</v>
      </c>
      <c r="AJ136" s="18">
        <v>1.8441000000000001</v>
      </c>
      <c r="AK136" s="18">
        <v>1.5391999999999999</v>
      </c>
      <c r="AL136" s="18">
        <v>1.2259</v>
      </c>
      <c r="AM136" s="18">
        <v>0.92290000000000005</v>
      </c>
      <c r="AN136" s="18">
        <v>0.63080000000000003</v>
      </c>
      <c r="AO136" s="18">
        <v>0.36830000000000002</v>
      </c>
      <c r="AP136" s="18">
        <v>0.1072</v>
      </c>
      <c r="AQ136" s="18">
        <v>1.9800000000000002E-2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</row>
    <row r="137" spans="1:50" x14ac:dyDescent="0.25">
      <c r="A137" s="17" t="s">
        <v>351</v>
      </c>
      <c r="B137" s="13" t="s">
        <v>222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2.5999999999999999E-3</v>
      </c>
      <c r="K137" s="18">
        <v>3.73E-2</v>
      </c>
      <c r="L137" s="18">
        <v>0.1744</v>
      </c>
      <c r="M137" s="18">
        <v>0.34599999999999997</v>
      </c>
      <c r="N137" s="18">
        <v>0.55640000000000001</v>
      </c>
      <c r="O137" s="18">
        <v>0.78590000000000004</v>
      </c>
      <c r="P137" s="18">
        <v>1.0183</v>
      </c>
      <c r="Q137" s="18">
        <v>1.2495000000000001</v>
      </c>
      <c r="R137" s="18">
        <v>1.4810000000000001</v>
      </c>
      <c r="S137" s="18">
        <v>1.6981999999999999</v>
      </c>
      <c r="T137" s="18">
        <v>1.9025000000000001</v>
      </c>
      <c r="U137" s="18">
        <v>2.0764</v>
      </c>
      <c r="V137" s="18">
        <v>2.2248000000000001</v>
      </c>
      <c r="W137" s="18">
        <v>2.355</v>
      </c>
      <c r="X137" s="18">
        <v>2.4624999999999999</v>
      </c>
      <c r="Y137" s="18">
        <v>2.5387</v>
      </c>
      <c r="Z137" s="18">
        <v>2.5722</v>
      </c>
      <c r="AA137" s="18">
        <v>2.5819000000000001</v>
      </c>
      <c r="AB137" s="18">
        <v>2.5636999999999999</v>
      </c>
      <c r="AC137" s="18">
        <v>2.5028999999999999</v>
      </c>
      <c r="AD137" s="18">
        <v>2.41</v>
      </c>
      <c r="AE137" s="18">
        <v>2.2991000000000001</v>
      </c>
      <c r="AF137" s="18">
        <v>2.1585999999999999</v>
      </c>
      <c r="AG137" s="18">
        <v>2.0093000000000001</v>
      </c>
      <c r="AH137" s="18">
        <v>1.8297000000000001</v>
      </c>
      <c r="AI137" s="18">
        <v>1.6274</v>
      </c>
      <c r="AJ137" s="18">
        <v>1.3831</v>
      </c>
      <c r="AK137" s="18">
        <v>1.1544000000000001</v>
      </c>
      <c r="AL137" s="18">
        <v>0.91949999999999998</v>
      </c>
      <c r="AM137" s="18">
        <v>0.69220000000000004</v>
      </c>
      <c r="AN137" s="18">
        <v>0.47310000000000002</v>
      </c>
      <c r="AO137" s="18">
        <v>0.2762</v>
      </c>
      <c r="AP137" s="18">
        <v>8.0399999999999999E-2</v>
      </c>
      <c r="AQ137" s="18">
        <v>1.4800000000000001E-2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</row>
    <row r="138" spans="1:50" x14ac:dyDescent="0.25">
      <c r="A138" s="8" t="s">
        <v>190</v>
      </c>
      <c r="B138" s="10" t="s">
        <v>57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</row>
    <row r="139" spans="1:50" x14ac:dyDescent="0.25">
      <c r="A139" s="8" t="s">
        <v>192</v>
      </c>
      <c r="B139" s="10" t="s">
        <v>57</v>
      </c>
      <c r="C139" s="16">
        <v>0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</row>
    <row r="140" spans="1:50" x14ac:dyDescent="0.25">
      <c r="A140" s="8" t="s">
        <v>194</v>
      </c>
      <c r="B140" s="10" t="s">
        <v>57</v>
      </c>
      <c r="C140" s="16">
        <v>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  <c r="AK140" s="16">
        <v>0</v>
      </c>
      <c r="AL140" s="16">
        <v>0</v>
      </c>
      <c r="AM140" s="16">
        <v>0</v>
      </c>
      <c r="AN140" s="16">
        <v>0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</row>
    <row r="141" spans="1:50" x14ac:dyDescent="0.25">
      <c r="A141" s="8" t="s">
        <v>196</v>
      </c>
      <c r="B141" s="10" t="s">
        <v>57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</row>
    <row r="142" spans="1:50" x14ac:dyDescent="0.25">
      <c r="A142" s="8" t="s">
        <v>198</v>
      </c>
      <c r="B142" s="10" t="s">
        <v>57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</row>
    <row r="143" spans="1:50" x14ac:dyDescent="0.25">
      <c r="A143" s="17" t="s">
        <v>353</v>
      </c>
      <c r="B143" s="13" t="s">
        <v>222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3.3999999999999998E-3</v>
      </c>
      <c r="K143" s="18">
        <v>4.9700000000000001E-2</v>
      </c>
      <c r="L143" s="18">
        <v>0.2326</v>
      </c>
      <c r="M143" s="18">
        <v>0.46129999999999999</v>
      </c>
      <c r="N143" s="18">
        <v>0.7419</v>
      </c>
      <c r="O143" s="18">
        <v>1.0479000000000001</v>
      </c>
      <c r="P143" s="18">
        <v>1.3576999999999999</v>
      </c>
      <c r="Q143" s="18">
        <v>1.6659999999999999</v>
      </c>
      <c r="R143" s="18">
        <v>1.9745999999999999</v>
      </c>
      <c r="S143" s="18">
        <v>2.2643</v>
      </c>
      <c r="T143" s="18">
        <v>2.5367000000000002</v>
      </c>
      <c r="U143" s="18">
        <v>2.7686000000000002</v>
      </c>
      <c r="V143" s="18">
        <v>2.9664000000000001</v>
      </c>
      <c r="W143" s="18">
        <v>3.14</v>
      </c>
      <c r="X143" s="18">
        <v>3.2833000000000001</v>
      </c>
      <c r="Y143" s="18">
        <v>3.3849999999999998</v>
      </c>
      <c r="Z143" s="18">
        <v>3.4296000000000002</v>
      </c>
      <c r="AA143" s="18">
        <v>3.4424999999999999</v>
      </c>
      <c r="AB143" s="18">
        <v>3.4182999999999999</v>
      </c>
      <c r="AC143" s="18">
        <v>3.3372000000000002</v>
      </c>
      <c r="AD143" s="18">
        <v>3.2132999999999998</v>
      </c>
      <c r="AE143" s="18">
        <v>3.0655000000000001</v>
      </c>
      <c r="AF143" s="18">
        <v>2.8782000000000001</v>
      </c>
      <c r="AG143" s="18">
        <v>2.6791</v>
      </c>
      <c r="AH143" s="18">
        <v>2.4396</v>
      </c>
      <c r="AI143" s="18">
        <v>2.1698</v>
      </c>
      <c r="AJ143" s="18">
        <v>1.8441000000000001</v>
      </c>
      <c r="AK143" s="18">
        <v>1.5391999999999999</v>
      </c>
      <c r="AL143" s="18">
        <v>1.2259</v>
      </c>
      <c r="AM143" s="18">
        <v>0.92290000000000005</v>
      </c>
      <c r="AN143" s="18">
        <v>0.63080000000000003</v>
      </c>
      <c r="AO143" s="18">
        <v>0.36830000000000002</v>
      </c>
      <c r="AP143" s="18">
        <v>0.1072</v>
      </c>
      <c r="AQ143" s="18">
        <v>1.9800000000000002E-2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</row>
    <row r="144" spans="1:50" x14ac:dyDescent="0.25">
      <c r="A144" s="17" t="s">
        <v>355</v>
      </c>
      <c r="B144" s="13" t="s">
        <v>222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3.0000000000000001E-3</v>
      </c>
      <c r="K144" s="18">
        <v>4.3499999999999997E-2</v>
      </c>
      <c r="L144" s="18">
        <v>0.20349999999999999</v>
      </c>
      <c r="M144" s="18">
        <v>0.4037</v>
      </c>
      <c r="N144" s="18">
        <v>0.64910000000000001</v>
      </c>
      <c r="O144" s="18">
        <v>0.91690000000000005</v>
      </c>
      <c r="P144" s="18">
        <v>1.1879999999999999</v>
      </c>
      <c r="Q144" s="18">
        <v>1.4577</v>
      </c>
      <c r="R144" s="18">
        <v>1.7278</v>
      </c>
      <c r="S144" s="18">
        <v>1.9813000000000001</v>
      </c>
      <c r="T144" s="18">
        <v>2.2195999999999998</v>
      </c>
      <c r="U144" s="18">
        <v>2.4224999999999999</v>
      </c>
      <c r="V144" s="18">
        <v>2.5956000000000001</v>
      </c>
      <c r="W144" s="18">
        <v>2.7475000000000001</v>
      </c>
      <c r="X144" s="18">
        <v>2.8729</v>
      </c>
      <c r="Y144" s="18">
        <v>2.9619</v>
      </c>
      <c r="Z144" s="18">
        <v>3.0009000000000001</v>
      </c>
      <c r="AA144" s="18">
        <v>3.0122</v>
      </c>
      <c r="AB144" s="18">
        <v>2.9910000000000001</v>
      </c>
      <c r="AC144" s="18">
        <v>2.92</v>
      </c>
      <c r="AD144" s="18">
        <v>2.8117000000000001</v>
      </c>
      <c r="AE144" s="18">
        <v>2.6823000000000001</v>
      </c>
      <c r="AF144" s="18">
        <v>2.5184000000000002</v>
      </c>
      <c r="AG144" s="18">
        <v>2.3441999999999998</v>
      </c>
      <c r="AH144" s="18">
        <v>2.1345999999999998</v>
      </c>
      <c r="AI144" s="18">
        <v>1.8986000000000001</v>
      </c>
      <c r="AJ144" s="18">
        <v>1.6135999999999999</v>
      </c>
      <c r="AK144" s="18">
        <v>1.3468</v>
      </c>
      <c r="AL144" s="18">
        <v>1.0727</v>
      </c>
      <c r="AM144" s="18">
        <v>0.80759999999999998</v>
      </c>
      <c r="AN144" s="18">
        <v>0.55189999999999995</v>
      </c>
      <c r="AO144" s="18">
        <v>0.32229999999999998</v>
      </c>
      <c r="AP144" s="18">
        <v>9.3799999999999994E-2</v>
      </c>
      <c r="AQ144" s="18">
        <v>1.7299999999999999E-2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</row>
    <row r="145" spans="1:50" x14ac:dyDescent="0.25">
      <c r="A145" s="8" t="s">
        <v>200</v>
      </c>
      <c r="B145" s="10" t="s">
        <v>57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</row>
    <row r="146" spans="1:50" x14ac:dyDescent="0.25">
      <c r="A146" s="17" t="s">
        <v>357</v>
      </c>
      <c r="B146" s="13" t="s">
        <v>222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1.2999999999999999E-3</v>
      </c>
      <c r="K146" s="18">
        <v>1.8700000000000001E-2</v>
      </c>
      <c r="L146" s="18">
        <v>8.72E-2</v>
      </c>
      <c r="M146" s="18">
        <v>0.17299999999999999</v>
      </c>
      <c r="N146" s="18">
        <v>0.2782</v>
      </c>
      <c r="O146" s="18">
        <v>0.39300000000000002</v>
      </c>
      <c r="P146" s="18">
        <v>0.50919999999999999</v>
      </c>
      <c r="Q146" s="18">
        <v>0.62470000000000003</v>
      </c>
      <c r="R146" s="18">
        <v>0.74050000000000005</v>
      </c>
      <c r="S146" s="18">
        <v>0.84909999999999997</v>
      </c>
      <c r="T146" s="18">
        <v>0.95120000000000005</v>
      </c>
      <c r="U146" s="18">
        <v>1.0382</v>
      </c>
      <c r="V146" s="18">
        <v>1.1124000000000001</v>
      </c>
      <c r="W146" s="18">
        <v>1.1775</v>
      </c>
      <c r="X146" s="18">
        <v>1.2312000000000001</v>
      </c>
      <c r="Y146" s="18">
        <v>1.2694000000000001</v>
      </c>
      <c r="Z146" s="18">
        <v>1.2861</v>
      </c>
      <c r="AA146" s="18">
        <v>1.2908999999999999</v>
      </c>
      <c r="AB146" s="18">
        <v>1.2819</v>
      </c>
      <c r="AC146" s="18">
        <v>1.2514000000000001</v>
      </c>
      <c r="AD146" s="18">
        <v>1.2050000000000001</v>
      </c>
      <c r="AE146" s="18">
        <v>1.1496</v>
      </c>
      <c r="AF146" s="18">
        <v>1.0792999999999999</v>
      </c>
      <c r="AG146" s="18">
        <v>1.0046999999999999</v>
      </c>
      <c r="AH146" s="18">
        <v>0.91479999999999995</v>
      </c>
      <c r="AI146" s="18">
        <v>0.81369999999999998</v>
      </c>
      <c r="AJ146" s="18">
        <v>0.6915</v>
      </c>
      <c r="AK146" s="18">
        <v>0.57720000000000005</v>
      </c>
      <c r="AL146" s="18">
        <v>0.4597</v>
      </c>
      <c r="AM146" s="18">
        <v>0.34610000000000002</v>
      </c>
      <c r="AN146" s="18">
        <v>0.23649999999999999</v>
      </c>
      <c r="AO146" s="18">
        <v>0.1381</v>
      </c>
      <c r="AP146" s="18">
        <v>4.02E-2</v>
      </c>
      <c r="AQ146" s="18">
        <v>7.4000000000000003E-3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</row>
    <row r="147" spans="1:50" x14ac:dyDescent="0.25">
      <c r="A147" s="17" t="s">
        <v>359</v>
      </c>
      <c r="B147" s="13" t="s">
        <v>222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1.6999999999999999E-3</v>
      </c>
      <c r="K147" s="18">
        <v>2.4899999999999999E-2</v>
      </c>
      <c r="L147" s="18">
        <v>0.1163</v>
      </c>
      <c r="M147" s="18">
        <v>0.23069999999999999</v>
      </c>
      <c r="N147" s="18">
        <v>0.37090000000000001</v>
      </c>
      <c r="O147" s="18">
        <v>0.52400000000000002</v>
      </c>
      <c r="P147" s="18">
        <v>0.67889999999999995</v>
      </c>
      <c r="Q147" s="18">
        <v>0.83299999999999996</v>
      </c>
      <c r="R147" s="18">
        <v>0.98729999999999996</v>
      </c>
      <c r="S147" s="18">
        <v>1.1322000000000001</v>
      </c>
      <c r="T147" s="18">
        <v>1.2683</v>
      </c>
      <c r="U147" s="18">
        <v>1.3843000000000001</v>
      </c>
      <c r="V147" s="18">
        <v>1.4832000000000001</v>
      </c>
      <c r="W147" s="18">
        <v>1.57</v>
      </c>
      <c r="X147" s="18">
        <v>1.6416999999999999</v>
      </c>
      <c r="Y147" s="18">
        <v>1.6924999999999999</v>
      </c>
      <c r="Z147" s="18">
        <v>1.7148000000000001</v>
      </c>
      <c r="AA147" s="18">
        <v>1.7212000000000001</v>
      </c>
      <c r="AB147" s="18">
        <v>1.7092000000000001</v>
      </c>
      <c r="AC147" s="18">
        <v>1.6686000000000001</v>
      </c>
      <c r="AD147" s="18">
        <v>1.6067</v>
      </c>
      <c r="AE147" s="18">
        <v>1.5327999999999999</v>
      </c>
      <c r="AF147" s="18">
        <v>1.4391</v>
      </c>
      <c r="AG147" s="18">
        <v>1.3395999999999999</v>
      </c>
      <c r="AH147" s="18">
        <v>1.2198</v>
      </c>
      <c r="AI147" s="18">
        <v>1.0849</v>
      </c>
      <c r="AJ147" s="18">
        <v>0.92200000000000004</v>
      </c>
      <c r="AK147" s="18">
        <v>0.76959999999999995</v>
      </c>
      <c r="AL147" s="18">
        <v>0.61299999999999999</v>
      </c>
      <c r="AM147" s="18">
        <v>0.46150000000000002</v>
      </c>
      <c r="AN147" s="18">
        <v>0.31540000000000001</v>
      </c>
      <c r="AO147" s="18">
        <v>0.1842</v>
      </c>
      <c r="AP147" s="18">
        <v>5.3600000000000002E-2</v>
      </c>
      <c r="AQ147" s="18">
        <v>9.9000000000000008E-3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</row>
    <row r="148" spans="1:50" x14ac:dyDescent="0.25">
      <c r="A148" s="17" t="s">
        <v>361</v>
      </c>
      <c r="B148" s="13" t="s">
        <v>222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3.3999999999999998E-3</v>
      </c>
      <c r="K148" s="18">
        <v>4.9700000000000001E-2</v>
      </c>
      <c r="L148" s="18">
        <v>0.2326</v>
      </c>
      <c r="M148" s="18">
        <v>0.46129999999999999</v>
      </c>
      <c r="N148" s="18">
        <v>0.7419</v>
      </c>
      <c r="O148" s="18">
        <v>1.0479000000000001</v>
      </c>
      <c r="P148" s="18">
        <v>1.3576999999999999</v>
      </c>
      <c r="Q148" s="18">
        <v>1.6659999999999999</v>
      </c>
      <c r="R148" s="18">
        <v>1.9745999999999999</v>
      </c>
      <c r="S148" s="18">
        <v>2.2643</v>
      </c>
      <c r="T148" s="18">
        <v>2.5367000000000002</v>
      </c>
      <c r="U148" s="18">
        <v>2.7686000000000002</v>
      </c>
      <c r="V148" s="18">
        <v>2.9664000000000001</v>
      </c>
      <c r="W148" s="18">
        <v>3.14</v>
      </c>
      <c r="X148" s="18">
        <v>3.2833000000000001</v>
      </c>
      <c r="Y148" s="18">
        <v>3.3849999999999998</v>
      </c>
      <c r="Z148" s="18">
        <v>3.4296000000000002</v>
      </c>
      <c r="AA148" s="18">
        <v>3.4424999999999999</v>
      </c>
      <c r="AB148" s="18">
        <v>3.4182999999999999</v>
      </c>
      <c r="AC148" s="18">
        <v>3.3372000000000002</v>
      </c>
      <c r="AD148" s="18">
        <v>3.2132999999999998</v>
      </c>
      <c r="AE148" s="18">
        <v>3.0655000000000001</v>
      </c>
      <c r="AF148" s="18">
        <v>2.8782000000000001</v>
      </c>
      <c r="AG148" s="18">
        <v>2.6791</v>
      </c>
      <c r="AH148" s="18">
        <v>2.4396</v>
      </c>
      <c r="AI148" s="18">
        <v>2.1698</v>
      </c>
      <c r="AJ148" s="18">
        <v>1.8441000000000001</v>
      </c>
      <c r="AK148" s="18">
        <v>1.5391999999999999</v>
      </c>
      <c r="AL148" s="18">
        <v>1.2259</v>
      </c>
      <c r="AM148" s="18">
        <v>0.92290000000000005</v>
      </c>
      <c r="AN148" s="18">
        <v>0.63080000000000003</v>
      </c>
      <c r="AO148" s="18">
        <v>0.36830000000000002</v>
      </c>
      <c r="AP148" s="18">
        <v>0.1072</v>
      </c>
      <c r="AQ148" s="18">
        <v>1.9800000000000002E-2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</row>
    <row r="149" spans="1:50" x14ac:dyDescent="0.25">
      <c r="A149" s="17" t="s">
        <v>363</v>
      </c>
      <c r="B149" s="13" t="s">
        <v>222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1.6999999999999999E-3</v>
      </c>
      <c r="K149" s="18">
        <v>2.4899999999999999E-2</v>
      </c>
      <c r="L149" s="18">
        <v>0.1163</v>
      </c>
      <c r="M149" s="18">
        <v>0.23069999999999999</v>
      </c>
      <c r="N149" s="18">
        <v>0.37090000000000001</v>
      </c>
      <c r="O149" s="18">
        <v>0.52400000000000002</v>
      </c>
      <c r="P149" s="18">
        <v>0.67889999999999995</v>
      </c>
      <c r="Q149" s="18">
        <v>0.83299999999999996</v>
      </c>
      <c r="R149" s="18">
        <v>0.98729999999999996</v>
      </c>
      <c r="S149" s="18">
        <v>1.1322000000000001</v>
      </c>
      <c r="T149" s="18">
        <v>1.2683</v>
      </c>
      <c r="U149" s="18">
        <v>1.3843000000000001</v>
      </c>
      <c r="V149" s="18">
        <v>1.4832000000000001</v>
      </c>
      <c r="W149" s="18">
        <v>1.57</v>
      </c>
      <c r="X149" s="18">
        <v>1.6416999999999999</v>
      </c>
      <c r="Y149" s="18">
        <v>1.6924999999999999</v>
      </c>
      <c r="Z149" s="18">
        <v>1.7148000000000001</v>
      </c>
      <c r="AA149" s="18">
        <v>1.7212000000000001</v>
      </c>
      <c r="AB149" s="18">
        <v>1.7092000000000001</v>
      </c>
      <c r="AC149" s="18">
        <v>1.6686000000000001</v>
      </c>
      <c r="AD149" s="18">
        <v>1.6067</v>
      </c>
      <c r="AE149" s="18">
        <v>1.5327999999999999</v>
      </c>
      <c r="AF149" s="18">
        <v>1.4391</v>
      </c>
      <c r="AG149" s="18">
        <v>1.3395999999999999</v>
      </c>
      <c r="AH149" s="18">
        <v>1.2198</v>
      </c>
      <c r="AI149" s="18">
        <v>1.0849</v>
      </c>
      <c r="AJ149" s="18">
        <v>0.92200000000000004</v>
      </c>
      <c r="AK149" s="18">
        <v>0.76959999999999995</v>
      </c>
      <c r="AL149" s="18">
        <v>0.61299999999999999</v>
      </c>
      <c r="AM149" s="18">
        <v>0.46150000000000002</v>
      </c>
      <c r="AN149" s="18">
        <v>0.31540000000000001</v>
      </c>
      <c r="AO149" s="18">
        <v>0.1842</v>
      </c>
      <c r="AP149" s="18">
        <v>5.3600000000000002E-2</v>
      </c>
      <c r="AQ149" s="18">
        <v>9.9000000000000008E-3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</row>
    <row r="150" spans="1:50" x14ac:dyDescent="0.25">
      <c r="A150" s="17" t="s">
        <v>365</v>
      </c>
      <c r="B150" s="13" t="s">
        <v>222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2.5999999999999999E-3</v>
      </c>
      <c r="K150" s="18">
        <v>3.73E-2</v>
      </c>
      <c r="L150" s="18">
        <v>0.1744</v>
      </c>
      <c r="M150" s="18">
        <v>0.34599999999999997</v>
      </c>
      <c r="N150" s="18">
        <v>0.55640000000000001</v>
      </c>
      <c r="O150" s="18">
        <v>0.78590000000000004</v>
      </c>
      <c r="P150" s="18">
        <v>1.0183</v>
      </c>
      <c r="Q150" s="18">
        <v>1.2495000000000001</v>
      </c>
      <c r="R150" s="18">
        <v>1.4810000000000001</v>
      </c>
      <c r="S150" s="18">
        <v>1.6981999999999999</v>
      </c>
      <c r="T150" s="18">
        <v>1.9025000000000001</v>
      </c>
      <c r="U150" s="18">
        <v>2.0764</v>
      </c>
      <c r="V150" s="18">
        <v>2.2248000000000001</v>
      </c>
      <c r="W150" s="18">
        <v>2.355</v>
      </c>
      <c r="X150" s="18">
        <v>2.4624999999999999</v>
      </c>
      <c r="Y150" s="18">
        <v>2.5387</v>
      </c>
      <c r="Z150" s="18">
        <v>2.5722</v>
      </c>
      <c r="AA150" s="18">
        <v>2.5819000000000001</v>
      </c>
      <c r="AB150" s="18">
        <v>2.5636999999999999</v>
      </c>
      <c r="AC150" s="18">
        <v>2.5028999999999999</v>
      </c>
      <c r="AD150" s="18">
        <v>2.41</v>
      </c>
      <c r="AE150" s="18">
        <v>2.2991000000000001</v>
      </c>
      <c r="AF150" s="18">
        <v>2.1585999999999999</v>
      </c>
      <c r="AG150" s="18">
        <v>2.0093000000000001</v>
      </c>
      <c r="AH150" s="18">
        <v>1.8297000000000001</v>
      </c>
      <c r="AI150" s="18">
        <v>1.6274</v>
      </c>
      <c r="AJ150" s="18">
        <v>1.3831</v>
      </c>
      <c r="AK150" s="18">
        <v>1.1544000000000001</v>
      </c>
      <c r="AL150" s="18">
        <v>0.91949999999999998</v>
      </c>
      <c r="AM150" s="18">
        <v>0.69220000000000004</v>
      </c>
      <c r="AN150" s="18">
        <v>0.47310000000000002</v>
      </c>
      <c r="AO150" s="18">
        <v>0.2762</v>
      </c>
      <c r="AP150" s="18">
        <v>8.0399999999999999E-2</v>
      </c>
      <c r="AQ150" s="18">
        <v>1.4800000000000001E-2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</row>
    <row r="151" spans="1:50" x14ac:dyDescent="0.25">
      <c r="A151" s="17" t="s">
        <v>367</v>
      </c>
      <c r="B151" s="13" t="s">
        <v>222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1.6999999999999999E-3</v>
      </c>
      <c r="K151" s="18">
        <v>2.4899999999999999E-2</v>
      </c>
      <c r="L151" s="18">
        <v>0.1163</v>
      </c>
      <c r="M151" s="18">
        <v>0.23069999999999999</v>
      </c>
      <c r="N151" s="18">
        <v>0.37090000000000001</v>
      </c>
      <c r="O151" s="18">
        <v>0.52400000000000002</v>
      </c>
      <c r="P151" s="18">
        <v>0.67889999999999995</v>
      </c>
      <c r="Q151" s="18">
        <v>0.83299999999999996</v>
      </c>
      <c r="R151" s="18">
        <v>0.98729999999999996</v>
      </c>
      <c r="S151" s="18">
        <v>1.1322000000000001</v>
      </c>
      <c r="T151" s="18">
        <v>1.2683</v>
      </c>
      <c r="U151" s="18">
        <v>1.3843000000000001</v>
      </c>
      <c r="V151" s="18">
        <v>1.4832000000000001</v>
      </c>
      <c r="W151" s="18">
        <v>1.57</v>
      </c>
      <c r="X151" s="18">
        <v>1.6416999999999999</v>
      </c>
      <c r="Y151" s="18">
        <v>1.6924999999999999</v>
      </c>
      <c r="Z151" s="18">
        <v>1.7148000000000001</v>
      </c>
      <c r="AA151" s="18">
        <v>1.7212000000000001</v>
      </c>
      <c r="AB151" s="18">
        <v>1.7092000000000001</v>
      </c>
      <c r="AC151" s="18">
        <v>1.6686000000000001</v>
      </c>
      <c r="AD151" s="18">
        <v>1.6067</v>
      </c>
      <c r="AE151" s="18">
        <v>1.5327999999999999</v>
      </c>
      <c r="AF151" s="18">
        <v>1.4391</v>
      </c>
      <c r="AG151" s="18">
        <v>1.3395999999999999</v>
      </c>
      <c r="AH151" s="18">
        <v>1.2198</v>
      </c>
      <c r="AI151" s="18">
        <v>1.0849</v>
      </c>
      <c r="AJ151" s="18">
        <v>0.92200000000000004</v>
      </c>
      <c r="AK151" s="18">
        <v>0.76959999999999995</v>
      </c>
      <c r="AL151" s="18">
        <v>0.61299999999999999</v>
      </c>
      <c r="AM151" s="18">
        <v>0.46150000000000002</v>
      </c>
      <c r="AN151" s="18">
        <v>0.31540000000000001</v>
      </c>
      <c r="AO151" s="18">
        <v>0.1842</v>
      </c>
      <c r="AP151" s="18">
        <v>5.3600000000000002E-2</v>
      </c>
      <c r="AQ151" s="18">
        <v>9.9000000000000008E-3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</row>
    <row r="152" spans="1:50" x14ac:dyDescent="0.25">
      <c r="A152" s="17" t="s">
        <v>369</v>
      </c>
      <c r="B152" s="13" t="s">
        <v>222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3.3999999999999998E-3</v>
      </c>
      <c r="K152" s="18">
        <v>4.9700000000000001E-2</v>
      </c>
      <c r="L152" s="18">
        <v>0.2326</v>
      </c>
      <c r="M152" s="18">
        <v>0.46129999999999999</v>
      </c>
      <c r="N152" s="18">
        <v>0.7419</v>
      </c>
      <c r="O152" s="18">
        <v>1.0479000000000001</v>
      </c>
      <c r="P152" s="18">
        <v>1.3576999999999999</v>
      </c>
      <c r="Q152" s="18">
        <v>1.6659999999999999</v>
      </c>
      <c r="R152" s="18">
        <v>1.9745999999999999</v>
      </c>
      <c r="S152" s="18">
        <v>2.2643</v>
      </c>
      <c r="T152" s="18">
        <v>2.5367000000000002</v>
      </c>
      <c r="U152" s="18">
        <v>2.7686000000000002</v>
      </c>
      <c r="V152" s="18">
        <v>2.9664000000000001</v>
      </c>
      <c r="W152" s="18">
        <v>3.14</v>
      </c>
      <c r="X152" s="18">
        <v>3.2833000000000001</v>
      </c>
      <c r="Y152" s="18">
        <v>3.3849999999999998</v>
      </c>
      <c r="Z152" s="18">
        <v>3.4296000000000002</v>
      </c>
      <c r="AA152" s="18">
        <v>3.4424999999999999</v>
      </c>
      <c r="AB152" s="18">
        <v>3.4182999999999999</v>
      </c>
      <c r="AC152" s="18">
        <v>3.3372000000000002</v>
      </c>
      <c r="AD152" s="18">
        <v>3.2132999999999998</v>
      </c>
      <c r="AE152" s="18">
        <v>3.0655000000000001</v>
      </c>
      <c r="AF152" s="18">
        <v>2.8782000000000001</v>
      </c>
      <c r="AG152" s="18">
        <v>2.6791</v>
      </c>
      <c r="AH152" s="18">
        <v>2.4396</v>
      </c>
      <c r="AI152" s="18">
        <v>2.1698</v>
      </c>
      <c r="AJ152" s="18">
        <v>1.8441000000000001</v>
      </c>
      <c r="AK152" s="18">
        <v>1.5391999999999999</v>
      </c>
      <c r="AL152" s="18">
        <v>1.2259</v>
      </c>
      <c r="AM152" s="18">
        <v>0.92290000000000005</v>
      </c>
      <c r="AN152" s="18">
        <v>0.63080000000000003</v>
      </c>
      <c r="AO152" s="18">
        <v>0.36830000000000002</v>
      </c>
      <c r="AP152" s="18">
        <v>0.1072</v>
      </c>
      <c r="AQ152" s="18">
        <v>1.9800000000000002E-2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</row>
    <row r="153" spans="1:50" x14ac:dyDescent="0.25">
      <c r="A153" s="17" t="s">
        <v>371</v>
      </c>
      <c r="B153" s="13" t="s">
        <v>222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1.6999999999999999E-3</v>
      </c>
      <c r="K153" s="18">
        <v>2.4899999999999999E-2</v>
      </c>
      <c r="L153" s="18">
        <v>0.1163</v>
      </c>
      <c r="M153" s="18">
        <v>0.23069999999999999</v>
      </c>
      <c r="N153" s="18">
        <v>0.37090000000000001</v>
      </c>
      <c r="O153" s="18">
        <v>0.52400000000000002</v>
      </c>
      <c r="P153" s="18">
        <v>0.67889999999999995</v>
      </c>
      <c r="Q153" s="18">
        <v>0.83299999999999996</v>
      </c>
      <c r="R153" s="18">
        <v>0.98729999999999996</v>
      </c>
      <c r="S153" s="18">
        <v>1.1322000000000001</v>
      </c>
      <c r="T153" s="18">
        <v>1.2683</v>
      </c>
      <c r="U153" s="18">
        <v>1.3843000000000001</v>
      </c>
      <c r="V153" s="18">
        <v>1.4832000000000001</v>
      </c>
      <c r="W153" s="18">
        <v>1.57</v>
      </c>
      <c r="X153" s="18">
        <v>1.6416999999999999</v>
      </c>
      <c r="Y153" s="18">
        <v>1.6924999999999999</v>
      </c>
      <c r="Z153" s="18">
        <v>1.7148000000000001</v>
      </c>
      <c r="AA153" s="18">
        <v>1.7212000000000001</v>
      </c>
      <c r="AB153" s="18">
        <v>1.7092000000000001</v>
      </c>
      <c r="AC153" s="18">
        <v>1.6686000000000001</v>
      </c>
      <c r="AD153" s="18">
        <v>1.6067</v>
      </c>
      <c r="AE153" s="18">
        <v>1.5327999999999999</v>
      </c>
      <c r="AF153" s="18">
        <v>1.4391</v>
      </c>
      <c r="AG153" s="18">
        <v>1.3395999999999999</v>
      </c>
      <c r="AH153" s="18">
        <v>1.2198</v>
      </c>
      <c r="AI153" s="18">
        <v>1.0849</v>
      </c>
      <c r="AJ153" s="18">
        <v>0.92200000000000004</v>
      </c>
      <c r="AK153" s="18">
        <v>0.76959999999999995</v>
      </c>
      <c r="AL153" s="18">
        <v>0.61299999999999999</v>
      </c>
      <c r="AM153" s="18">
        <v>0.46150000000000002</v>
      </c>
      <c r="AN153" s="18">
        <v>0.31540000000000001</v>
      </c>
      <c r="AO153" s="18">
        <v>0.1842</v>
      </c>
      <c r="AP153" s="18">
        <v>5.3600000000000002E-2</v>
      </c>
      <c r="AQ153" s="18">
        <v>9.9000000000000008E-3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</row>
    <row r="154" spans="1:50" x14ac:dyDescent="0.25">
      <c r="A154" s="17" t="s">
        <v>373</v>
      </c>
      <c r="B154" s="13" t="s">
        <v>222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2.5999999999999999E-3</v>
      </c>
      <c r="K154" s="18">
        <v>3.73E-2</v>
      </c>
      <c r="L154" s="18">
        <v>0.1744</v>
      </c>
      <c r="M154" s="18">
        <v>0.34599999999999997</v>
      </c>
      <c r="N154" s="18">
        <v>0.55640000000000001</v>
      </c>
      <c r="O154" s="18">
        <v>0.78590000000000004</v>
      </c>
      <c r="P154" s="18">
        <v>1.0183</v>
      </c>
      <c r="Q154" s="18">
        <v>1.2495000000000001</v>
      </c>
      <c r="R154" s="18">
        <v>1.4810000000000001</v>
      </c>
      <c r="S154" s="18">
        <v>1.6981999999999999</v>
      </c>
      <c r="T154" s="18">
        <v>1.9025000000000001</v>
      </c>
      <c r="U154" s="18">
        <v>2.0764</v>
      </c>
      <c r="V154" s="18">
        <v>2.2248000000000001</v>
      </c>
      <c r="W154" s="18">
        <v>2.355</v>
      </c>
      <c r="X154" s="18">
        <v>2.4624999999999999</v>
      </c>
      <c r="Y154" s="18">
        <v>2.5387</v>
      </c>
      <c r="Z154" s="18">
        <v>2.5722</v>
      </c>
      <c r="AA154" s="18">
        <v>2.5819000000000001</v>
      </c>
      <c r="AB154" s="18">
        <v>2.5636999999999999</v>
      </c>
      <c r="AC154" s="18">
        <v>2.5028999999999999</v>
      </c>
      <c r="AD154" s="18">
        <v>2.41</v>
      </c>
      <c r="AE154" s="18">
        <v>2.2991000000000001</v>
      </c>
      <c r="AF154" s="18">
        <v>2.1585999999999999</v>
      </c>
      <c r="AG154" s="18">
        <v>2.0093000000000001</v>
      </c>
      <c r="AH154" s="18">
        <v>1.8297000000000001</v>
      </c>
      <c r="AI154" s="18">
        <v>1.6274</v>
      </c>
      <c r="AJ154" s="18">
        <v>1.3831</v>
      </c>
      <c r="AK154" s="18">
        <v>1.1544000000000001</v>
      </c>
      <c r="AL154" s="18">
        <v>0.91949999999999998</v>
      </c>
      <c r="AM154" s="18">
        <v>0.69220000000000004</v>
      </c>
      <c r="AN154" s="18">
        <v>0.47310000000000002</v>
      </c>
      <c r="AO154" s="18">
        <v>0.2762</v>
      </c>
      <c r="AP154" s="18">
        <v>8.0399999999999999E-2</v>
      </c>
      <c r="AQ154" s="18">
        <v>1.4800000000000001E-2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</row>
    <row r="155" spans="1:50" x14ac:dyDescent="0.25">
      <c r="A155" s="17" t="s">
        <v>375</v>
      </c>
      <c r="B155" s="13" t="s">
        <v>222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3.3999999999999998E-3</v>
      </c>
      <c r="K155" s="18">
        <v>4.9700000000000001E-2</v>
      </c>
      <c r="L155" s="18">
        <v>0.2326</v>
      </c>
      <c r="M155" s="18">
        <v>0.46129999999999999</v>
      </c>
      <c r="N155" s="18">
        <v>0.7419</v>
      </c>
      <c r="O155" s="18">
        <v>1.0479000000000001</v>
      </c>
      <c r="P155" s="18">
        <v>1.3576999999999999</v>
      </c>
      <c r="Q155" s="18">
        <v>1.6659999999999999</v>
      </c>
      <c r="R155" s="18">
        <v>1.9745999999999999</v>
      </c>
      <c r="S155" s="18">
        <v>2.2643</v>
      </c>
      <c r="T155" s="18">
        <v>2.5367000000000002</v>
      </c>
      <c r="U155" s="18">
        <v>2.7686000000000002</v>
      </c>
      <c r="V155" s="18">
        <v>2.9664000000000001</v>
      </c>
      <c r="W155" s="18">
        <v>3.14</v>
      </c>
      <c r="X155" s="18">
        <v>3.2833000000000001</v>
      </c>
      <c r="Y155" s="18">
        <v>3.3849999999999998</v>
      </c>
      <c r="Z155" s="18">
        <v>3.4296000000000002</v>
      </c>
      <c r="AA155" s="18">
        <v>3.4424999999999999</v>
      </c>
      <c r="AB155" s="18">
        <v>3.4182999999999999</v>
      </c>
      <c r="AC155" s="18">
        <v>3.3372000000000002</v>
      </c>
      <c r="AD155" s="18">
        <v>3.2132999999999998</v>
      </c>
      <c r="AE155" s="18">
        <v>3.0655000000000001</v>
      </c>
      <c r="AF155" s="18">
        <v>2.8782000000000001</v>
      </c>
      <c r="AG155" s="18">
        <v>2.6791</v>
      </c>
      <c r="AH155" s="18">
        <v>2.4396</v>
      </c>
      <c r="AI155" s="18">
        <v>2.1698</v>
      </c>
      <c r="AJ155" s="18">
        <v>1.8441000000000001</v>
      </c>
      <c r="AK155" s="18">
        <v>1.5391999999999999</v>
      </c>
      <c r="AL155" s="18">
        <v>1.2259</v>
      </c>
      <c r="AM155" s="18">
        <v>0.92290000000000005</v>
      </c>
      <c r="AN155" s="18">
        <v>0.63080000000000003</v>
      </c>
      <c r="AO155" s="18">
        <v>0.36830000000000002</v>
      </c>
      <c r="AP155" s="18">
        <v>0.1072</v>
      </c>
      <c r="AQ155" s="18">
        <v>1.9800000000000002E-2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</row>
    <row r="156" spans="1:50" x14ac:dyDescent="0.25">
      <c r="A156" s="8" t="s">
        <v>202</v>
      </c>
      <c r="B156" s="10" t="s">
        <v>57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</row>
    <row r="157" spans="1:50" x14ac:dyDescent="0.25">
      <c r="A157" s="17" t="s">
        <v>377</v>
      </c>
      <c r="B157" s="13" t="s">
        <v>222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3.3999999999999998E-3</v>
      </c>
      <c r="K157" s="18">
        <v>4.9700000000000001E-2</v>
      </c>
      <c r="L157" s="18">
        <v>0.2326</v>
      </c>
      <c r="M157" s="18">
        <v>0.46129999999999999</v>
      </c>
      <c r="N157" s="18">
        <v>0.7419</v>
      </c>
      <c r="O157" s="18">
        <v>1.0479000000000001</v>
      </c>
      <c r="P157" s="18">
        <v>1.3576999999999999</v>
      </c>
      <c r="Q157" s="18">
        <v>1.6659999999999999</v>
      </c>
      <c r="R157" s="18">
        <v>1.9745999999999999</v>
      </c>
      <c r="S157" s="18">
        <v>2.2643</v>
      </c>
      <c r="T157" s="18">
        <v>2.5367000000000002</v>
      </c>
      <c r="U157" s="18">
        <v>2.7686000000000002</v>
      </c>
      <c r="V157" s="18">
        <v>2.9664000000000001</v>
      </c>
      <c r="W157" s="18">
        <v>3.14</v>
      </c>
      <c r="X157" s="18">
        <v>3.2833000000000001</v>
      </c>
      <c r="Y157" s="18">
        <v>3.3849999999999998</v>
      </c>
      <c r="Z157" s="18">
        <v>3.4296000000000002</v>
      </c>
      <c r="AA157" s="18">
        <v>3.4424999999999999</v>
      </c>
      <c r="AB157" s="18">
        <v>3.4182999999999999</v>
      </c>
      <c r="AC157" s="18">
        <v>3.3372000000000002</v>
      </c>
      <c r="AD157" s="18">
        <v>3.2132999999999998</v>
      </c>
      <c r="AE157" s="18">
        <v>3.0655000000000001</v>
      </c>
      <c r="AF157" s="18">
        <v>2.8782000000000001</v>
      </c>
      <c r="AG157" s="18">
        <v>2.6791</v>
      </c>
      <c r="AH157" s="18">
        <v>2.4396</v>
      </c>
      <c r="AI157" s="18">
        <v>2.1698</v>
      </c>
      <c r="AJ157" s="18">
        <v>1.8441000000000001</v>
      </c>
      <c r="AK157" s="18">
        <v>1.5391999999999999</v>
      </c>
      <c r="AL157" s="18">
        <v>1.2259</v>
      </c>
      <c r="AM157" s="18">
        <v>0.92290000000000005</v>
      </c>
      <c r="AN157" s="18">
        <v>0.63080000000000003</v>
      </c>
      <c r="AO157" s="18">
        <v>0.36830000000000002</v>
      </c>
      <c r="AP157" s="18">
        <v>0.1072</v>
      </c>
      <c r="AQ157" s="18">
        <v>1.9800000000000002E-2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</row>
    <row r="158" spans="1:50" x14ac:dyDescent="0.25">
      <c r="A158" s="8" t="s">
        <v>204</v>
      </c>
      <c r="B158" s="10" t="s">
        <v>57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</row>
    <row r="159" spans="1:50" x14ac:dyDescent="0.25">
      <c r="A159" s="8" t="s">
        <v>206</v>
      </c>
      <c r="B159" s="10" t="s">
        <v>57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</row>
    <row r="160" spans="1:50" x14ac:dyDescent="0.25">
      <c r="A160" s="8" t="s">
        <v>208</v>
      </c>
      <c r="B160" s="10" t="s">
        <v>57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</row>
    <row r="161" spans="1:50" x14ac:dyDescent="0.25">
      <c r="A161" s="17" t="s">
        <v>379</v>
      </c>
      <c r="B161" s="13" t="s">
        <v>222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2.2000000000000001E-3</v>
      </c>
      <c r="K161" s="18">
        <v>3.1099999999999999E-2</v>
      </c>
      <c r="L161" s="18">
        <v>0.1454</v>
      </c>
      <c r="M161" s="18">
        <v>0.2883</v>
      </c>
      <c r="N161" s="18">
        <v>0.4637</v>
      </c>
      <c r="O161" s="18">
        <v>0.65490000000000004</v>
      </c>
      <c r="P161" s="18">
        <v>0.84860000000000002</v>
      </c>
      <c r="Q161" s="18">
        <v>1.0411999999999999</v>
      </c>
      <c r="R161" s="18">
        <v>1.2341</v>
      </c>
      <c r="S161" s="18">
        <v>1.4152</v>
      </c>
      <c r="T161" s="18">
        <v>1.5853999999999999</v>
      </c>
      <c r="U161" s="18">
        <v>1.7303999999999999</v>
      </c>
      <c r="V161" s="18">
        <v>1.8540000000000001</v>
      </c>
      <c r="W161" s="18">
        <v>1.9624999999999999</v>
      </c>
      <c r="X161" s="18">
        <v>2.0520999999999998</v>
      </c>
      <c r="Y161" s="18">
        <v>2.1156000000000001</v>
      </c>
      <c r="Z161" s="18">
        <v>2.1435</v>
      </c>
      <c r="AA161" s="18">
        <v>2.1516000000000002</v>
      </c>
      <c r="AB161" s="18">
        <v>2.1364999999999998</v>
      </c>
      <c r="AC161" s="18">
        <v>2.0857000000000001</v>
      </c>
      <c r="AD161" s="18">
        <v>2.0083000000000002</v>
      </c>
      <c r="AE161" s="18">
        <v>1.9158999999999999</v>
      </c>
      <c r="AF161" s="18">
        <v>1.7988999999999999</v>
      </c>
      <c r="AG161" s="18">
        <v>1.6745000000000001</v>
      </c>
      <c r="AH161" s="18">
        <v>1.5246999999999999</v>
      </c>
      <c r="AI161" s="18">
        <v>1.3561000000000001</v>
      </c>
      <c r="AJ161" s="18">
        <v>1.1525000000000001</v>
      </c>
      <c r="AK161" s="18">
        <v>0.96199999999999997</v>
      </c>
      <c r="AL161" s="18">
        <v>0.76619999999999999</v>
      </c>
      <c r="AM161" s="18">
        <v>0.57679999999999998</v>
      </c>
      <c r="AN161" s="18">
        <v>0.39419999999999999</v>
      </c>
      <c r="AO161" s="18">
        <v>0.23019999999999999</v>
      </c>
      <c r="AP161" s="18">
        <v>6.7000000000000004E-2</v>
      </c>
      <c r="AQ161" s="18">
        <v>1.24E-2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</row>
    <row r="162" spans="1:50" x14ac:dyDescent="0.25">
      <c r="A162" s="17" t="s">
        <v>381</v>
      </c>
      <c r="B162" s="13" t="s">
        <v>222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2.2000000000000001E-3</v>
      </c>
      <c r="K162" s="18">
        <v>3.1099999999999999E-2</v>
      </c>
      <c r="L162" s="18">
        <v>0.1454</v>
      </c>
      <c r="M162" s="18">
        <v>0.2883</v>
      </c>
      <c r="N162" s="18">
        <v>0.4637</v>
      </c>
      <c r="O162" s="18">
        <v>0.65490000000000004</v>
      </c>
      <c r="P162" s="18">
        <v>0.84860000000000002</v>
      </c>
      <c r="Q162" s="18">
        <v>1.0411999999999999</v>
      </c>
      <c r="R162" s="18">
        <v>1.2341</v>
      </c>
      <c r="S162" s="18">
        <v>1.4152</v>
      </c>
      <c r="T162" s="18">
        <v>1.5853999999999999</v>
      </c>
      <c r="U162" s="18">
        <v>1.7303999999999999</v>
      </c>
      <c r="V162" s="18">
        <v>1.8540000000000001</v>
      </c>
      <c r="W162" s="18">
        <v>1.9624999999999999</v>
      </c>
      <c r="X162" s="18">
        <v>2.0520999999999998</v>
      </c>
      <c r="Y162" s="18">
        <v>2.1156000000000001</v>
      </c>
      <c r="Z162" s="18">
        <v>2.1435</v>
      </c>
      <c r="AA162" s="18">
        <v>2.1516000000000002</v>
      </c>
      <c r="AB162" s="18">
        <v>2.1364999999999998</v>
      </c>
      <c r="AC162" s="18">
        <v>2.0857000000000001</v>
      </c>
      <c r="AD162" s="18">
        <v>2.0083000000000002</v>
      </c>
      <c r="AE162" s="18">
        <v>1.9158999999999999</v>
      </c>
      <c r="AF162" s="18">
        <v>1.7988999999999999</v>
      </c>
      <c r="AG162" s="18">
        <v>1.6745000000000001</v>
      </c>
      <c r="AH162" s="18">
        <v>1.5246999999999999</v>
      </c>
      <c r="AI162" s="18">
        <v>1.3561000000000001</v>
      </c>
      <c r="AJ162" s="18">
        <v>1.1525000000000001</v>
      </c>
      <c r="AK162" s="18">
        <v>0.96199999999999997</v>
      </c>
      <c r="AL162" s="18">
        <v>0.76619999999999999</v>
      </c>
      <c r="AM162" s="18">
        <v>0.57679999999999998</v>
      </c>
      <c r="AN162" s="18">
        <v>0.39419999999999999</v>
      </c>
      <c r="AO162" s="18">
        <v>0.23019999999999999</v>
      </c>
      <c r="AP162" s="18">
        <v>6.7000000000000004E-2</v>
      </c>
      <c r="AQ162" s="18">
        <v>1.24E-2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</row>
    <row r="163" spans="1:50" x14ac:dyDescent="0.25">
      <c r="A163" s="8" t="s">
        <v>210</v>
      </c>
      <c r="B163" s="10" t="s">
        <v>57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</row>
    <row r="164" spans="1:50" x14ac:dyDescent="0.25">
      <c r="A164" s="17" t="s">
        <v>383</v>
      </c>
      <c r="B164" s="13" t="s">
        <v>222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1.6999999999999999E-3</v>
      </c>
      <c r="K164" s="18">
        <v>2.4899999999999999E-2</v>
      </c>
      <c r="L164" s="18">
        <v>0.1163</v>
      </c>
      <c r="M164" s="18">
        <v>0.23069999999999999</v>
      </c>
      <c r="N164" s="18">
        <v>0.37090000000000001</v>
      </c>
      <c r="O164" s="18">
        <v>0.52400000000000002</v>
      </c>
      <c r="P164" s="18">
        <v>0.67889999999999995</v>
      </c>
      <c r="Q164" s="18">
        <v>0.83299999999999996</v>
      </c>
      <c r="R164" s="18">
        <v>0.98729999999999996</v>
      </c>
      <c r="S164" s="18">
        <v>1.1322000000000001</v>
      </c>
      <c r="T164" s="18">
        <v>1.2683</v>
      </c>
      <c r="U164" s="18">
        <v>1.3843000000000001</v>
      </c>
      <c r="V164" s="18">
        <v>1.4832000000000001</v>
      </c>
      <c r="W164" s="18">
        <v>1.57</v>
      </c>
      <c r="X164" s="18">
        <v>1.6416999999999999</v>
      </c>
      <c r="Y164" s="18">
        <v>1.6924999999999999</v>
      </c>
      <c r="Z164" s="18">
        <v>1.7148000000000001</v>
      </c>
      <c r="AA164" s="18">
        <v>1.7212000000000001</v>
      </c>
      <c r="AB164" s="18">
        <v>1.7092000000000001</v>
      </c>
      <c r="AC164" s="18">
        <v>1.6686000000000001</v>
      </c>
      <c r="AD164" s="18">
        <v>1.6067</v>
      </c>
      <c r="AE164" s="18">
        <v>1.5327999999999999</v>
      </c>
      <c r="AF164" s="18">
        <v>1.4391</v>
      </c>
      <c r="AG164" s="18">
        <v>1.3395999999999999</v>
      </c>
      <c r="AH164" s="18">
        <v>1.2198</v>
      </c>
      <c r="AI164" s="18">
        <v>1.0849</v>
      </c>
      <c r="AJ164" s="18">
        <v>0.92200000000000004</v>
      </c>
      <c r="AK164" s="18">
        <v>0.76959999999999995</v>
      </c>
      <c r="AL164" s="18">
        <v>0.61299999999999999</v>
      </c>
      <c r="AM164" s="18">
        <v>0.46150000000000002</v>
      </c>
      <c r="AN164" s="18">
        <v>0.31540000000000001</v>
      </c>
      <c r="AO164" s="18">
        <v>0.1842</v>
      </c>
      <c r="AP164" s="18">
        <v>5.3600000000000002E-2</v>
      </c>
      <c r="AQ164" s="18">
        <v>9.9000000000000008E-3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</row>
    <row r="165" spans="1:50" x14ac:dyDescent="0.25">
      <c r="A165" s="8" t="s">
        <v>212</v>
      </c>
      <c r="B165" s="10" t="s">
        <v>57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</row>
    <row r="166" spans="1:50" x14ac:dyDescent="0.25">
      <c r="A166" s="8" t="s">
        <v>214</v>
      </c>
      <c r="B166" s="10" t="s">
        <v>57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</row>
    <row r="167" spans="1:50" x14ac:dyDescent="0.25">
      <c r="A167" s="17" t="s">
        <v>385</v>
      </c>
      <c r="B167" s="13" t="s">
        <v>222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1.2999999999999999E-3</v>
      </c>
      <c r="K167" s="18">
        <v>1.8700000000000001E-2</v>
      </c>
      <c r="L167" s="18">
        <v>8.72E-2</v>
      </c>
      <c r="M167" s="18">
        <v>0.17299999999999999</v>
      </c>
      <c r="N167" s="18">
        <v>0.2782</v>
      </c>
      <c r="O167" s="18">
        <v>0.39300000000000002</v>
      </c>
      <c r="P167" s="18">
        <v>0.50919999999999999</v>
      </c>
      <c r="Q167" s="18">
        <v>0.62470000000000003</v>
      </c>
      <c r="R167" s="18">
        <v>0.74050000000000005</v>
      </c>
      <c r="S167" s="18">
        <v>0.84909999999999997</v>
      </c>
      <c r="T167" s="18">
        <v>0.95120000000000005</v>
      </c>
      <c r="U167" s="18">
        <v>1.0382</v>
      </c>
      <c r="V167" s="18">
        <v>1.1124000000000001</v>
      </c>
      <c r="W167" s="18">
        <v>1.1775</v>
      </c>
      <c r="X167" s="18">
        <v>1.2312000000000001</v>
      </c>
      <c r="Y167" s="18">
        <v>1.2694000000000001</v>
      </c>
      <c r="Z167" s="18">
        <v>1.2861</v>
      </c>
      <c r="AA167" s="18">
        <v>1.2908999999999999</v>
      </c>
      <c r="AB167" s="18">
        <v>1.2819</v>
      </c>
      <c r="AC167" s="18">
        <v>1.2514000000000001</v>
      </c>
      <c r="AD167" s="18">
        <v>1.2050000000000001</v>
      </c>
      <c r="AE167" s="18">
        <v>1.1496</v>
      </c>
      <c r="AF167" s="18">
        <v>1.0792999999999999</v>
      </c>
      <c r="AG167" s="18">
        <v>1.0046999999999999</v>
      </c>
      <c r="AH167" s="18">
        <v>0.91479999999999995</v>
      </c>
      <c r="AI167" s="18">
        <v>0.81369999999999998</v>
      </c>
      <c r="AJ167" s="18">
        <v>0.6915</v>
      </c>
      <c r="AK167" s="18">
        <v>0.57720000000000005</v>
      </c>
      <c r="AL167" s="18">
        <v>0.4597</v>
      </c>
      <c r="AM167" s="18">
        <v>0.34610000000000002</v>
      </c>
      <c r="AN167" s="18">
        <v>0.23649999999999999</v>
      </c>
      <c r="AO167" s="18">
        <v>0.1381</v>
      </c>
      <c r="AP167" s="18">
        <v>4.02E-2</v>
      </c>
      <c r="AQ167" s="18">
        <v>7.4000000000000003E-3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</row>
    <row r="168" spans="1:50" x14ac:dyDescent="0.25">
      <c r="A168" s="17" t="s">
        <v>387</v>
      </c>
      <c r="B168" s="13" t="s">
        <v>222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1.2999999999999999E-3</v>
      </c>
      <c r="K168" s="18">
        <v>1.8700000000000001E-2</v>
      </c>
      <c r="L168" s="18">
        <v>8.72E-2</v>
      </c>
      <c r="M168" s="18">
        <v>0.17299999999999999</v>
      </c>
      <c r="N168" s="18">
        <v>0.2782</v>
      </c>
      <c r="O168" s="18">
        <v>0.39300000000000002</v>
      </c>
      <c r="P168" s="18">
        <v>0.50919999999999999</v>
      </c>
      <c r="Q168" s="18">
        <v>0.62470000000000003</v>
      </c>
      <c r="R168" s="18">
        <v>0.74050000000000005</v>
      </c>
      <c r="S168" s="18">
        <v>0.84909999999999997</v>
      </c>
      <c r="T168" s="18">
        <v>0.95120000000000005</v>
      </c>
      <c r="U168" s="18">
        <v>1.0382</v>
      </c>
      <c r="V168" s="18">
        <v>1.1124000000000001</v>
      </c>
      <c r="W168" s="18">
        <v>1.1775</v>
      </c>
      <c r="X168" s="18">
        <v>1.2312000000000001</v>
      </c>
      <c r="Y168" s="18">
        <v>1.2694000000000001</v>
      </c>
      <c r="Z168" s="18">
        <v>1.2861</v>
      </c>
      <c r="AA168" s="18">
        <v>1.2908999999999999</v>
      </c>
      <c r="AB168" s="18">
        <v>1.2819</v>
      </c>
      <c r="AC168" s="18">
        <v>1.2514000000000001</v>
      </c>
      <c r="AD168" s="18">
        <v>1.2050000000000001</v>
      </c>
      <c r="AE168" s="18">
        <v>1.1496</v>
      </c>
      <c r="AF168" s="18">
        <v>1.0792999999999999</v>
      </c>
      <c r="AG168" s="18">
        <v>1.0046999999999999</v>
      </c>
      <c r="AH168" s="18">
        <v>0.91479999999999995</v>
      </c>
      <c r="AI168" s="18">
        <v>0.81369999999999998</v>
      </c>
      <c r="AJ168" s="18">
        <v>0.6915</v>
      </c>
      <c r="AK168" s="18">
        <v>0.57720000000000005</v>
      </c>
      <c r="AL168" s="18">
        <v>0.4597</v>
      </c>
      <c r="AM168" s="18">
        <v>0.34610000000000002</v>
      </c>
      <c r="AN168" s="18">
        <v>0.23649999999999999</v>
      </c>
      <c r="AO168" s="18">
        <v>0.1381</v>
      </c>
      <c r="AP168" s="18">
        <v>4.02E-2</v>
      </c>
      <c r="AQ168" s="18">
        <v>7.4000000000000003E-3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</row>
    <row r="169" spans="1:50" x14ac:dyDescent="0.25">
      <c r="A169" s="8" t="s">
        <v>216</v>
      </c>
      <c r="B169" s="10" t="s">
        <v>57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</row>
    <row r="170" spans="1:50" x14ac:dyDescent="0.25">
      <c r="A170" s="17" t="s">
        <v>389</v>
      </c>
      <c r="B170" s="13" t="s">
        <v>222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3.3999999999999998E-3</v>
      </c>
      <c r="K170" s="18">
        <v>4.9700000000000001E-2</v>
      </c>
      <c r="L170" s="18">
        <v>0.2326</v>
      </c>
      <c r="M170" s="18">
        <v>0.46129999999999999</v>
      </c>
      <c r="N170" s="18">
        <v>0.7419</v>
      </c>
      <c r="O170" s="18">
        <v>1.0479000000000001</v>
      </c>
      <c r="P170" s="18">
        <v>1.3576999999999999</v>
      </c>
      <c r="Q170" s="18">
        <v>1.6659999999999999</v>
      </c>
      <c r="R170" s="18">
        <v>1.9745999999999999</v>
      </c>
      <c r="S170" s="18">
        <v>2.2643</v>
      </c>
      <c r="T170" s="18">
        <v>2.5367000000000002</v>
      </c>
      <c r="U170" s="18">
        <v>2.7686000000000002</v>
      </c>
      <c r="V170" s="18">
        <v>2.9664000000000001</v>
      </c>
      <c r="W170" s="18">
        <v>3.14</v>
      </c>
      <c r="X170" s="18">
        <v>3.2833000000000001</v>
      </c>
      <c r="Y170" s="18">
        <v>3.3849999999999998</v>
      </c>
      <c r="Z170" s="18">
        <v>3.4296000000000002</v>
      </c>
      <c r="AA170" s="18">
        <v>3.4424999999999999</v>
      </c>
      <c r="AB170" s="18">
        <v>3.4182999999999999</v>
      </c>
      <c r="AC170" s="18">
        <v>3.3372000000000002</v>
      </c>
      <c r="AD170" s="18">
        <v>3.2132999999999998</v>
      </c>
      <c r="AE170" s="18">
        <v>3.0655000000000001</v>
      </c>
      <c r="AF170" s="18">
        <v>2.8782000000000001</v>
      </c>
      <c r="AG170" s="18">
        <v>2.6791</v>
      </c>
      <c r="AH170" s="18">
        <v>2.4396</v>
      </c>
      <c r="AI170" s="18">
        <v>2.1698</v>
      </c>
      <c r="AJ170" s="18">
        <v>1.8441000000000001</v>
      </c>
      <c r="AK170" s="18">
        <v>1.5391999999999999</v>
      </c>
      <c r="AL170" s="18">
        <v>1.2259</v>
      </c>
      <c r="AM170" s="18">
        <v>0.92290000000000005</v>
      </c>
      <c r="AN170" s="18">
        <v>0.63080000000000003</v>
      </c>
      <c r="AO170" s="18">
        <v>0.36830000000000002</v>
      </c>
      <c r="AP170" s="18">
        <v>0.1072</v>
      </c>
      <c r="AQ170" s="18">
        <v>1.9800000000000002E-2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</row>
    <row r="171" spans="1:50" x14ac:dyDescent="0.25">
      <c r="A171" s="17" t="s">
        <v>391</v>
      </c>
      <c r="B171" s="13" t="s">
        <v>222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2.5999999999999999E-3</v>
      </c>
      <c r="K171" s="18">
        <v>3.73E-2</v>
      </c>
      <c r="L171" s="18">
        <v>0.1744</v>
      </c>
      <c r="M171" s="18">
        <v>0.34599999999999997</v>
      </c>
      <c r="N171" s="18">
        <v>0.55640000000000001</v>
      </c>
      <c r="O171" s="18">
        <v>0.78590000000000004</v>
      </c>
      <c r="P171" s="18">
        <v>1.0183</v>
      </c>
      <c r="Q171" s="18">
        <v>1.2495000000000001</v>
      </c>
      <c r="R171" s="18">
        <v>1.4810000000000001</v>
      </c>
      <c r="S171" s="18">
        <v>1.6981999999999999</v>
      </c>
      <c r="T171" s="18">
        <v>1.9025000000000001</v>
      </c>
      <c r="U171" s="18">
        <v>2.0764</v>
      </c>
      <c r="V171" s="18">
        <v>2.2248000000000001</v>
      </c>
      <c r="W171" s="18">
        <v>2.355</v>
      </c>
      <c r="X171" s="18">
        <v>2.4624999999999999</v>
      </c>
      <c r="Y171" s="18">
        <v>2.5387</v>
      </c>
      <c r="Z171" s="18">
        <v>2.5722</v>
      </c>
      <c r="AA171" s="18">
        <v>2.5819000000000001</v>
      </c>
      <c r="AB171" s="18">
        <v>2.5636999999999999</v>
      </c>
      <c r="AC171" s="18">
        <v>2.5028999999999999</v>
      </c>
      <c r="AD171" s="18">
        <v>2.41</v>
      </c>
      <c r="AE171" s="18">
        <v>2.2991000000000001</v>
      </c>
      <c r="AF171" s="18">
        <v>2.1585999999999999</v>
      </c>
      <c r="AG171" s="18">
        <v>2.0093000000000001</v>
      </c>
      <c r="AH171" s="18">
        <v>1.8297000000000001</v>
      </c>
      <c r="AI171" s="18">
        <v>1.6274</v>
      </c>
      <c r="AJ171" s="18">
        <v>1.3831</v>
      </c>
      <c r="AK171" s="18">
        <v>1.1544000000000001</v>
      </c>
      <c r="AL171" s="18">
        <v>0.91949999999999998</v>
      </c>
      <c r="AM171" s="18">
        <v>0.69220000000000004</v>
      </c>
      <c r="AN171" s="18">
        <v>0.47310000000000002</v>
      </c>
      <c r="AO171" s="18">
        <v>0.2762</v>
      </c>
      <c r="AP171" s="18">
        <v>8.0399999999999999E-2</v>
      </c>
      <c r="AQ171" s="18">
        <v>1.4800000000000001E-2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</row>
    <row r="172" spans="1:50" x14ac:dyDescent="0.25">
      <c r="A172" s="17" t="s">
        <v>393</v>
      </c>
      <c r="B172" s="13" t="s">
        <v>222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3.0000000000000001E-3</v>
      </c>
      <c r="K172" s="18">
        <v>4.3499999999999997E-2</v>
      </c>
      <c r="L172" s="18">
        <v>0.20349999999999999</v>
      </c>
      <c r="M172" s="18">
        <v>0.4037</v>
      </c>
      <c r="N172" s="18">
        <v>0.64910000000000001</v>
      </c>
      <c r="O172" s="18">
        <v>0.91690000000000005</v>
      </c>
      <c r="P172" s="18">
        <v>1.1879999999999999</v>
      </c>
      <c r="Q172" s="18">
        <v>1.4577</v>
      </c>
      <c r="R172" s="18">
        <v>1.7278</v>
      </c>
      <c r="S172" s="18">
        <v>1.9813000000000001</v>
      </c>
      <c r="T172" s="18">
        <v>2.2195999999999998</v>
      </c>
      <c r="U172" s="18">
        <v>2.4224999999999999</v>
      </c>
      <c r="V172" s="18">
        <v>2.5956000000000001</v>
      </c>
      <c r="W172" s="18">
        <v>2.7475000000000001</v>
      </c>
      <c r="X172" s="18">
        <v>2.8729</v>
      </c>
      <c r="Y172" s="18">
        <v>2.9619</v>
      </c>
      <c r="Z172" s="18">
        <v>3.0009000000000001</v>
      </c>
      <c r="AA172" s="18">
        <v>3.0122</v>
      </c>
      <c r="AB172" s="18">
        <v>2.9910000000000001</v>
      </c>
      <c r="AC172" s="18">
        <v>2.92</v>
      </c>
      <c r="AD172" s="18">
        <v>2.8117000000000001</v>
      </c>
      <c r="AE172" s="18">
        <v>2.6823000000000001</v>
      </c>
      <c r="AF172" s="18">
        <v>2.5184000000000002</v>
      </c>
      <c r="AG172" s="18">
        <v>2.3441999999999998</v>
      </c>
      <c r="AH172" s="18">
        <v>2.1345999999999998</v>
      </c>
      <c r="AI172" s="18">
        <v>1.8986000000000001</v>
      </c>
      <c r="AJ172" s="18">
        <v>1.6135999999999999</v>
      </c>
      <c r="AK172" s="18">
        <v>1.3468</v>
      </c>
      <c r="AL172" s="18">
        <v>1.0727</v>
      </c>
      <c r="AM172" s="18">
        <v>0.80759999999999998</v>
      </c>
      <c r="AN172" s="18">
        <v>0.55189999999999995</v>
      </c>
      <c r="AO172" s="18">
        <v>0.32229999999999998</v>
      </c>
      <c r="AP172" s="18">
        <v>9.3799999999999994E-2</v>
      </c>
      <c r="AQ172" s="18">
        <v>1.7299999999999999E-2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</row>
    <row r="173" spans="1:50" x14ac:dyDescent="0.25">
      <c r="A173" s="8" t="s">
        <v>218</v>
      </c>
      <c r="B173" s="10" t="s">
        <v>57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</row>
    <row r="174" spans="1:50" x14ac:dyDescent="0.25">
      <c r="A174" s="17" t="s">
        <v>395</v>
      </c>
      <c r="B174" s="13" t="s">
        <v>222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3.3999999999999998E-3</v>
      </c>
      <c r="K174" s="18">
        <v>4.9700000000000001E-2</v>
      </c>
      <c r="L174" s="18">
        <v>0.2326</v>
      </c>
      <c r="M174" s="18">
        <v>0.46129999999999999</v>
      </c>
      <c r="N174" s="18">
        <v>0.7419</v>
      </c>
      <c r="O174" s="18">
        <v>1.0479000000000001</v>
      </c>
      <c r="P174" s="18">
        <v>1.3576999999999999</v>
      </c>
      <c r="Q174" s="18">
        <v>1.6659999999999999</v>
      </c>
      <c r="R174" s="18">
        <v>1.9745999999999999</v>
      </c>
      <c r="S174" s="18">
        <v>2.2643</v>
      </c>
      <c r="T174" s="18">
        <v>2.5367000000000002</v>
      </c>
      <c r="U174" s="18">
        <v>2.7686000000000002</v>
      </c>
      <c r="V174" s="18">
        <v>2.9664000000000001</v>
      </c>
      <c r="W174" s="18">
        <v>3.14</v>
      </c>
      <c r="X174" s="18">
        <v>3.2833000000000001</v>
      </c>
      <c r="Y174" s="18">
        <v>3.3849999999999998</v>
      </c>
      <c r="Z174" s="18">
        <v>3.4296000000000002</v>
      </c>
      <c r="AA174" s="18">
        <v>3.4424999999999999</v>
      </c>
      <c r="AB174" s="18">
        <v>3.4182999999999999</v>
      </c>
      <c r="AC174" s="18">
        <v>3.3372000000000002</v>
      </c>
      <c r="AD174" s="18">
        <v>3.2132999999999998</v>
      </c>
      <c r="AE174" s="18">
        <v>3.0655000000000001</v>
      </c>
      <c r="AF174" s="18">
        <v>2.8782000000000001</v>
      </c>
      <c r="AG174" s="18">
        <v>2.6791</v>
      </c>
      <c r="AH174" s="18">
        <v>2.4396</v>
      </c>
      <c r="AI174" s="18">
        <v>2.1698</v>
      </c>
      <c r="AJ174" s="18">
        <v>1.8441000000000001</v>
      </c>
      <c r="AK174" s="18">
        <v>1.5391999999999999</v>
      </c>
      <c r="AL174" s="18">
        <v>1.2259</v>
      </c>
      <c r="AM174" s="18">
        <v>0.92290000000000005</v>
      </c>
      <c r="AN174" s="18">
        <v>0.63080000000000003</v>
      </c>
      <c r="AO174" s="18">
        <v>0.36830000000000002</v>
      </c>
      <c r="AP174" s="18">
        <v>0.1072</v>
      </c>
      <c r="AQ174" s="18">
        <v>1.9800000000000002E-2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</row>
    <row r="175" spans="1:50" x14ac:dyDescent="0.25">
      <c r="A175" s="17" t="s">
        <v>397</v>
      </c>
      <c r="B175" s="13" t="s">
        <v>222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3.3999999999999998E-3</v>
      </c>
      <c r="K175" s="18">
        <v>4.9700000000000001E-2</v>
      </c>
      <c r="L175" s="18">
        <v>0.2326</v>
      </c>
      <c r="M175" s="18">
        <v>0.46129999999999999</v>
      </c>
      <c r="N175" s="18">
        <v>0.7419</v>
      </c>
      <c r="O175" s="18">
        <v>1.0479000000000001</v>
      </c>
      <c r="P175" s="18">
        <v>1.3576999999999999</v>
      </c>
      <c r="Q175" s="18">
        <v>1.6659999999999999</v>
      </c>
      <c r="R175" s="18">
        <v>1.9745999999999999</v>
      </c>
      <c r="S175" s="18">
        <v>2.2643</v>
      </c>
      <c r="T175" s="18">
        <v>2.5367000000000002</v>
      </c>
      <c r="U175" s="18">
        <v>2.7686000000000002</v>
      </c>
      <c r="V175" s="18">
        <v>2.9664000000000001</v>
      </c>
      <c r="W175" s="18">
        <v>3.14</v>
      </c>
      <c r="X175" s="18">
        <v>3.2833000000000001</v>
      </c>
      <c r="Y175" s="18">
        <v>3.3849999999999998</v>
      </c>
      <c r="Z175" s="18">
        <v>3.4296000000000002</v>
      </c>
      <c r="AA175" s="18">
        <v>3.4424999999999999</v>
      </c>
      <c r="AB175" s="18">
        <v>3.4182999999999999</v>
      </c>
      <c r="AC175" s="18">
        <v>3.3372000000000002</v>
      </c>
      <c r="AD175" s="18">
        <v>3.2132999999999998</v>
      </c>
      <c r="AE175" s="18">
        <v>3.0655000000000001</v>
      </c>
      <c r="AF175" s="18">
        <v>2.8782000000000001</v>
      </c>
      <c r="AG175" s="18">
        <v>2.6791</v>
      </c>
      <c r="AH175" s="18">
        <v>2.4396</v>
      </c>
      <c r="AI175" s="18">
        <v>2.1698</v>
      </c>
      <c r="AJ175" s="18">
        <v>1.8441000000000001</v>
      </c>
      <c r="AK175" s="18">
        <v>1.5391999999999999</v>
      </c>
      <c r="AL175" s="18">
        <v>1.2259</v>
      </c>
      <c r="AM175" s="18">
        <v>0.92290000000000005</v>
      </c>
      <c r="AN175" s="18">
        <v>0.63080000000000003</v>
      </c>
      <c r="AO175" s="18">
        <v>0.36830000000000002</v>
      </c>
      <c r="AP175" s="18">
        <v>0.1072</v>
      </c>
      <c r="AQ175" s="18">
        <v>1.9800000000000002E-2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</row>
    <row r="176" spans="1:50" x14ac:dyDescent="0.25">
      <c r="A176" s="17" t="s">
        <v>399</v>
      </c>
      <c r="B176" s="13" t="s">
        <v>222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3.3999999999999998E-3</v>
      </c>
      <c r="K176" s="18">
        <v>4.9700000000000001E-2</v>
      </c>
      <c r="L176" s="18">
        <v>0.2326</v>
      </c>
      <c r="M176" s="18">
        <v>0.46129999999999999</v>
      </c>
      <c r="N176" s="18">
        <v>0.7419</v>
      </c>
      <c r="O176" s="18">
        <v>1.0479000000000001</v>
      </c>
      <c r="P176" s="18">
        <v>1.3576999999999999</v>
      </c>
      <c r="Q176" s="18">
        <v>1.6659999999999999</v>
      </c>
      <c r="R176" s="18">
        <v>1.9745999999999999</v>
      </c>
      <c r="S176" s="18">
        <v>2.2643</v>
      </c>
      <c r="T176" s="18">
        <v>2.5367000000000002</v>
      </c>
      <c r="U176" s="18">
        <v>2.7686000000000002</v>
      </c>
      <c r="V176" s="18">
        <v>2.9664000000000001</v>
      </c>
      <c r="W176" s="18">
        <v>3.14</v>
      </c>
      <c r="X176" s="18">
        <v>3.2833000000000001</v>
      </c>
      <c r="Y176" s="18">
        <v>3.3849999999999998</v>
      </c>
      <c r="Z176" s="18">
        <v>3.4296000000000002</v>
      </c>
      <c r="AA176" s="18">
        <v>3.4424999999999999</v>
      </c>
      <c r="AB176" s="18">
        <v>3.4182999999999999</v>
      </c>
      <c r="AC176" s="18">
        <v>3.3372000000000002</v>
      </c>
      <c r="AD176" s="18">
        <v>3.2132999999999998</v>
      </c>
      <c r="AE176" s="18">
        <v>3.0655000000000001</v>
      </c>
      <c r="AF176" s="18">
        <v>2.8782000000000001</v>
      </c>
      <c r="AG176" s="18">
        <v>2.6791</v>
      </c>
      <c r="AH176" s="18">
        <v>2.4396</v>
      </c>
      <c r="AI176" s="18">
        <v>2.1698</v>
      </c>
      <c r="AJ176" s="18">
        <v>1.8441000000000001</v>
      </c>
      <c r="AK176" s="18">
        <v>1.5391999999999999</v>
      </c>
      <c r="AL176" s="18">
        <v>1.2259</v>
      </c>
      <c r="AM176" s="18">
        <v>0.92290000000000005</v>
      </c>
      <c r="AN176" s="18">
        <v>0.63080000000000003</v>
      </c>
      <c r="AO176" s="18">
        <v>0.36830000000000002</v>
      </c>
      <c r="AP176" s="18">
        <v>0.1072</v>
      </c>
      <c r="AQ176" s="18">
        <v>1.9800000000000002E-2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7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451</v>
      </c>
    </row>
    <row r="2" spans="1:50" x14ac:dyDescent="0.25">
      <c r="A2" s="29" t="s">
        <v>452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403</v>
      </c>
      <c r="D4" s="5" t="s">
        <v>404</v>
      </c>
      <c r="E4" s="5" t="s">
        <v>405</v>
      </c>
      <c r="F4" s="5" t="s">
        <v>406</v>
      </c>
      <c r="G4" s="5" t="s">
        <v>407</v>
      </c>
      <c r="H4" s="5" t="s">
        <v>408</v>
      </c>
      <c r="I4" s="5" t="s">
        <v>409</v>
      </c>
      <c r="J4" s="5" t="s">
        <v>410</v>
      </c>
      <c r="K4" s="5" t="s">
        <v>411</v>
      </c>
      <c r="L4" s="5" t="s">
        <v>412</v>
      </c>
      <c r="M4" s="5" t="s">
        <v>413</v>
      </c>
      <c r="N4" s="5" t="s">
        <v>414</v>
      </c>
      <c r="O4" s="5" t="s">
        <v>415</v>
      </c>
      <c r="P4" s="5" t="s">
        <v>416</v>
      </c>
      <c r="Q4" s="5" t="s">
        <v>417</v>
      </c>
      <c r="R4" s="5" t="s">
        <v>418</v>
      </c>
      <c r="S4" s="5" t="s">
        <v>419</v>
      </c>
      <c r="T4" s="5" t="s">
        <v>420</v>
      </c>
      <c r="U4" s="5" t="s">
        <v>421</v>
      </c>
      <c r="V4" s="5" t="s">
        <v>422</v>
      </c>
      <c r="W4" s="5" t="s">
        <v>423</v>
      </c>
      <c r="X4" s="5" t="s">
        <v>424</v>
      </c>
      <c r="Y4" s="5" t="s">
        <v>425</v>
      </c>
      <c r="Z4" s="5" t="s">
        <v>426</v>
      </c>
      <c r="AA4" s="5" t="s">
        <v>427</v>
      </c>
      <c r="AB4" s="5" t="s">
        <v>428</v>
      </c>
      <c r="AC4" s="5" t="s">
        <v>429</v>
      </c>
      <c r="AD4" s="5" t="s">
        <v>430</v>
      </c>
      <c r="AE4" s="5" t="s">
        <v>431</v>
      </c>
      <c r="AF4" s="5" t="s">
        <v>432</v>
      </c>
      <c r="AG4" s="5" t="s">
        <v>433</v>
      </c>
      <c r="AH4" s="5" t="s">
        <v>434</v>
      </c>
      <c r="AI4" s="5" t="s">
        <v>435</v>
      </c>
      <c r="AJ4" s="5" t="s">
        <v>436</v>
      </c>
      <c r="AK4" s="5" t="s">
        <v>437</v>
      </c>
      <c r="AL4" s="5" t="s">
        <v>438</v>
      </c>
      <c r="AM4" s="5" t="s">
        <v>439</v>
      </c>
      <c r="AN4" s="5" t="s">
        <v>440</v>
      </c>
      <c r="AO4" s="5" t="s">
        <v>441</v>
      </c>
      <c r="AP4" s="5" t="s">
        <v>442</v>
      </c>
      <c r="AQ4" s="5" t="s">
        <v>443</v>
      </c>
      <c r="AR4" s="5" t="s">
        <v>444</v>
      </c>
      <c r="AS4" s="5" t="s">
        <v>445</v>
      </c>
      <c r="AT4" s="5" t="s">
        <v>446</v>
      </c>
      <c r="AU4" s="5" t="s">
        <v>447</v>
      </c>
      <c r="AV4" s="5" t="s">
        <v>448</v>
      </c>
      <c r="AW4" s="5" t="s">
        <v>449</v>
      </c>
      <c r="AX4" s="5" t="s">
        <v>450</v>
      </c>
    </row>
    <row r="5" spans="1:50" x14ac:dyDescent="0.25">
      <c r="A5" s="8" t="s">
        <v>55</v>
      </c>
      <c r="B5" s="10" t="s">
        <v>57</v>
      </c>
      <c r="C5" s="16">
        <v>0.11600000000000001</v>
      </c>
      <c r="D5" s="16">
        <v>0.14349999999999999</v>
      </c>
      <c r="E5" s="16">
        <v>5.3999999999999999E-2</v>
      </c>
      <c r="F5" s="16">
        <v>0.1573</v>
      </c>
      <c r="G5" s="16">
        <v>0.1022</v>
      </c>
      <c r="H5" s="16">
        <v>5.3999999999999999E-2</v>
      </c>
      <c r="I5" s="16">
        <v>5.3999999999999999E-2</v>
      </c>
      <c r="J5" s="16">
        <v>0.11600000000000001</v>
      </c>
      <c r="K5" s="16">
        <v>0.14349999999999999</v>
      </c>
      <c r="L5" s="16">
        <v>5.3999999999999999E-2</v>
      </c>
      <c r="M5" s="16">
        <v>7.4700000000000003E-2</v>
      </c>
      <c r="N5" s="16">
        <v>0.18479999999999999</v>
      </c>
      <c r="O5" s="16">
        <v>5.3999999999999999E-2</v>
      </c>
      <c r="P5" s="16">
        <v>0.19170000000000001</v>
      </c>
      <c r="Q5" s="16">
        <v>6.7799999999999999E-2</v>
      </c>
      <c r="R5" s="16">
        <v>5.3999999999999999E-2</v>
      </c>
      <c r="S5" s="16">
        <v>5.3999999999999999E-2</v>
      </c>
      <c r="T5" s="16">
        <v>0.14349999999999999</v>
      </c>
      <c r="U5" s="16">
        <v>2.0585</v>
      </c>
      <c r="V5" s="16">
        <v>0.64770000000000005</v>
      </c>
      <c r="W5" s="16">
        <v>0.10100000000000001</v>
      </c>
      <c r="X5" s="16">
        <v>0.25459999999999999</v>
      </c>
      <c r="Y5" s="16">
        <v>0.188</v>
      </c>
      <c r="Z5" s="16">
        <v>0.33539999999999998</v>
      </c>
      <c r="AA5" s="16">
        <v>0.41299999999999998</v>
      </c>
      <c r="AB5" s="16">
        <v>5.3999999999999999E-2</v>
      </c>
      <c r="AC5" s="16">
        <v>0.16420000000000001</v>
      </c>
      <c r="AD5" s="16">
        <v>9.5299999999999996E-2</v>
      </c>
      <c r="AE5" s="16">
        <v>5.3999999999999999E-2</v>
      </c>
      <c r="AF5" s="16">
        <v>0.20549999999999999</v>
      </c>
      <c r="AG5" s="16">
        <v>5.3999999999999999E-2</v>
      </c>
      <c r="AH5" s="16">
        <v>5.3999999999999999E-2</v>
      </c>
      <c r="AI5" s="16">
        <v>0.216</v>
      </c>
      <c r="AJ5" s="16">
        <v>0.10390000000000001</v>
      </c>
      <c r="AK5" s="16">
        <v>0.30409999999999998</v>
      </c>
      <c r="AL5" s="16">
        <v>5.3999999999999999E-2</v>
      </c>
      <c r="AM5" s="16">
        <v>0.1229</v>
      </c>
      <c r="AN5" s="16">
        <v>0.43969999999999998</v>
      </c>
      <c r="AO5" s="16">
        <v>0.32219999999999999</v>
      </c>
      <c r="AP5" s="16">
        <v>0.56059999999999999</v>
      </c>
      <c r="AQ5" s="16">
        <v>0.45779999999999998</v>
      </c>
      <c r="AR5" s="16">
        <v>1.3997999999999999</v>
      </c>
      <c r="AS5" s="16">
        <v>0.49759999999999999</v>
      </c>
      <c r="AT5" s="16">
        <v>0.36280000000000001</v>
      </c>
      <c r="AU5" s="16">
        <v>0.53369999999999995</v>
      </c>
      <c r="AV5" s="16">
        <v>0.28399999999999997</v>
      </c>
      <c r="AW5" s="16">
        <v>0.4844</v>
      </c>
      <c r="AX5" s="16">
        <v>0.1515</v>
      </c>
    </row>
    <row r="6" spans="1:50" x14ac:dyDescent="0.25">
      <c r="A6" s="8" t="s">
        <v>58</v>
      </c>
      <c r="B6" s="10" t="s">
        <v>57</v>
      </c>
      <c r="C6" s="16">
        <v>0.1295</v>
      </c>
      <c r="D6" s="16">
        <v>8.2299999999999998E-2</v>
      </c>
      <c r="E6" s="16">
        <v>0.1106</v>
      </c>
      <c r="F6" s="16">
        <v>0.1012</v>
      </c>
      <c r="G6" s="16">
        <v>9.1700000000000004E-2</v>
      </c>
      <c r="H6" s="16">
        <v>5.3999999999999999E-2</v>
      </c>
      <c r="I6" s="16">
        <v>8.6999999999999994E-2</v>
      </c>
      <c r="J6" s="16">
        <v>0.10589999999999999</v>
      </c>
      <c r="K6" s="16">
        <v>5.3999999999999999E-2</v>
      </c>
      <c r="L6" s="16">
        <v>5.3999999999999999E-2</v>
      </c>
      <c r="M6" s="16">
        <v>5.3999999999999999E-2</v>
      </c>
      <c r="N6" s="16">
        <v>6.3399999999999998E-2</v>
      </c>
      <c r="O6" s="16">
        <v>0.1295</v>
      </c>
      <c r="P6" s="16">
        <v>5.3999999999999999E-2</v>
      </c>
      <c r="Q6" s="16">
        <v>0.16980000000000001</v>
      </c>
      <c r="R6" s="16">
        <v>2.0508999999999999</v>
      </c>
      <c r="S6" s="16">
        <v>1.8305</v>
      </c>
      <c r="T6" s="16">
        <v>1.1694</v>
      </c>
      <c r="U6" s="16">
        <v>0.41139999999999999</v>
      </c>
      <c r="V6" s="16">
        <v>1.3353999999999999</v>
      </c>
      <c r="W6" s="16">
        <v>5.3999999999999999E-2</v>
      </c>
      <c r="X6" s="16">
        <v>5.3999999999999999E-2</v>
      </c>
      <c r="Y6" s="16">
        <v>5.3999999999999999E-2</v>
      </c>
      <c r="Z6" s="16">
        <v>0.15790000000000001</v>
      </c>
      <c r="AA6" s="16">
        <v>5.3999999999999999E-2</v>
      </c>
      <c r="AB6" s="16">
        <v>0.1389</v>
      </c>
      <c r="AC6" s="16">
        <v>5.3999999999999999E-2</v>
      </c>
      <c r="AD6" s="16">
        <v>0.1389</v>
      </c>
      <c r="AE6" s="16">
        <v>5.3999999999999999E-2</v>
      </c>
      <c r="AF6" s="16">
        <v>0.1648</v>
      </c>
      <c r="AG6" s="16">
        <v>0.376</v>
      </c>
      <c r="AH6" s="16">
        <v>0.14530000000000001</v>
      </c>
      <c r="AI6" s="16">
        <v>8.6400000000000005E-2</v>
      </c>
      <c r="AJ6" s="16">
        <v>0.4269</v>
      </c>
      <c r="AK6" s="16">
        <v>0.49640000000000001</v>
      </c>
      <c r="AL6" s="16">
        <v>6.6600000000000006E-2</v>
      </c>
      <c r="AM6" s="16">
        <v>0.2591</v>
      </c>
      <c r="AN6" s="16">
        <v>0.23069999999999999</v>
      </c>
      <c r="AO6" s="16">
        <v>0.29549999999999998</v>
      </c>
      <c r="AP6" s="16">
        <v>5.3999999999999999E-2</v>
      </c>
      <c r="AQ6" s="16">
        <v>5.3999999999999999E-2</v>
      </c>
      <c r="AR6" s="16">
        <v>5.3999999999999999E-2</v>
      </c>
      <c r="AS6" s="16">
        <v>0.36009999999999998</v>
      </c>
      <c r="AT6" s="16">
        <v>0.40620000000000001</v>
      </c>
      <c r="AU6" s="16">
        <v>0.43659999999999999</v>
      </c>
      <c r="AV6" s="16">
        <v>0.44500000000000001</v>
      </c>
      <c r="AW6" s="16">
        <v>0.28949999999999998</v>
      </c>
      <c r="AX6" s="16">
        <v>0.12479999999999999</v>
      </c>
    </row>
    <row r="7" spans="1:50" x14ac:dyDescent="0.25">
      <c r="A7" s="17" t="s">
        <v>220</v>
      </c>
      <c r="B7" s="13" t="s">
        <v>222</v>
      </c>
      <c r="C7" s="18">
        <v>4.8000000000000001E-2</v>
      </c>
      <c r="D7" s="18">
        <v>0.10050000000000001</v>
      </c>
      <c r="E7" s="18">
        <v>0.30370000000000003</v>
      </c>
      <c r="F7" s="18">
        <v>7.6899999999999996E-2</v>
      </c>
      <c r="G7" s="18">
        <v>0.1203</v>
      </c>
      <c r="H7" s="18">
        <v>0.26900000000000002</v>
      </c>
      <c r="I7" s="18">
        <v>0.1062</v>
      </c>
      <c r="J7" s="18">
        <v>0.2394</v>
      </c>
      <c r="K7" s="18">
        <v>0.1792</v>
      </c>
      <c r="L7" s="18">
        <v>4.8000000000000001E-2</v>
      </c>
      <c r="M7" s="18">
        <v>0.2621</v>
      </c>
      <c r="N7" s="18">
        <v>0.3604</v>
      </c>
      <c r="O7" s="18">
        <v>0.21609999999999999</v>
      </c>
      <c r="P7" s="18">
        <v>1.5606</v>
      </c>
      <c r="Q7" s="18">
        <v>0.29339999999999999</v>
      </c>
      <c r="R7" s="18">
        <v>1.4220999999999999</v>
      </c>
      <c r="S7" s="18">
        <v>0.5454</v>
      </c>
      <c r="T7" s="18">
        <v>0.32729999999999998</v>
      </c>
      <c r="U7" s="18">
        <v>0.57620000000000005</v>
      </c>
      <c r="V7" s="18">
        <v>0.53849999999999998</v>
      </c>
      <c r="W7" s="18">
        <v>0.25030000000000002</v>
      </c>
      <c r="X7" s="18">
        <v>0.39739999999999998</v>
      </c>
      <c r="Y7" s="18">
        <v>5.7200000000000001E-2</v>
      </c>
      <c r="Z7" s="18">
        <v>4.8000000000000001E-2</v>
      </c>
      <c r="AA7" s="18">
        <v>0.31469999999999998</v>
      </c>
      <c r="AB7" s="18">
        <v>0.51239999999999997</v>
      </c>
      <c r="AC7" s="18">
        <v>4.8000000000000001E-2</v>
      </c>
      <c r="AD7" s="18">
        <v>0.2838</v>
      </c>
      <c r="AE7" s="18">
        <v>0.14929999999999999</v>
      </c>
      <c r="AF7" s="18">
        <v>4.8000000000000001E-2</v>
      </c>
      <c r="AG7" s="18">
        <v>0.3634</v>
      </c>
      <c r="AH7" s="18">
        <v>6.9699999999999998E-2</v>
      </c>
      <c r="AI7" s="18">
        <v>4.8000000000000001E-2</v>
      </c>
      <c r="AJ7" s="18">
        <v>0.1615</v>
      </c>
      <c r="AK7" s="18">
        <v>0.31940000000000002</v>
      </c>
      <c r="AL7" s="18">
        <v>9.4299999999999995E-2</v>
      </c>
      <c r="AM7" s="18">
        <v>1.3533999999999999</v>
      </c>
      <c r="AN7" s="18">
        <v>0.2009</v>
      </c>
      <c r="AO7" s="18">
        <v>0.30230000000000001</v>
      </c>
      <c r="AP7" s="18">
        <v>0.57350000000000001</v>
      </c>
      <c r="AQ7" s="18">
        <v>0.23669999999999999</v>
      </c>
      <c r="AR7" s="18">
        <v>0.4093</v>
      </c>
      <c r="AS7" s="18">
        <v>0.52280000000000004</v>
      </c>
      <c r="AT7" s="18">
        <v>1.2306999999999999</v>
      </c>
      <c r="AU7" s="18">
        <v>0.68059999999999998</v>
      </c>
      <c r="AV7" s="18">
        <v>0.74990000000000001</v>
      </c>
      <c r="AW7" s="18">
        <v>0.5675</v>
      </c>
      <c r="AX7" s="18">
        <v>0.50049999999999994</v>
      </c>
    </row>
    <row r="8" spans="1:50" x14ac:dyDescent="0.25">
      <c r="A8" s="17" t="s">
        <v>223</v>
      </c>
      <c r="B8" s="13" t="s">
        <v>222</v>
      </c>
      <c r="C8" s="18">
        <v>4.9000000000000002E-2</v>
      </c>
      <c r="D8" s="18">
        <v>4.9000000000000002E-2</v>
      </c>
      <c r="E8" s="18">
        <v>4.9000000000000002E-2</v>
      </c>
      <c r="F8" s="18">
        <v>4.9000000000000002E-2</v>
      </c>
      <c r="G8" s="18">
        <v>4.9000000000000002E-2</v>
      </c>
      <c r="H8" s="18">
        <v>4.9000000000000002E-2</v>
      </c>
      <c r="I8" s="18">
        <v>4.9000000000000002E-2</v>
      </c>
      <c r="J8" s="18">
        <v>4.9000000000000002E-2</v>
      </c>
      <c r="K8" s="18">
        <v>4.9000000000000002E-2</v>
      </c>
      <c r="L8" s="18">
        <v>4.9000000000000002E-2</v>
      </c>
      <c r="M8" s="18">
        <v>4.9000000000000002E-2</v>
      </c>
      <c r="N8" s="18">
        <v>4.9000000000000002E-2</v>
      </c>
      <c r="O8" s="18">
        <v>4.9000000000000002E-2</v>
      </c>
      <c r="P8" s="18">
        <v>4.9000000000000002E-2</v>
      </c>
      <c r="Q8" s="18">
        <v>0.10630000000000001</v>
      </c>
      <c r="R8" s="18">
        <v>0.1116</v>
      </c>
      <c r="S8" s="18">
        <v>0.1449</v>
      </c>
      <c r="T8" s="18">
        <v>1.0045999999999999</v>
      </c>
      <c r="U8" s="18">
        <v>0.1016</v>
      </c>
      <c r="V8" s="18">
        <v>9.2399999999999996E-2</v>
      </c>
      <c r="W8" s="18">
        <v>7.3599999999999999E-2</v>
      </c>
      <c r="X8" s="18">
        <v>4.9000000000000002E-2</v>
      </c>
      <c r="Y8" s="18">
        <v>7.1599999999999997E-2</v>
      </c>
      <c r="Z8" s="18">
        <v>0.1202</v>
      </c>
      <c r="AA8" s="18">
        <v>0.18029999999999999</v>
      </c>
      <c r="AB8" s="18">
        <v>0.1701</v>
      </c>
      <c r="AC8" s="18">
        <v>0.93489999999999995</v>
      </c>
      <c r="AD8" s="18">
        <v>0.27729999999999999</v>
      </c>
      <c r="AE8" s="18">
        <v>0.49469999999999997</v>
      </c>
      <c r="AF8" s="18">
        <v>0.13300000000000001</v>
      </c>
      <c r="AG8" s="18">
        <v>4.9000000000000002E-2</v>
      </c>
      <c r="AH8" s="18">
        <v>0.50260000000000005</v>
      </c>
      <c r="AI8" s="18">
        <v>1.3947000000000001</v>
      </c>
      <c r="AJ8" s="18">
        <v>0.41739999999999999</v>
      </c>
      <c r="AK8" s="18">
        <v>0.10249999999999999</v>
      </c>
      <c r="AL8" s="18">
        <v>0.4385</v>
      </c>
      <c r="AM8" s="18">
        <v>0.21149999999999999</v>
      </c>
      <c r="AN8" s="18">
        <v>0.37980000000000003</v>
      </c>
      <c r="AO8" s="18">
        <v>4.9000000000000002E-2</v>
      </c>
      <c r="AP8" s="18">
        <v>4.9000000000000002E-2</v>
      </c>
      <c r="AQ8" s="18">
        <v>4.9000000000000002E-2</v>
      </c>
      <c r="AR8" s="18">
        <v>4.9000000000000002E-2</v>
      </c>
      <c r="AS8" s="18">
        <v>4.9000000000000002E-2</v>
      </c>
      <c r="AT8" s="18">
        <v>4.9000000000000002E-2</v>
      </c>
      <c r="AU8" s="18">
        <v>4.9000000000000002E-2</v>
      </c>
      <c r="AV8" s="18">
        <v>4.9000000000000002E-2</v>
      </c>
      <c r="AW8" s="18">
        <v>0.39639999999999997</v>
      </c>
      <c r="AX8" s="18">
        <v>0.1651</v>
      </c>
    </row>
    <row r="9" spans="1:50" x14ac:dyDescent="0.25">
      <c r="A9" s="8" t="s">
        <v>60</v>
      </c>
      <c r="B9" s="10" t="s">
        <v>57</v>
      </c>
      <c r="C9" s="16">
        <v>0.38400000000000001</v>
      </c>
      <c r="D9" s="16">
        <v>5.3999999999999999E-2</v>
      </c>
      <c r="E9" s="16">
        <v>0.34610000000000002</v>
      </c>
      <c r="F9" s="16">
        <v>7.3899999999999993E-2</v>
      </c>
      <c r="G9" s="16">
        <v>0.34150000000000003</v>
      </c>
      <c r="H9" s="16">
        <v>0.1144</v>
      </c>
      <c r="I9" s="16">
        <v>0.30909999999999999</v>
      </c>
      <c r="J9" s="16">
        <v>0.1827</v>
      </c>
      <c r="K9" s="16">
        <v>0.15920000000000001</v>
      </c>
      <c r="L9" s="16">
        <v>0.1598</v>
      </c>
      <c r="M9" s="16">
        <v>0.23880000000000001</v>
      </c>
      <c r="N9" s="16">
        <v>0.1618</v>
      </c>
      <c r="O9" s="16">
        <v>0.2782</v>
      </c>
      <c r="P9" s="16">
        <v>0.18790000000000001</v>
      </c>
      <c r="Q9" s="16">
        <v>0.26</v>
      </c>
      <c r="R9" s="16">
        <v>0.16220000000000001</v>
      </c>
      <c r="S9" s="16">
        <v>0.16350000000000001</v>
      </c>
      <c r="T9" s="16">
        <v>0.28910000000000002</v>
      </c>
      <c r="U9" s="16">
        <v>0.31009999999999999</v>
      </c>
      <c r="V9" s="16">
        <v>0.36130000000000001</v>
      </c>
      <c r="W9" s="16">
        <v>0.44700000000000001</v>
      </c>
      <c r="X9" s="16">
        <v>2.2094999999999998</v>
      </c>
      <c r="Y9" s="16">
        <v>2.5968</v>
      </c>
      <c r="Z9" s="16">
        <v>1.9510000000000001</v>
      </c>
      <c r="AA9" s="16">
        <v>0.20899999999999999</v>
      </c>
      <c r="AB9" s="16">
        <v>0.26390000000000002</v>
      </c>
      <c r="AC9" s="16">
        <v>0.23980000000000001</v>
      </c>
      <c r="AD9" s="16">
        <v>1.1335</v>
      </c>
      <c r="AE9" s="16">
        <v>0.60560000000000003</v>
      </c>
      <c r="AF9" s="16">
        <v>0.39960000000000001</v>
      </c>
      <c r="AG9" s="16">
        <v>0.246</v>
      </c>
      <c r="AH9" s="16">
        <v>0.14269999999999999</v>
      </c>
      <c r="AI9" s="16">
        <v>0.14180000000000001</v>
      </c>
      <c r="AJ9" s="16">
        <v>0.70820000000000005</v>
      </c>
      <c r="AK9" s="16">
        <v>0.70599999999999996</v>
      </c>
      <c r="AL9" s="16">
        <v>0.71919999999999995</v>
      </c>
      <c r="AM9" s="16">
        <v>0.84930000000000005</v>
      </c>
      <c r="AN9" s="16">
        <v>0.49530000000000002</v>
      </c>
      <c r="AO9" s="16">
        <v>0.71289999999999998</v>
      </c>
      <c r="AP9" s="16">
        <v>0.36609999999999998</v>
      </c>
      <c r="AQ9" s="16">
        <v>0.22409999999999999</v>
      </c>
      <c r="AR9" s="16">
        <v>0.1353</v>
      </c>
      <c r="AS9" s="16">
        <v>0.28870000000000001</v>
      </c>
      <c r="AT9" s="16">
        <v>8.4900000000000003E-2</v>
      </c>
      <c r="AU9" s="16">
        <v>0.20960000000000001</v>
      </c>
      <c r="AV9" s="16">
        <v>5.3999999999999999E-2</v>
      </c>
      <c r="AW9" s="16">
        <v>0.40589999999999998</v>
      </c>
      <c r="AX9" s="16">
        <v>6.6000000000000003E-2</v>
      </c>
    </row>
    <row r="10" spans="1:50" x14ac:dyDescent="0.25">
      <c r="A10" s="17" t="s">
        <v>225</v>
      </c>
      <c r="B10" s="13" t="s">
        <v>222</v>
      </c>
      <c r="C10" s="18">
        <v>5.3999999999999999E-2</v>
      </c>
      <c r="D10" s="18">
        <v>0.2155</v>
      </c>
      <c r="E10" s="18">
        <v>5.8299999999999998E-2</v>
      </c>
      <c r="F10" s="18">
        <v>5.3999999999999999E-2</v>
      </c>
      <c r="G10" s="18">
        <v>0.13150000000000001</v>
      </c>
      <c r="H10" s="18">
        <v>0.14230000000000001</v>
      </c>
      <c r="I10" s="18">
        <v>5.3999999999999999E-2</v>
      </c>
      <c r="J10" s="18">
        <v>5.3999999999999999E-2</v>
      </c>
      <c r="K10" s="18">
        <v>0.14230000000000001</v>
      </c>
      <c r="L10" s="18">
        <v>0.11849999999999999</v>
      </c>
      <c r="M10" s="18">
        <v>9.8500000000000004E-2</v>
      </c>
      <c r="N10" s="18">
        <v>0.1323</v>
      </c>
      <c r="O10" s="18">
        <v>0.1099</v>
      </c>
      <c r="P10" s="18">
        <v>5.3999999999999999E-2</v>
      </c>
      <c r="Q10" s="18">
        <v>0.14230000000000001</v>
      </c>
      <c r="R10" s="18">
        <v>5.3999999999999999E-2</v>
      </c>
      <c r="S10" s="18">
        <v>0.13150000000000001</v>
      </c>
      <c r="T10" s="18">
        <v>0.19420000000000001</v>
      </c>
      <c r="U10" s="18">
        <v>1.6658999999999999</v>
      </c>
      <c r="V10" s="18">
        <v>1.4540999999999999</v>
      </c>
      <c r="W10" s="18">
        <v>1.1433</v>
      </c>
      <c r="X10" s="18">
        <v>0.19739999999999999</v>
      </c>
      <c r="Y10" s="18">
        <v>0.23469999999999999</v>
      </c>
      <c r="Z10" s="18">
        <v>0.61950000000000005</v>
      </c>
      <c r="AA10" s="18">
        <v>0.55479999999999996</v>
      </c>
      <c r="AB10" s="18">
        <v>0.72740000000000005</v>
      </c>
      <c r="AC10" s="18">
        <v>0.40089999999999998</v>
      </c>
      <c r="AD10" s="18">
        <v>0.1089</v>
      </c>
      <c r="AE10" s="18">
        <v>0.1653</v>
      </c>
      <c r="AF10" s="18">
        <v>0.1021</v>
      </c>
      <c r="AG10" s="18">
        <v>0.30199999999999999</v>
      </c>
      <c r="AH10" s="18">
        <v>0.71930000000000005</v>
      </c>
      <c r="AI10" s="18">
        <v>0.15690000000000001</v>
      </c>
      <c r="AJ10" s="18">
        <v>0.14399999999999999</v>
      </c>
      <c r="AK10" s="18">
        <v>0.24979999999999999</v>
      </c>
      <c r="AL10" s="18">
        <v>5.3999999999999999E-2</v>
      </c>
      <c r="AM10" s="18">
        <v>0.28549999999999998</v>
      </c>
      <c r="AN10" s="18">
        <v>5.3999999999999999E-2</v>
      </c>
      <c r="AO10" s="18">
        <v>0.14230000000000001</v>
      </c>
      <c r="AP10" s="18">
        <v>0.13150000000000001</v>
      </c>
      <c r="AQ10" s="18">
        <v>7.2900000000000006E-2</v>
      </c>
      <c r="AR10" s="18">
        <v>0.20080000000000001</v>
      </c>
      <c r="AS10" s="18">
        <v>5.8299999999999998E-2</v>
      </c>
      <c r="AT10" s="18">
        <v>0.3604</v>
      </c>
      <c r="AU10" s="18">
        <v>0.4995</v>
      </c>
      <c r="AV10" s="18">
        <v>0.436</v>
      </c>
      <c r="AW10" s="18">
        <v>0.59560000000000002</v>
      </c>
      <c r="AX10" s="18">
        <v>0.74270000000000003</v>
      </c>
    </row>
    <row r="11" spans="1:50" x14ac:dyDescent="0.25">
      <c r="A11" s="17" t="s">
        <v>227</v>
      </c>
      <c r="B11" s="13" t="s">
        <v>222</v>
      </c>
      <c r="C11" s="18">
        <v>0.1166</v>
      </c>
      <c r="D11" s="18">
        <v>8.5199999999999998E-2</v>
      </c>
      <c r="E11" s="18">
        <v>5.4399999999999997E-2</v>
      </c>
      <c r="F11" s="18">
        <v>0.22289999999999999</v>
      </c>
      <c r="G11" s="18">
        <v>6.7000000000000004E-2</v>
      </c>
      <c r="H11" s="18">
        <v>0.10050000000000001</v>
      </c>
      <c r="I11" s="18">
        <v>4.5999999999999999E-2</v>
      </c>
      <c r="J11" s="18">
        <v>0.15579999999999999</v>
      </c>
      <c r="K11" s="18">
        <v>0.12139999999999999</v>
      </c>
      <c r="L11" s="18">
        <v>4.5999999999999999E-2</v>
      </c>
      <c r="M11" s="18">
        <v>0.15579999999999999</v>
      </c>
      <c r="N11" s="18">
        <v>4.5999999999999999E-2</v>
      </c>
      <c r="O11" s="18">
        <v>0.23119999999999999</v>
      </c>
      <c r="P11" s="18">
        <v>4.5999999999999999E-2</v>
      </c>
      <c r="Q11" s="18">
        <v>0.17630000000000001</v>
      </c>
      <c r="R11" s="18">
        <v>0.1009</v>
      </c>
      <c r="S11" s="18">
        <v>4.5999999999999999E-2</v>
      </c>
      <c r="T11" s="18">
        <v>0.12139999999999999</v>
      </c>
      <c r="U11" s="18">
        <v>4.5999999999999999E-2</v>
      </c>
      <c r="V11" s="18">
        <v>0.23119999999999999</v>
      </c>
      <c r="W11" s="18">
        <v>6.0400000000000002E-2</v>
      </c>
      <c r="X11" s="18">
        <v>0.19889999999999999</v>
      </c>
      <c r="Y11" s="18">
        <v>6.2300000000000001E-2</v>
      </c>
      <c r="Z11" s="18">
        <v>0.124</v>
      </c>
      <c r="AA11" s="18">
        <v>0.15579999999999999</v>
      </c>
      <c r="AB11" s="18">
        <v>4.5999999999999999E-2</v>
      </c>
      <c r="AC11" s="18">
        <v>4.5999999999999999E-2</v>
      </c>
      <c r="AD11" s="18">
        <v>0.23119999999999999</v>
      </c>
      <c r="AE11" s="18">
        <v>1.849</v>
      </c>
      <c r="AF11" s="18">
        <v>0.191</v>
      </c>
      <c r="AG11" s="18">
        <v>0.42649999999999999</v>
      </c>
      <c r="AH11" s="18">
        <v>0.13830000000000001</v>
      </c>
      <c r="AI11" s="18">
        <v>0.20330000000000001</v>
      </c>
      <c r="AJ11" s="18">
        <v>0.1474</v>
      </c>
      <c r="AK11" s="18">
        <v>0.43519999999999998</v>
      </c>
      <c r="AL11" s="18">
        <v>0.13869999999999999</v>
      </c>
      <c r="AM11" s="18">
        <v>0.1366</v>
      </c>
      <c r="AN11" s="18">
        <v>9.3100000000000002E-2</v>
      </c>
      <c r="AO11" s="18">
        <v>9.2100000000000001E-2</v>
      </c>
      <c r="AP11" s="18">
        <v>0.18509999999999999</v>
      </c>
      <c r="AQ11" s="18">
        <v>0.10050000000000001</v>
      </c>
      <c r="AR11" s="18">
        <v>0.17810000000000001</v>
      </c>
      <c r="AS11" s="18">
        <v>0.1206</v>
      </c>
      <c r="AT11" s="18">
        <v>0.26790000000000003</v>
      </c>
      <c r="AU11" s="18">
        <v>0.47039999999999998</v>
      </c>
      <c r="AV11" s="18">
        <v>0.107</v>
      </c>
      <c r="AW11" s="18">
        <v>0.16919999999999999</v>
      </c>
      <c r="AX11" s="18">
        <v>0.60099999999999998</v>
      </c>
    </row>
    <row r="12" spans="1:50" x14ac:dyDescent="0.25">
      <c r="A12" s="17" t="s">
        <v>229</v>
      </c>
      <c r="B12" s="13" t="s">
        <v>222</v>
      </c>
      <c r="C12" s="18">
        <v>0.57740000000000002</v>
      </c>
      <c r="D12" s="18">
        <v>0.48970000000000002</v>
      </c>
      <c r="E12" s="18">
        <v>0.2732</v>
      </c>
      <c r="F12" s="18">
        <v>8.48E-2</v>
      </c>
      <c r="G12" s="18">
        <v>0.28810000000000002</v>
      </c>
      <c r="H12" s="18">
        <v>0.14330000000000001</v>
      </c>
      <c r="I12" s="18">
        <v>0.19950000000000001</v>
      </c>
      <c r="J12" s="18">
        <v>0.2392</v>
      </c>
      <c r="K12" s="18">
        <v>4.2000000000000003E-2</v>
      </c>
      <c r="L12" s="18">
        <v>0.26869999999999999</v>
      </c>
      <c r="M12" s="18">
        <v>0.17</v>
      </c>
      <c r="N12" s="18">
        <v>4.2000000000000003E-2</v>
      </c>
      <c r="O12" s="18">
        <v>0.18229999999999999</v>
      </c>
      <c r="P12" s="18">
        <v>0.25640000000000002</v>
      </c>
      <c r="Q12" s="18">
        <v>0.27289999999999998</v>
      </c>
      <c r="R12" s="18">
        <v>0.2576</v>
      </c>
      <c r="S12" s="18">
        <v>0.35349999999999998</v>
      </c>
      <c r="T12" s="18">
        <v>0.48899999999999999</v>
      </c>
      <c r="U12" s="18">
        <v>5.7200000000000001E-2</v>
      </c>
      <c r="V12" s="18">
        <v>0.24060000000000001</v>
      </c>
      <c r="W12" s="18">
        <v>0.31790000000000002</v>
      </c>
      <c r="X12" s="18">
        <v>0.45069999999999999</v>
      </c>
      <c r="Y12" s="18">
        <v>0.40160000000000001</v>
      </c>
      <c r="Z12" s="18">
        <v>1.0075000000000001</v>
      </c>
      <c r="AA12" s="18">
        <v>3.0598000000000001</v>
      </c>
      <c r="AB12" s="18">
        <v>1.9052</v>
      </c>
      <c r="AC12" s="18">
        <v>0.4365</v>
      </c>
      <c r="AD12" s="18">
        <v>0.33500000000000002</v>
      </c>
      <c r="AE12" s="18">
        <v>0.19350000000000001</v>
      </c>
      <c r="AF12" s="18">
        <v>0.37890000000000001</v>
      </c>
      <c r="AG12" s="18">
        <v>0.15509999999999999</v>
      </c>
      <c r="AH12" s="18">
        <v>0.30199999999999999</v>
      </c>
      <c r="AI12" s="18">
        <v>0.32340000000000002</v>
      </c>
      <c r="AJ12" s="18">
        <v>1.2339</v>
      </c>
      <c r="AK12" s="18">
        <v>1.1878</v>
      </c>
      <c r="AL12" s="18">
        <v>1.8042</v>
      </c>
      <c r="AM12" s="18">
        <v>0.3548</v>
      </c>
      <c r="AN12" s="18">
        <v>0.5796</v>
      </c>
      <c r="AO12" s="18">
        <v>0.59440000000000004</v>
      </c>
      <c r="AP12" s="18">
        <v>0.73119999999999996</v>
      </c>
      <c r="AQ12" s="18">
        <v>0.90480000000000005</v>
      </c>
      <c r="AR12" s="18">
        <v>1.0234000000000001</v>
      </c>
      <c r="AS12" s="18">
        <v>0.68669999999999998</v>
      </c>
      <c r="AT12" s="18">
        <v>0.64970000000000006</v>
      </c>
      <c r="AU12" s="18">
        <v>0.18049999999999999</v>
      </c>
      <c r="AV12" s="18">
        <v>0.19550000000000001</v>
      </c>
      <c r="AW12" s="18">
        <v>0.23619999999999999</v>
      </c>
      <c r="AX12" s="18">
        <v>0.41299999999999998</v>
      </c>
    </row>
    <row r="13" spans="1:50" x14ac:dyDescent="0.25">
      <c r="A13" s="17" t="s">
        <v>231</v>
      </c>
      <c r="B13" s="13" t="s">
        <v>222</v>
      </c>
      <c r="C13" s="18">
        <v>0.59370000000000001</v>
      </c>
      <c r="D13" s="18">
        <v>0.57250000000000001</v>
      </c>
      <c r="E13" s="18">
        <v>0.56289999999999996</v>
      </c>
      <c r="F13" s="18">
        <v>5.8000000000000003E-2</v>
      </c>
      <c r="G13" s="18">
        <v>0.29049999999999998</v>
      </c>
      <c r="H13" s="18">
        <v>0.13</v>
      </c>
      <c r="I13" s="18">
        <v>0.1013</v>
      </c>
      <c r="J13" s="18">
        <v>0.31929999999999997</v>
      </c>
      <c r="K13" s="18">
        <v>5.8000000000000003E-2</v>
      </c>
      <c r="L13" s="18">
        <v>0.21</v>
      </c>
      <c r="M13" s="18">
        <v>0.21049999999999999</v>
      </c>
      <c r="N13" s="18">
        <v>0.14599999999999999</v>
      </c>
      <c r="O13" s="18">
        <v>0.17810000000000001</v>
      </c>
      <c r="P13" s="18">
        <v>0.15440000000000001</v>
      </c>
      <c r="Q13" s="18">
        <v>5.8000000000000003E-2</v>
      </c>
      <c r="R13" s="18">
        <v>0.36259999999999998</v>
      </c>
      <c r="S13" s="18">
        <v>1.9124000000000001</v>
      </c>
      <c r="T13" s="18">
        <v>0.3362</v>
      </c>
      <c r="U13" s="18">
        <v>0.24990000000000001</v>
      </c>
      <c r="V13" s="18">
        <v>0.29499999999999998</v>
      </c>
      <c r="W13" s="18">
        <v>6.6000000000000003E-2</v>
      </c>
      <c r="X13" s="18">
        <v>0.35460000000000003</v>
      </c>
      <c r="Y13" s="18">
        <v>5.8000000000000003E-2</v>
      </c>
      <c r="Z13" s="18">
        <v>0.13500000000000001</v>
      </c>
      <c r="AA13" s="18">
        <v>0.28560000000000002</v>
      </c>
      <c r="AB13" s="18">
        <v>5.8000000000000003E-2</v>
      </c>
      <c r="AC13" s="18">
        <v>0.3417</v>
      </c>
      <c r="AD13" s="18">
        <v>0.1236</v>
      </c>
      <c r="AE13" s="18">
        <v>0.29120000000000001</v>
      </c>
      <c r="AF13" s="18">
        <v>0.36859999999999998</v>
      </c>
      <c r="AG13" s="18">
        <v>0.1963</v>
      </c>
      <c r="AH13" s="18">
        <v>0.4052</v>
      </c>
      <c r="AI13" s="18">
        <v>0.26040000000000002</v>
      </c>
      <c r="AJ13" s="18">
        <v>0.39419999999999999</v>
      </c>
      <c r="AK13" s="18">
        <v>0.27710000000000001</v>
      </c>
      <c r="AL13" s="18">
        <v>0.20019999999999999</v>
      </c>
      <c r="AM13" s="18">
        <v>0.13800000000000001</v>
      </c>
      <c r="AN13" s="18">
        <v>0.6411</v>
      </c>
      <c r="AO13" s="18">
        <v>1.6412</v>
      </c>
      <c r="AP13" s="18">
        <v>0.49170000000000003</v>
      </c>
      <c r="AQ13" s="18">
        <v>0.56259999999999999</v>
      </c>
      <c r="AR13" s="18">
        <v>0.65139999999999998</v>
      </c>
      <c r="AS13" s="18">
        <v>0.49569999999999997</v>
      </c>
      <c r="AT13" s="18">
        <v>0.17</v>
      </c>
      <c r="AU13" s="18">
        <v>5.8000000000000003E-2</v>
      </c>
      <c r="AV13" s="18">
        <v>0.27260000000000001</v>
      </c>
      <c r="AW13" s="18">
        <v>0.14799999999999999</v>
      </c>
      <c r="AX13" s="18">
        <v>5.8000000000000003E-2</v>
      </c>
    </row>
    <row r="14" spans="1:50" x14ac:dyDescent="0.25">
      <c r="A14" s="17" t="s">
        <v>233</v>
      </c>
      <c r="B14" s="13" t="s">
        <v>222</v>
      </c>
      <c r="C14" s="18">
        <v>4.4999999999999998E-2</v>
      </c>
      <c r="D14" s="18">
        <v>0.13880000000000001</v>
      </c>
      <c r="E14" s="18">
        <v>4.4999999999999998E-2</v>
      </c>
      <c r="F14" s="18">
        <v>0.13880000000000001</v>
      </c>
      <c r="G14" s="18">
        <v>4.4999999999999998E-2</v>
      </c>
      <c r="H14" s="18">
        <v>0.13880000000000001</v>
      </c>
      <c r="I14" s="18">
        <v>4.4999999999999998E-2</v>
      </c>
      <c r="J14" s="18">
        <v>4.4999999999999998E-2</v>
      </c>
      <c r="K14" s="18">
        <v>0.13880000000000001</v>
      </c>
      <c r="L14" s="18">
        <v>4.4999999999999998E-2</v>
      </c>
      <c r="M14" s="18">
        <v>0.13880000000000001</v>
      </c>
      <c r="N14" s="18">
        <v>4.4999999999999998E-2</v>
      </c>
      <c r="O14" s="18">
        <v>0.1013</v>
      </c>
      <c r="P14" s="18">
        <v>8.2500000000000004E-2</v>
      </c>
      <c r="Q14" s="18">
        <v>4.4999999999999998E-2</v>
      </c>
      <c r="R14" s="18">
        <v>5.6300000000000003E-2</v>
      </c>
      <c r="S14" s="18">
        <v>0.1013</v>
      </c>
      <c r="T14" s="18">
        <v>0.29160000000000003</v>
      </c>
      <c r="U14" s="18">
        <v>2.0625</v>
      </c>
      <c r="V14" s="18">
        <v>0.80149999999999999</v>
      </c>
      <c r="W14" s="18">
        <v>1.0391999999999999</v>
      </c>
      <c r="X14" s="18">
        <v>0.59309999999999996</v>
      </c>
      <c r="Y14" s="18">
        <v>0.1832</v>
      </c>
      <c r="Z14" s="18">
        <v>1.1805000000000001</v>
      </c>
      <c r="AA14" s="18">
        <v>0.41830000000000001</v>
      </c>
      <c r="AB14" s="18">
        <v>0.13539999999999999</v>
      </c>
      <c r="AC14" s="18">
        <v>0.20200000000000001</v>
      </c>
      <c r="AD14" s="18">
        <v>8.9200000000000002E-2</v>
      </c>
      <c r="AE14" s="18">
        <v>9.8799999999999999E-2</v>
      </c>
      <c r="AF14" s="18">
        <v>0.1668</v>
      </c>
      <c r="AG14" s="18">
        <v>5.91E-2</v>
      </c>
      <c r="AH14" s="18">
        <v>0.12470000000000001</v>
      </c>
      <c r="AI14" s="18">
        <v>4.4999999999999998E-2</v>
      </c>
      <c r="AJ14" s="18">
        <v>8.2500000000000004E-2</v>
      </c>
      <c r="AK14" s="18">
        <v>0.1013</v>
      </c>
      <c r="AL14" s="18">
        <v>0.10050000000000001</v>
      </c>
      <c r="AM14" s="18">
        <v>0.14779999999999999</v>
      </c>
      <c r="AN14" s="18">
        <v>7.5300000000000006E-2</v>
      </c>
      <c r="AO14" s="18">
        <v>0.24160000000000001</v>
      </c>
      <c r="AP14" s="18">
        <v>0.2031</v>
      </c>
      <c r="AQ14" s="18">
        <v>0.30220000000000002</v>
      </c>
      <c r="AR14" s="18">
        <v>0.39419999999999999</v>
      </c>
      <c r="AS14" s="18">
        <v>0.50670000000000004</v>
      </c>
      <c r="AT14" s="18">
        <v>0.46550000000000002</v>
      </c>
      <c r="AU14" s="18">
        <v>0.4839</v>
      </c>
      <c r="AV14" s="18">
        <v>0.54859999999999998</v>
      </c>
      <c r="AW14" s="18">
        <v>0.4088</v>
      </c>
      <c r="AX14" s="18">
        <v>1.1005</v>
      </c>
    </row>
    <row r="15" spans="1:50" x14ac:dyDescent="0.25">
      <c r="A15" s="17" t="s">
        <v>235</v>
      </c>
      <c r="B15" s="13" t="s">
        <v>222</v>
      </c>
      <c r="C15" s="18">
        <v>0.21099999999999999</v>
      </c>
      <c r="D15" s="18">
        <v>4.5999999999999999E-2</v>
      </c>
      <c r="E15" s="18">
        <v>0.31640000000000001</v>
      </c>
      <c r="F15" s="18">
        <v>8.9399999999999993E-2</v>
      </c>
      <c r="G15" s="18">
        <v>8.9399999999999993E-2</v>
      </c>
      <c r="H15" s="18">
        <v>0.30409999999999998</v>
      </c>
      <c r="I15" s="18">
        <v>5.8299999999999998E-2</v>
      </c>
      <c r="J15" s="18">
        <v>0.14149999999999999</v>
      </c>
      <c r="K15" s="18">
        <v>0.14149999999999999</v>
      </c>
      <c r="L15" s="18">
        <v>4.5999999999999999E-2</v>
      </c>
      <c r="M15" s="18">
        <v>0.15640000000000001</v>
      </c>
      <c r="N15" s="18">
        <v>0.24929999999999999</v>
      </c>
      <c r="O15" s="18">
        <v>4.5999999999999999E-2</v>
      </c>
      <c r="P15" s="18">
        <v>0.24929999999999999</v>
      </c>
      <c r="Q15" s="18">
        <v>0.15640000000000001</v>
      </c>
      <c r="R15" s="18">
        <v>0.1502</v>
      </c>
      <c r="S15" s="18">
        <v>0.20030000000000001</v>
      </c>
      <c r="T15" s="18">
        <v>0.1167</v>
      </c>
      <c r="U15" s="18">
        <v>0.24460000000000001</v>
      </c>
      <c r="V15" s="18">
        <v>0.21479999999999999</v>
      </c>
      <c r="W15" s="18">
        <v>1.1336999999999999</v>
      </c>
      <c r="X15" s="18">
        <v>0.91639999999999999</v>
      </c>
      <c r="Y15" s="18">
        <v>0.2137</v>
      </c>
      <c r="Z15" s="18">
        <v>1.0145</v>
      </c>
      <c r="AA15" s="18">
        <v>1.3613</v>
      </c>
      <c r="AB15" s="18">
        <v>0.40720000000000001</v>
      </c>
      <c r="AC15" s="18">
        <v>0.32969999999999999</v>
      </c>
      <c r="AD15" s="18">
        <v>0.55569999999999997</v>
      </c>
      <c r="AE15" s="18">
        <v>0.18190000000000001</v>
      </c>
      <c r="AF15" s="18">
        <v>0.19620000000000001</v>
      </c>
      <c r="AG15" s="18">
        <v>0.31469999999999998</v>
      </c>
      <c r="AH15" s="18">
        <v>1.2988999999999999</v>
      </c>
      <c r="AI15" s="18">
        <v>0.44130000000000003</v>
      </c>
      <c r="AJ15" s="18">
        <v>0.24</v>
      </c>
      <c r="AK15" s="18">
        <v>0.40939999999999999</v>
      </c>
      <c r="AL15" s="18">
        <v>0.27160000000000001</v>
      </c>
      <c r="AM15" s="18">
        <v>1.4863</v>
      </c>
      <c r="AN15" s="18">
        <v>0.42780000000000001</v>
      </c>
      <c r="AO15" s="18">
        <v>8.2799999999999999E-2</v>
      </c>
      <c r="AP15" s="18">
        <v>4.5999999999999999E-2</v>
      </c>
      <c r="AQ15" s="18">
        <v>0.23710000000000001</v>
      </c>
      <c r="AR15" s="18">
        <v>6.4399999999999999E-2</v>
      </c>
      <c r="AS15" s="18">
        <v>0.2024</v>
      </c>
      <c r="AT15" s="18">
        <v>0.2034</v>
      </c>
      <c r="AU15" s="18">
        <v>0.15029999999999999</v>
      </c>
      <c r="AV15" s="18">
        <v>7.2099999999999997E-2</v>
      </c>
      <c r="AW15" s="18">
        <v>0.3337</v>
      </c>
      <c r="AX15" s="18">
        <v>4.5999999999999999E-2</v>
      </c>
    </row>
    <row r="16" spans="1:50" x14ac:dyDescent="0.25">
      <c r="A16" s="8" t="s">
        <v>62</v>
      </c>
      <c r="B16" s="10" t="s">
        <v>57</v>
      </c>
      <c r="C16" s="16">
        <v>0.1157</v>
      </c>
      <c r="D16" s="16">
        <v>5.2999999999999999E-2</v>
      </c>
      <c r="E16" s="16">
        <v>5.2999999999999999E-2</v>
      </c>
      <c r="F16" s="16">
        <v>0.1336</v>
      </c>
      <c r="G16" s="16">
        <v>5.2999999999999999E-2</v>
      </c>
      <c r="H16" s="16">
        <v>0.1023</v>
      </c>
      <c r="I16" s="16">
        <v>8.43E-2</v>
      </c>
      <c r="J16" s="16">
        <v>5.2999999999999999E-2</v>
      </c>
      <c r="K16" s="16">
        <v>5.2999999999999999E-2</v>
      </c>
      <c r="L16" s="16">
        <v>0.1202</v>
      </c>
      <c r="M16" s="16">
        <v>6.6400000000000001E-2</v>
      </c>
      <c r="N16" s="16">
        <v>0.12909999999999999</v>
      </c>
      <c r="O16" s="16">
        <v>5.7500000000000002E-2</v>
      </c>
      <c r="P16" s="16">
        <v>0.12470000000000001</v>
      </c>
      <c r="Q16" s="16">
        <v>6.2E-2</v>
      </c>
      <c r="R16" s="16">
        <v>0.1336</v>
      </c>
      <c r="S16" s="16">
        <v>0.16719999999999999</v>
      </c>
      <c r="T16" s="16">
        <v>0.1479</v>
      </c>
      <c r="U16" s="16">
        <v>9.3600000000000003E-2</v>
      </c>
      <c r="V16" s="16">
        <v>0.1381</v>
      </c>
      <c r="W16" s="16">
        <v>8.9700000000000002E-2</v>
      </c>
      <c r="X16" s="16">
        <v>0.90700000000000003</v>
      </c>
      <c r="Y16" s="16">
        <v>0.1905</v>
      </c>
      <c r="Z16" s="16">
        <v>0.13469999999999999</v>
      </c>
      <c r="AA16" s="16">
        <v>5.7500000000000002E-2</v>
      </c>
      <c r="AB16" s="16">
        <v>0.29270000000000002</v>
      </c>
      <c r="AC16" s="16">
        <v>5.2999999999999999E-2</v>
      </c>
      <c r="AD16" s="16">
        <v>0.31390000000000001</v>
      </c>
      <c r="AE16" s="16">
        <v>5.2999999999999999E-2</v>
      </c>
      <c r="AF16" s="16">
        <v>0.1336</v>
      </c>
      <c r="AG16" s="16">
        <v>5.2999999999999999E-2</v>
      </c>
      <c r="AH16" s="16">
        <v>0.1336</v>
      </c>
      <c r="AI16" s="16">
        <v>5.2999999999999999E-2</v>
      </c>
      <c r="AJ16" s="16">
        <v>7.5399999999999995E-2</v>
      </c>
      <c r="AK16" s="16">
        <v>0.11119999999999999</v>
      </c>
      <c r="AL16" s="16">
        <v>5.2999999999999999E-2</v>
      </c>
      <c r="AM16" s="16">
        <v>0.1336</v>
      </c>
      <c r="AN16" s="16">
        <v>5.2999999999999999E-2</v>
      </c>
      <c r="AO16" s="16">
        <v>7.9899999999999999E-2</v>
      </c>
      <c r="AP16" s="16">
        <v>0.17710000000000001</v>
      </c>
      <c r="AQ16" s="16">
        <v>0.437</v>
      </c>
      <c r="AR16" s="16">
        <v>0.42649999999999999</v>
      </c>
      <c r="AS16" s="16">
        <v>0.88260000000000005</v>
      </c>
      <c r="AT16" s="16">
        <v>1.131</v>
      </c>
      <c r="AU16" s="16">
        <v>0.29799999999999999</v>
      </c>
      <c r="AV16" s="16">
        <v>0.22409999999999999</v>
      </c>
      <c r="AW16" s="16">
        <v>5.2999999999999999E-2</v>
      </c>
      <c r="AX16" s="16">
        <v>7.9899999999999999E-2</v>
      </c>
    </row>
    <row r="17" spans="1:50" x14ac:dyDescent="0.25">
      <c r="A17" s="17" t="s">
        <v>237</v>
      </c>
      <c r="B17" s="13" t="s">
        <v>222</v>
      </c>
      <c r="C17" s="18">
        <v>0.14499999999999999</v>
      </c>
      <c r="D17" s="18">
        <v>0.1983</v>
      </c>
      <c r="E17" s="18">
        <v>0.17100000000000001</v>
      </c>
      <c r="F17" s="18">
        <v>0.34820000000000001</v>
      </c>
      <c r="G17" s="18">
        <v>0.15429999999999999</v>
      </c>
      <c r="H17" s="18">
        <v>0.18410000000000001</v>
      </c>
      <c r="I17" s="18">
        <v>0.23480000000000001</v>
      </c>
      <c r="J17" s="18">
        <v>0.17100000000000001</v>
      </c>
      <c r="K17" s="18">
        <v>0.21199999999999999</v>
      </c>
      <c r="L17" s="18">
        <v>0.19020000000000001</v>
      </c>
      <c r="M17" s="18">
        <v>0.28299999999999997</v>
      </c>
      <c r="N17" s="18">
        <v>5.9900000000000002E-2</v>
      </c>
      <c r="O17" s="18">
        <v>0.3518</v>
      </c>
      <c r="P17" s="18">
        <v>0.16739999999999999</v>
      </c>
      <c r="Q17" s="18">
        <v>0.26900000000000002</v>
      </c>
      <c r="R17" s="18">
        <v>2.7174999999999998</v>
      </c>
      <c r="S17" s="18">
        <v>0.4602</v>
      </c>
      <c r="T17" s="18">
        <v>0.35659999999999997</v>
      </c>
      <c r="U17" s="18">
        <v>0.13539999999999999</v>
      </c>
      <c r="V17" s="18">
        <v>0.307</v>
      </c>
      <c r="W17" s="18">
        <v>0.24399999999999999</v>
      </c>
      <c r="X17" s="18">
        <v>0.1013</v>
      </c>
      <c r="Y17" s="18">
        <v>0.36649999999999999</v>
      </c>
      <c r="Z17" s="18">
        <v>0.18179999999999999</v>
      </c>
      <c r="AA17" s="18">
        <v>0.35849999999999999</v>
      </c>
      <c r="AB17" s="18">
        <v>1.3912</v>
      </c>
      <c r="AC17" s="18">
        <v>8.5999999999999993E-2</v>
      </c>
      <c r="AD17" s="18">
        <v>1.1253</v>
      </c>
      <c r="AE17" s="18">
        <v>1.1774</v>
      </c>
      <c r="AF17" s="18">
        <v>1.6846000000000001</v>
      </c>
      <c r="AG17" s="18">
        <v>0.47299999999999998</v>
      </c>
      <c r="AH17" s="18">
        <v>0.3574</v>
      </c>
      <c r="AI17" s="18">
        <v>2.3893</v>
      </c>
      <c r="AJ17" s="18">
        <v>0.1671</v>
      </c>
      <c r="AK17" s="18">
        <v>0.60250000000000004</v>
      </c>
      <c r="AL17" s="18">
        <v>1.4326000000000001</v>
      </c>
      <c r="AM17" s="18">
        <v>1.1359999999999999</v>
      </c>
      <c r="AN17" s="18">
        <v>1.2193000000000001</v>
      </c>
      <c r="AO17" s="18">
        <v>2.2385000000000002</v>
      </c>
      <c r="AP17" s="18">
        <v>0.56089999999999995</v>
      </c>
      <c r="AQ17" s="18">
        <v>0.4093</v>
      </c>
      <c r="AR17" s="18">
        <v>0.71589999999999998</v>
      </c>
      <c r="AS17" s="18">
        <v>0.83409999999999995</v>
      </c>
      <c r="AT17" s="18">
        <v>0.80489999999999995</v>
      </c>
      <c r="AU17" s="18">
        <v>1.0649</v>
      </c>
      <c r="AV17" s="18">
        <v>0.93359999999999999</v>
      </c>
      <c r="AW17" s="18">
        <v>0.224</v>
      </c>
      <c r="AX17" s="18">
        <v>0.29530000000000001</v>
      </c>
    </row>
    <row r="18" spans="1:50" x14ac:dyDescent="0.25">
      <c r="A18" s="17" t="s">
        <v>239</v>
      </c>
      <c r="B18" s="13" t="s">
        <v>222</v>
      </c>
      <c r="C18" s="18">
        <v>0.156</v>
      </c>
      <c r="D18" s="18">
        <v>0.29339999999999999</v>
      </c>
      <c r="E18" s="18">
        <v>0.1212</v>
      </c>
      <c r="F18" s="18">
        <v>0.22220000000000001</v>
      </c>
      <c r="G18" s="18">
        <v>8.2799999999999999E-2</v>
      </c>
      <c r="H18" s="18">
        <v>0.28670000000000001</v>
      </c>
      <c r="I18" s="18">
        <v>0.16719999999999999</v>
      </c>
      <c r="J18" s="18">
        <v>0.2298</v>
      </c>
      <c r="K18" s="18">
        <v>0.22059999999999999</v>
      </c>
      <c r="L18" s="18">
        <v>0.1212</v>
      </c>
      <c r="M18" s="18">
        <v>0.26219999999999999</v>
      </c>
      <c r="N18" s="18">
        <v>0.1452</v>
      </c>
      <c r="O18" s="18">
        <v>5.8200000000000002E-2</v>
      </c>
      <c r="P18" s="18">
        <v>0.13289999999999999</v>
      </c>
      <c r="Q18" s="18">
        <v>0.28170000000000001</v>
      </c>
      <c r="R18" s="18">
        <v>0.2319</v>
      </c>
      <c r="S18" s="18">
        <v>7.2700000000000001E-2</v>
      </c>
      <c r="T18" s="18">
        <v>0.34429999999999999</v>
      </c>
      <c r="U18" s="18">
        <v>9.7000000000000003E-2</v>
      </c>
      <c r="V18" s="18">
        <v>0.15240000000000001</v>
      </c>
      <c r="W18" s="18">
        <v>0.31990000000000002</v>
      </c>
      <c r="X18" s="18">
        <v>0.14929999999999999</v>
      </c>
      <c r="Y18" s="18">
        <v>9.4500000000000001E-2</v>
      </c>
      <c r="Z18" s="18">
        <v>6.7199999999999996E-2</v>
      </c>
      <c r="AA18" s="18">
        <v>0.35489999999999999</v>
      </c>
      <c r="AB18" s="18">
        <v>9.1899999999999996E-2</v>
      </c>
      <c r="AC18" s="18">
        <v>0.22170000000000001</v>
      </c>
      <c r="AD18" s="18">
        <v>0.19059999999999999</v>
      </c>
      <c r="AE18" s="18">
        <v>0.1017</v>
      </c>
      <c r="AF18" s="18">
        <v>1.5333000000000001</v>
      </c>
      <c r="AG18" s="18">
        <v>0.9708</v>
      </c>
      <c r="AH18" s="18">
        <v>1.6556999999999999</v>
      </c>
      <c r="AI18" s="18">
        <v>0.32600000000000001</v>
      </c>
      <c r="AJ18" s="18">
        <v>0.1343</v>
      </c>
      <c r="AK18" s="18">
        <v>0.4083</v>
      </c>
      <c r="AL18" s="18">
        <v>0.37340000000000001</v>
      </c>
      <c r="AM18" s="18">
        <v>0.32569999999999999</v>
      </c>
      <c r="AN18" s="18">
        <v>0.2777</v>
      </c>
      <c r="AO18" s="18">
        <v>0.69689999999999996</v>
      </c>
      <c r="AP18" s="18">
        <v>0.36919999999999997</v>
      </c>
      <c r="AQ18" s="18">
        <v>0.30020000000000002</v>
      </c>
      <c r="AR18" s="18">
        <v>0.59960000000000002</v>
      </c>
      <c r="AS18" s="18">
        <v>0.23330000000000001</v>
      </c>
      <c r="AT18" s="18">
        <v>9.1899999999999996E-2</v>
      </c>
      <c r="AU18" s="18">
        <v>0.13789999999999999</v>
      </c>
      <c r="AV18" s="18">
        <v>0.17050000000000001</v>
      </c>
      <c r="AW18" s="18">
        <v>0.2056</v>
      </c>
      <c r="AX18" s="18">
        <v>0.1928</v>
      </c>
    </row>
    <row r="19" spans="1:50" x14ac:dyDescent="0.25">
      <c r="A19" s="8" t="s">
        <v>64</v>
      </c>
      <c r="B19" s="10" t="s">
        <v>57</v>
      </c>
      <c r="C19" s="16">
        <v>5.2999999999999999E-2</v>
      </c>
      <c r="D19" s="16">
        <v>6.1199999999999997E-2</v>
      </c>
      <c r="E19" s="16">
        <v>0.1186</v>
      </c>
      <c r="F19" s="16">
        <v>6.1199999999999997E-2</v>
      </c>
      <c r="G19" s="16">
        <v>0.1186</v>
      </c>
      <c r="H19" s="16">
        <v>5.2999999999999999E-2</v>
      </c>
      <c r="I19" s="16">
        <v>8.5800000000000001E-2</v>
      </c>
      <c r="J19" s="16">
        <v>9.4E-2</v>
      </c>
      <c r="K19" s="16">
        <v>5.2999999999999999E-2</v>
      </c>
      <c r="L19" s="16">
        <v>0.1268</v>
      </c>
      <c r="M19" s="16">
        <v>5.2999999999999999E-2</v>
      </c>
      <c r="N19" s="16">
        <v>0.1268</v>
      </c>
      <c r="O19" s="16">
        <v>5.2999999999999999E-2</v>
      </c>
      <c r="P19" s="16">
        <v>0.1268</v>
      </c>
      <c r="Q19" s="16">
        <v>5.2999999999999999E-2</v>
      </c>
      <c r="R19" s="16">
        <v>0.1104</v>
      </c>
      <c r="S19" s="16">
        <v>0.61950000000000005</v>
      </c>
      <c r="T19" s="16">
        <v>0.73950000000000005</v>
      </c>
      <c r="U19" s="16">
        <v>0.3155</v>
      </c>
      <c r="V19" s="16">
        <v>0.28449999999999998</v>
      </c>
      <c r="W19" s="16">
        <v>8.5800000000000001E-2</v>
      </c>
      <c r="X19" s="16">
        <v>6.9400000000000003E-2</v>
      </c>
      <c r="Y19" s="16">
        <v>0.1104</v>
      </c>
      <c r="Z19" s="16">
        <v>5.2999999999999999E-2</v>
      </c>
      <c r="AA19" s="16">
        <v>5.2999999999999999E-2</v>
      </c>
      <c r="AB19" s="16">
        <v>0.1268</v>
      </c>
      <c r="AC19" s="16">
        <v>0.1023</v>
      </c>
      <c r="AD19" s="16">
        <v>0.21329999999999999</v>
      </c>
      <c r="AE19" s="16">
        <v>1.4197</v>
      </c>
      <c r="AF19" s="16">
        <v>2.4125000000000001</v>
      </c>
      <c r="AG19" s="16">
        <v>0.2908</v>
      </c>
      <c r="AH19" s="16">
        <v>1.3160000000000001</v>
      </c>
      <c r="AI19" s="16">
        <v>5.2999999999999999E-2</v>
      </c>
      <c r="AJ19" s="16">
        <v>0.14419999999999999</v>
      </c>
      <c r="AK19" s="16">
        <v>0.34570000000000001</v>
      </c>
      <c r="AL19" s="16">
        <v>0.66910000000000003</v>
      </c>
      <c r="AM19" s="16">
        <v>0.1072</v>
      </c>
      <c r="AN19" s="16">
        <v>8.0600000000000005E-2</v>
      </c>
      <c r="AO19" s="16">
        <v>0.11990000000000001</v>
      </c>
      <c r="AP19" s="16">
        <v>0.43659999999999999</v>
      </c>
      <c r="AQ19" s="16">
        <v>0.53269999999999995</v>
      </c>
      <c r="AR19" s="16">
        <v>0.8407</v>
      </c>
      <c r="AS19" s="16">
        <v>0.4541</v>
      </c>
      <c r="AT19" s="16">
        <v>0.38890000000000002</v>
      </c>
      <c r="AU19" s="16">
        <v>0.39579999999999999</v>
      </c>
      <c r="AV19" s="16">
        <v>0.4617</v>
      </c>
      <c r="AW19" s="16">
        <v>5.2999999999999999E-2</v>
      </c>
      <c r="AX19" s="16">
        <v>5.2999999999999999E-2</v>
      </c>
    </row>
    <row r="20" spans="1:50" x14ac:dyDescent="0.25">
      <c r="A20" s="8" t="s">
        <v>66</v>
      </c>
      <c r="B20" s="10" t="s">
        <v>57</v>
      </c>
      <c r="C20" s="16">
        <v>5.6000000000000001E-2</v>
      </c>
      <c r="D20" s="16">
        <v>0.2407</v>
      </c>
      <c r="E20" s="16">
        <v>5.6000000000000001E-2</v>
      </c>
      <c r="F20" s="16">
        <v>0.13150000000000001</v>
      </c>
      <c r="G20" s="16">
        <v>0.1651</v>
      </c>
      <c r="H20" s="16">
        <v>5.6000000000000001E-2</v>
      </c>
      <c r="I20" s="16">
        <v>0.15670000000000001</v>
      </c>
      <c r="J20" s="16">
        <v>0.1399</v>
      </c>
      <c r="K20" s="16">
        <v>5.6000000000000001E-2</v>
      </c>
      <c r="L20" s="16">
        <v>0.2155</v>
      </c>
      <c r="M20" s="16">
        <v>8.1199999999999994E-2</v>
      </c>
      <c r="N20" s="16">
        <v>5.6000000000000001E-2</v>
      </c>
      <c r="O20" s="16">
        <v>0.28539999999999999</v>
      </c>
      <c r="P20" s="16">
        <v>0.1837</v>
      </c>
      <c r="Q20" s="16">
        <v>0.29220000000000002</v>
      </c>
      <c r="R20" s="16">
        <v>5.6000000000000001E-2</v>
      </c>
      <c r="S20" s="16">
        <v>0.40310000000000001</v>
      </c>
      <c r="T20" s="16">
        <v>0.48720000000000002</v>
      </c>
      <c r="U20" s="16">
        <v>0.29930000000000001</v>
      </c>
      <c r="V20" s="16">
        <v>0.191</v>
      </c>
      <c r="W20" s="16">
        <v>0.66439999999999999</v>
      </c>
      <c r="X20" s="16">
        <v>0.52300000000000002</v>
      </c>
      <c r="Y20" s="16">
        <v>0.48309999999999997</v>
      </c>
      <c r="Z20" s="16">
        <v>0.81830000000000003</v>
      </c>
      <c r="AA20" s="16">
        <v>0.41270000000000001</v>
      </c>
      <c r="AB20" s="16">
        <v>0.40510000000000002</v>
      </c>
      <c r="AC20" s="16">
        <v>0.16739999999999999</v>
      </c>
      <c r="AD20" s="16">
        <v>0.59030000000000005</v>
      </c>
      <c r="AE20" s="16">
        <v>1.1842999999999999</v>
      </c>
      <c r="AF20" s="16">
        <v>0.68689999999999996</v>
      </c>
      <c r="AG20" s="16">
        <v>0.39269999999999999</v>
      </c>
      <c r="AH20" s="16">
        <v>0.24349999999999999</v>
      </c>
      <c r="AI20" s="16">
        <v>0.2455</v>
      </c>
      <c r="AJ20" s="16">
        <v>0.66200000000000003</v>
      </c>
      <c r="AK20" s="16">
        <v>0.55410000000000004</v>
      </c>
      <c r="AL20" s="16">
        <v>0.33779999999999999</v>
      </c>
      <c r="AM20" s="16">
        <v>0.33360000000000001</v>
      </c>
      <c r="AN20" s="16">
        <v>0.26479999999999998</v>
      </c>
      <c r="AO20" s="16">
        <v>2.6446999999999998</v>
      </c>
      <c r="AP20" s="16">
        <v>1.4061999999999999</v>
      </c>
      <c r="AQ20" s="16">
        <v>0.49959999999999999</v>
      </c>
      <c r="AR20" s="16">
        <v>0.60589999999999999</v>
      </c>
      <c r="AS20" s="16">
        <v>2.2033</v>
      </c>
      <c r="AT20" s="16">
        <v>0.61480000000000001</v>
      </c>
      <c r="AU20" s="16">
        <v>0.70530000000000004</v>
      </c>
      <c r="AV20" s="16">
        <v>0.8135</v>
      </c>
      <c r="AW20" s="16">
        <v>0.55689999999999995</v>
      </c>
      <c r="AX20" s="16">
        <v>5.6000000000000001E-2</v>
      </c>
    </row>
    <row r="21" spans="1:50" x14ac:dyDescent="0.25">
      <c r="A21" s="17" t="s">
        <v>241</v>
      </c>
      <c r="B21" s="13" t="s">
        <v>222</v>
      </c>
      <c r="C21" s="18">
        <v>5.1999999999999998E-2</v>
      </c>
      <c r="D21" s="18">
        <v>0.1135</v>
      </c>
      <c r="E21" s="18">
        <v>0.1182</v>
      </c>
      <c r="F21" s="18">
        <v>5.1999999999999998E-2</v>
      </c>
      <c r="G21" s="18">
        <v>5.1999999999999998E-2</v>
      </c>
      <c r="H21" s="18">
        <v>5.1999999999999998E-2</v>
      </c>
      <c r="I21" s="18">
        <v>5.1999999999999998E-2</v>
      </c>
      <c r="J21" s="18">
        <v>5.1999999999999998E-2</v>
      </c>
      <c r="K21" s="18">
        <v>5.1999999999999998E-2</v>
      </c>
      <c r="L21" s="18">
        <v>5.1999999999999998E-2</v>
      </c>
      <c r="M21" s="18">
        <v>5.1999999999999998E-2</v>
      </c>
      <c r="N21" s="18">
        <v>5.1999999999999998E-2</v>
      </c>
      <c r="O21" s="18">
        <v>5.1999999999999998E-2</v>
      </c>
      <c r="P21" s="18">
        <v>5.1999999999999998E-2</v>
      </c>
      <c r="Q21" s="18">
        <v>5.1999999999999998E-2</v>
      </c>
      <c r="R21" s="18">
        <v>0.1086</v>
      </c>
      <c r="S21" s="18">
        <v>0.18729999999999999</v>
      </c>
      <c r="T21" s="18">
        <v>0.1898</v>
      </c>
      <c r="U21" s="18">
        <v>1.5669</v>
      </c>
      <c r="V21" s="18">
        <v>2.6427999999999998</v>
      </c>
      <c r="W21" s="18">
        <v>1.2797000000000001</v>
      </c>
      <c r="X21" s="18">
        <v>0.23980000000000001</v>
      </c>
      <c r="Y21" s="18">
        <v>1.8927</v>
      </c>
      <c r="Z21" s="18">
        <v>3.3393000000000002</v>
      </c>
      <c r="AA21" s="18">
        <v>1.3787</v>
      </c>
      <c r="AB21" s="18">
        <v>0.22020000000000001</v>
      </c>
      <c r="AC21" s="18">
        <v>8.5000000000000006E-2</v>
      </c>
      <c r="AD21" s="18">
        <v>6.7400000000000002E-2</v>
      </c>
      <c r="AE21" s="18">
        <v>5.9900000000000002E-2</v>
      </c>
      <c r="AF21" s="18">
        <v>0.12659999999999999</v>
      </c>
      <c r="AG21" s="18">
        <v>0.14199999999999999</v>
      </c>
      <c r="AH21" s="18">
        <v>9.3100000000000002E-2</v>
      </c>
      <c r="AI21" s="18">
        <v>0.13469999999999999</v>
      </c>
      <c r="AJ21" s="18">
        <v>0.17829999999999999</v>
      </c>
      <c r="AK21" s="18">
        <v>0.20469999999999999</v>
      </c>
      <c r="AL21" s="18">
        <v>0.2487</v>
      </c>
      <c r="AM21" s="18">
        <v>0.31859999999999999</v>
      </c>
      <c r="AN21" s="18">
        <v>0.1056</v>
      </c>
      <c r="AO21" s="18">
        <v>0.1147</v>
      </c>
      <c r="AP21" s="18">
        <v>0.34310000000000002</v>
      </c>
      <c r="AQ21" s="18">
        <v>0.47660000000000002</v>
      </c>
      <c r="AR21" s="18">
        <v>0.37409999999999999</v>
      </c>
      <c r="AS21" s="18">
        <v>0.58720000000000006</v>
      </c>
      <c r="AT21" s="18">
        <v>0.80889999999999995</v>
      </c>
      <c r="AU21" s="18">
        <v>0.55269999999999997</v>
      </c>
      <c r="AV21" s="18">
        <v>0.40660000000000002</v>
      </c>
      <c r="AW21" s="18">
        <v>0.41099999999999998</v>
      </c>
      <c r="AX21" s="18">
        <v>0.39460000000000001</v>
      </c>
    </row>
    <row r="22" spans="1:50" x14ac:dyDescent="0.25">
      <c r="A22" s="8" t="s">
        <v>68</v>
      </c>
      <c r="B22" s="10" t="s">
        <v>57</v>
      </c>
      <c r="C22" s="16">
        <v>0.35439999999999999</v>
      </c>
      <c r="D22" s="16">
        <v>0.29499999999999998</v>
      </c>
      <c r="E22" s="16">
        <v>0.21379999999999999</v>
      </c>
      <c r="F22" s="16">
        <v>4.7E-2</v>
      </c>
      <c r="G22" s="16">
        <v>0.1241</v>
      </c>
      <c r="H22" s="16">
        <v>0.1855</v>
      </c>
      <c r="I22" s="16">
        <v>7.8700000000000006E-2</v>
      </c>
      <c r="J22" s="16">
        <v>9.69E-2</v>
      </c>
      <c r="K22" s="16">
        <v>0.1018</v>
      </c>
      <c r="L22" s="16">
        <v>0.2077</v>
      </c>
      <c r="M22" s="16">
        <v>4.7E-2</v>
      </c>
      <c r="N22" s="16">
        <v>0.2016</v>
      </c>
      <c r="O22" s="16">
        <v>0.1079</v>
      </c>
      <c r="P22" s="16">
        <v>4.7E-2</v>
      </c>
      <c r="Q22" s="16">
        <v>0.25340000000000001</v>
      </c>
      <c r="R22" s="16">
        <v>5.6099999999999997E-2</v>
      </c>
      <c r="S22" s="16">
        <v>6.0199999999999997E-2</v>
      </c>
      <c r="T22" s="16">
        <v>0.35110000000000002</v>
      </c>
      <c r="U22" s="16">
        <v>0.1479</v>
      </c>
      <c r="V22" s="16">
        <v>0.2361</v>
      </c>
      <c r="W22" s="16">
        <v>0.122</v>
      </c>
      <c r="X22" s="16">
        <v>0.31759999999999999</v>
      </c>
      <c r="Y22" s="16">
        <v>0.37430000000000002</v>
      </c>
      <c r="Z22" s="16">
        <v>0.17610000000000001</v>
      </c>
      <c r="AA22" s="16">
        <v>0.19489999999999999</v>
      </c>
      <c r="AB22" s="16">
        <v>0.1341</v>
      </c>
      <c r="AC22" s="16">
        <v>0.29580000000000001</v>
      </c>
      <c r="AD22" s="16">
        <v>4.7E-2</v>
      </c>
      <c r="AE22" s="16">
        <v>0.1555</v>
      </c>
      <c r="AF22" s="16">
        <v>0.31730000000000003</v>
      </c>
      <c r="AG22" s="16">
        <v>0.1118</v>
      </c>
      <c r="AH22" s="16">
        <v>8.8200000000000001E-2</v>
      </c>
      <c r="AI22" s="16">
        <v>0.24990000000000001</v>
      </c>
      <c r="AJ22" s="16">
        <v>0.2107</v>
      </c>
      <c r="AK22" s="16">
        <v>0.2014</v>
      </c>
      <c r="AL22" s="16">
        <v>0.49919999999999998</v>
      </c>
      <c r="AM22" s="16">
        <v>0.28620000000000001</v>
      </c>
      <c r="AN22" s="16">
        <v>0.3392</v>
      </c>
      <c r="AO22" s="16">
        <v>0.62670000000000003</v>
      </c>
      <c r="AP22" s="16">
        <v>0.38779999999999998</v>
      </c>
      <c r="AQ22" s="16">
        <v>0.41210000000000002</v>
      </c>
      <c r="AR22" s="16">
        <v>0.53549999999999998</v>
      </c>
      <c r="AS22" s="16">
        <v>0.56210000000000004</v>
      </c>
      <c r="AT22" s="16">
        <v>0.42470000000000002</v>
      </c>
      <c r="AU22" s="16">
        <v>0.60460000000000003</v>
      </c>
      <c r="AV22" s="16">
        <v>0.51290000000000002</v>
      </c>
      <c r="AW22" s="16">
        <v>0.12859999999999999</v>
      </c>
      <c r="AX22" s="16">
        <v>4.7E-2</v>
      </c>
    </row>
    <row r="23" spans="1:50" x14ac:dyDescent="0.25">
      <c r="A23" s="17" t="s">
        <v>243</v>
      </c>
      <c r="B23" s="13" t="s">
        <v>222</v>
      </c>
      <c r="C23" s="18">
        <v>0.7056</v>
      </c>
      <c r="D23" s="18">
        <v>0.1358</v>
      </c>
      <c r="E23" s="18">
        <v>0.14860000000000001</v>
      </c>
      <c r="F23" s="18">
        <v>0.1865</v>
      </c>
      <c r="G23" s="18">
        <v>0.17399999999999999</v>
      </c>
      <c r="H23" s="18">
        <v>4.7E-2</v>
      </c>
      <c r="I23" s="18">
        <v>0.18010000000000001</v>
      </c>
      <c r="J23" s="18">
        <v>0.1232</v>
      </c>
      <c r="K23" s="18">
        <v>0.19289999999999999</v>
      </c>
      <c r="L23" s="18">
        <v>0.1295</v>
      </c>
      <c r="M23" s="18">
        <v>0.14219999999999999</v>
      </c>
      <c r="N23" s="18">
        <v>0.1928</v>
      </c>
      <c r="O23" s="18">
        <v>0.1676</v>
      </c>
      <c r="P23" s="18">
        <v>4.7E-2</v>
      </c>
      <c r="Q23" s="18">
        <v>8.5000000000000006E-2</v>
      </c>
      <c r="R23" s="18">
        <v>0.28799999999999998</v>
      </c>
      <c r="S23" s="18">
        <v>0.22270000000000001</v>
      </c>
      <c r="T23" s="18">
        <v>0.21190000000000001</v>
      </c>
      <c r="U23" s="18">
        <v>0.16120000000000001</v>
      </c>
      <c r="V23" s="18">
        <v>0.14219999999999999</v>
      </c>
      <c r="W23" s="18">
        <v>0.21820000000000001</v>
      </c>
      <c r="X23" s="18">
        <v>4.7E-2</v>
      </c>
      <c r="Y23" s="18">
        <v>0.1041</v>
      </c>
      <c r="Z23" s="18">
        <v>0.29089999999999999</v>
      </c>
      <c r="AA23" s="18">
        <v>0.26219999999999999</v>
      </c>
      <c r="AB23" s="18">
        <v>0.50409999999999999</v>
      </c>
      <c r="AC23" s="18">
        <v>4.7E-2</v>
      </c>
      <c r="AD23" s="18">
        <v>6.4100000000000004E-2</v>
      </c>
      <c r="AE23" s="18">
        <v>0.49769999999999998</v>
      </c>
      <c r="AF23" s="18">
        <v>0.70509999999999995</v>
      </c>
      <c r="AG23" s="18">
        <v>0.27089999999999997</v>
      </c>
      <c r="AH23" s="18">
        <v>9.5500000000000002E-2</v>
      </c>
      <c r="AI23" s="18">
        <v>0.3135</v>
      </c>
      <c r="AJ23" s="18">
        <v>4.7E-2</v>
      </c>
      <c r="AK23" s="18">
        <v>7.2400000000000006E-2</v>
      </c>
      <c r="AL23" s="18">
        <v>0.21829999999999999</v>
      </c>
      <c r="AM23" s="18">
        <v>0.1167</v>
      </c>
      <c r="AN23" s="18">
        <v>9.1399999999999995E-2</v>
      </c>
      <c r="AO23" s="18">
        <v>0.2437</v>
      </c>
      <c r="AP23" s="18">
        <v>7.2400000000000006E-2</v>
      </c>
      <c r="AQ23" s="18">
        <v>0.17399999999999999</v>
      </c>
      <c r="AR23" s="18">
        <v>0.1865</v>
      </c>
      <c r="AS23" s="18">
        <v>0.17399999999999999</v>
      </c>
      <c r="AT23" s="18">
        <v>0.12939999999999999</v>
      </c>
      <c r="AU23" s="18">
        <v>0.1358</v>
      </c>
      <c r="AV23" s="18">
        <v>0.14219999999999999</v>
      </c>
      <c r="AW23" s="18">
        <v>0.1421</v>
      </c>
      <c r="AX23" s="18">
        <v>0.21840000000000001</v>
      </c>
    </row>
    <row r="24" spans="1:50" x14ac:dyDescent="0.25">
      <c r="A24" s="8" t="s">
        <v>70</v>
      </c>
      <c r="B24" s="10" t="s">
        <v>57</v>
      </c>
      <c r="C24" s="16">
        <v>6.2899999999999998E-2</v>
      </c>
      <c r="D24" s="16">
        <v>0.1583</v>
      </c>
      <c r="E24" s="16">
        <v>0.18809999999999999</v>
      </c>
      <c r="F24" s="16">
        <v>8.2400000000000001E-2</v>
      </c>
      <c r="G24" s="16">
        <v>0.26400000000000001</v>
      </c>
      <c r="H24" s="16">
        <v>6.2899999999999998E-2</v>
      </c>
      <c r="I24" s="16">
        <v>0.1588</v>
      </c>
      <c r="J24" s="16">
        <v>0.13600000000000001</v>
      </c>
      <c r="K24" s="16">
        <v>0.24560000000000001</v>
      </c>
      <c r="L24" s="16">
        <v>0.33310000000000001</v>
      </c>
      <c r="M24" s="16">
        <v>0.26340000000000002</v>
      </c>
      <c r="N24" s="16">
        <v>0.26169999999999999</v>
      </c>
      <c r="O24" s="16">
        <v>0.18759999999999999</v>
      </c>
      <c r="P24" s="16">
        <v>0.20250000000000001</v>
      </c>
      <c r="Q24" s="16">
        <v>7.0800000000000002E-2</v>
      </c>
      <c r="R24" s="16">
        <v>9.6000000000000002E-2</v>
      </c>
      <c r="S24" s="16">
        <v>0.1988</v>
      </c>
      <c r="T24" s="16">
        <v>0.1145</v>
      </c>
      <c r="U24" s="16">
        <v>0.1241</v>
      </c>
      <c r="V24" s="16">
        <v>0.17069999999999999</v>
      </c>
      <c r="W24" s="16">
        <v>0.1145</v>
      </c>
      <c r="X24" s="16">
        <v>1.2369000000000001</v>
      </c>
      <c r="Y24" s="16">
        <v>0.50339999999999996</v>
      </c>
      <c r="Z24" s="16">
        <v>0.1153</v>
      </c>
      <c r="AA24" s="16">
        <v>0.21129999999999999</v>
      </c>
      <c r="AB24" s="16">
        <v>0.2006</v>
      </c>
      <c r="AC24" s="16">
        <v>0.97089999999999999</v>
      </c>
      <c r="AD24" s="16">
        <v>0.87890000000000001</v>
      </c>
      <c r="AE24" s="16">
        <v>0.39879999999999999</v>
      </c>
      <c r="AF24" s="16">
        <v>0.24970000000000001</v>
      </c>
      <c r="AG24" s="16">
        <v>0.21210000000000001</v>
      </c>
      <c r="AH24" s="16">
        <v>0.33539999999999998</v>
      </c>
      <c r="AI24" s="16">
        <v>0.1515</v>
      </c>
      <c r="AJ24" s="16">
        <v>0.21079999999999999</v>
      </c>
      <c r="AK24" s="16">
        <v>5.7599999999999998E-2</v>
      </c>
      <c r="AL24" s="16">
        <v>0.1351</v>
      </c>
      <c r="AM24" s="16">
        <v>0.153</v>
      </c>
      <c r="AN24" s="16">
        <v>0.13600000000000001</v>
      </c>
      <c r="AO24" s="16">
        <v>0.18679999999999999</v>
      </c>
      <c r="AP24" s="16">
        <v>0.18809999999999999</v>
      </c>
      <c r="AQ24" s="16">
        <v>0.50160000000000005</v>
      </c>
      <c r="AR24" s="16">
        <v>0.40029999999999999</v>
      </c>
      <c r="AS24" s="16">
        <v>0.72060000000000002</v>
      </c>
      <c r="AT24" s="16">
        <v>0.82840000000000003</v>
      </c>
      <c r="AU24" s="16">
        <v>0.15770000000000001</v>
      </c>
      <c r="AV24" s="16">
        <v>0.158</v>
      </c>
      <c r="AW24" s="16">
        <v>0.1588</v>
      </c>
      <c r="AX24" s="16">
        <v>0.13730000000000001</v>
      </c>
    </row>
    <row r="25" spans="1:50" x14ac:dyDescent="0.25">
      <c r="A25" s="8" t="s">
        <v>72</v>
      </c>
      <c r="B25" s="10" t="s">
        <v>57</v>
      </c>
      <c r="C25" s="16">
        <v>0.1351</v>
      </c>
      <c r="D25" s="16">
        <v>0.13239999999999999</v>
      </c>
      <c r="E25" s="16">
        <v>5.3600000000000002E-2</v>
      </c>
      <c r="F25" s="16">
        <v>8.7999999999999995E-2</v>
      </c>
      <c r="G25" s="16">
        <v>7.2099999999999997E-2</v>
      </c>
      <c r="H25" s="16">
        <v>0.18690000000000001</v>
      </c>
      <c r="I25" s="16">
        <v>4.0599999999999997E-2</v>
      </c>
      <c r="J25" s="16">
        <v>0.1709</v>
      </c>
      <c r="K25" s="16">
        <v>9.6699999999999994E-2</v>
      </c>
      <c r="L25" s="16">
        <v>3.2000000000000001E-2</v>
      </c>
      <c r="M25" s="16">
        <v>8.9300000000000004E-2</v>
      </c>
      <c r="N25" s="16">
        <v>0.13950000000000001</v>
      </c>
      <c r="O25" s="16">
        <v>7.0800000000000002E-2</v>
      </c>
      <c r="P25" s="16">
        <v>3.2000000000000001E-2</v>
      </c>
      <c r="Q25" s="16">
        <v>0.184</v>
      </c>
      <c r="R25" s="16">
        <v>9.4899999999999998E-2</v>
      </c>
      <c r="S25" s="16">
        <v>0.2233</v>
      </c>
      <c r="T25" s="16">
        <v>0.35170000000000001</v>
      </c>
      <c r="U25" s="16">
        <v>0.21049999999999999</v>
      </c>
      <c r="V25" s="16">
        <v>0.20810000000000001</v>
      </c>
      <c r="W25" s="16">
        <v>7.0099999999999996E-2</v>
      </c>
      <c r="X25" s="16">
        <v>0.2112</v>
      </c>
      <c r="Y25" s="16">
        <v>2.8267000000000002</v>
      </c>
      <c r="Z25" s="16">
        <v>0.24099999999999999</v>
      </c>
      <c r="AA25" s="16">
        <v>1.5182</v>
      </c>
      <c r="AB25" s="16">
        <v>0.63080000000000003</v>
      </c>
      <c r="AC25" s="16">
        <v>0.1719</v>
      </c>
      <c r="AD25" s="16">
        <v>0.11799999999999999</v>
      </c>
      <c r="AE25" s="16">
        <v>0.13869999999999999</v>
      </c>
      <c r="AF25" s="16">
        <v>0.24279999999999999</v>
      </c>
      <c r="AG25" s="16">
        <v>0.45490000000000003</v>
      </c>
      <c r="AH25" s="16">
        <v>0.1255</v>
      </c>
      <c r="AI25" s="16">
        <v>0.1109</v>
      </c>
      <c r="AJ25" s="16">
        <v>0.50960000000000005</v>
      </c>
      <c r="AK25" s="16">
        <v>0.27110000000000001</v>
      </c>
      <c r="AL25" s="16">
        <v>0.26150000000000001</v>
      </c>
      <c r="AM25" s="16">
        <v>0.16350000000000001</v>
      </c>
      <c r="AN25" s="16">
        <v>0.20519999999999999</v>
      </c>
      <c r="AO25" s="16">
        <v>0.1303</v>
      </c>
      <c r="AP25" s="16">
        <v>0.24629999999999999</v>
      </c>
      <c r="AQ25" s="16">
        <v>0.40300000000000002</v>
      </c>
      <c r="AR25" s="16">
        <v>0.72060000000000002</v>
      </c>
      <c r="AS25" s="16">
        <v>1.4927999999999999</v>
      </c>
      <c r="AT25" s="16">
        <v>0.49270000000000003</v>
      </c>
      <c r="AU25" s="16">
        <v>0.30130000000000001</v>
      </c>
      <c r="AV25" s="16">
        <v>8.5099999999999995E-2</v>
      </c>
      <c r="AW25" s="16">
        <v>7.9399999999999998E-2</v>
      </c>
      <c r="AX25" s="16">
        <v>0.13650000000000001</v>
      </c>
    </row>
    <row r="26" spans="1:50" x14ac:dyDescent="0.25">
      <c r="A26" s="8" t="s">
        <v>74</v>
      </c>
      <c r="B26" s="10" t="s">
        <v>57</v>
      </c>
      <c r="C26" s="16">
        <v>0.05</v>
      </c>
      <c r="D26" s="16">
        <v>0.22239999999999999</v>
      </c>
      <c r="E26" s="16">
        <v>0.05</v>
      </c>
      <c r="F26" s="16">
        <v>0.15970000000000001</v>
      </c>
      <c r="G26" s="16">
        <v>0.11269999999999999</v>
      </c>
      <c r="H26" s="16">
        <v>7.3499999999999996E-2</v>
      </c>
      <c r="I26" s="16">
        <v>0.19889999999999999</v>
      </c>
      <c r="J26" s="16">
        <v>0.05</v>
      </c>
      <c r="K26" s="16">
        <v>0.05</v>
      </c>
      <c r="L26" s="16">
        <v>0.191</v>
      </c>
      <c r="M26" s="16">
        <v>8.1299999999999997E-2</v>
      </c>
      <c r="N26" s="16">
        <v>5.7799999999999997E-2</v>
      </c>
      <c r="O26" s="16">
        <v>0.2145</v>
      </c>
      <c r="P26" s="16">
        <v>0.05</v>
      </c>
      <c r="Q26" s="16">
        <v>0.1205</v>
      </c>
      <c r="R26" s="16">
        <v>0.15179999999999999</v>
      </c>
      <c r="S26" s="16">
        <v>0.05</v>
      </c>
      <c r="T26" s="16">
        <v>0.22239999999999999</v>
      </c>
      <c r="U26" s="16">
        <v>0.05</v>
      </c>
      <c r="V26" s="16">
        <v>0.15179999999999999</v>
      </c>
      <c r="W26" s="16">
        <v>0.1205</v>
      </c>
      <c r="X26" s="16">
        <v>0.36330000000000001</v>
      </c>
      <c r="Y26" s="16">
        <v>1.8013999999999999</v>
      </c>
      <c r="Z26" s="16">
        <v>6.5699999999999995E-2</v>
      </c>
      <c r="AA26" s="16">
        <v>0.1283</v>
      </c>
      <c r="AB26" s="16">
        <v>0.14399999999999999</v>
      </c>
      <c r="AC26" s="16">
        <v>0.05</v>
      </c>
      <c r="AD26" s="16">
        <v>5.4899999999999997E-2</v>
      </c>
      <c r="AE26" s="16">
        <v>0.49769999999999998</v>
      </c>
      <c r="AF26" s="16">
        <v>1.0113000000000001</v>
      </c>
      <c r="AG26" s="16">
        <v>0.26960000000000001</v>
      </c>
      <c r="AH26" s="16">
        <v>0.1124</v>
      </c>
      <c r="AI26" s="16">
        <v>0.1046</v>
      </c>
      <c r="AJ26" s="16">
        <v>0.24909999999999999</v>
      </c>
      <c r="AK26" s="16">
        <v>0.45229999999999998</v>
      </c>
      <c r="AL26" s="16">
        <v>0.77910000000000001</v>
      </c>
      <c r="AM26" s="16">
        <v>0.23910000000000001</v>
      </c>
      <c r="AN26" s="16">
        <v>0.2838</v>
      </c>
      <c r="AO26" s="16">
        <v>0.25629999999999997</v>
      </c>
      <c r="AP26" s="16">
        <v>0.46729999999999999</v>
      </c>
      <c r="AQ26" s="16">
        <v>0.66590000000000005</v>
      </c>
      <c r="AR26" s="16">
        <v>0.85240000000000005</v>
      </c>
      <c r="AS26" s="16">
        <v>0.55959999999999999</v>
      </c>
      <c r="AT26" s="16">
        <v>0.48820000000000002</v>
      </c>
      <c r="AU26" s="16">
        <v>0.47299999999999998</v>
      </c>
      <c r="AV26" s="16">
        <v>7.3499999999999996E-2</v>
      </c>
      <c r="AW26" s="16">
        <v>0.19889999999999999</v>
      </c>
      <c r="AX26" s="16">
        <v>0.05</v>
      </c>
    </row>
    <row r="27" spans="1:50" x14ac:dyDescent="0.25">
      <c r="A27" s="17" t="s">
        <v>245</v>
      </c>
      <c r="B27" s="13" t="s">
        <v>222</v>
      </c>
      <c r="C27" s="18">
        <v>4.9000000000000002E-2</v>
      </c>
      <c r="D27" s="18">
        <v>4.9000000000000002E-2</v>
      </c>
      <c r="E27" s="18">
        <v>4.9000000000000002E-2</v>
      </c>
      <c r="F27" s="18">
        <v>4.9000000000000002E-2</v>
      </c>
      <c r="G27" s="18">
        <v>4.9000000000000002E-2</v>
      </c>
      <c r="H27" s="18">
        <v>4.9000000000000002E-2</v>
      </c>
      <c r="I27" s="18">
        <v>4.9000000000000002E-2</v>
      </c>
      <c r="J27" s="18">
        <v>4.9000000000000002E-2</v>
      </c>
      <c r="K27" s="18">
        <v>4.9000000000000002E-2</v>
      </c>
      <c r="L27" s="18">
        <v>4.9000000000000002E-2</v>
      </c>
      <c r="M27" s="18">
        <v>4.9000000000000002E-2</v>
      </c>
      <c r="N27" s="18">
        <v>6.5100000000000005E-2</v>
      </c>
      <c r="O27" s="18">
        <v>6.7000000000000004E-2</v>
      </c>
      <c r="P27" s="18">
        <v>6.7000000000000004E-2</v>
      </c>
      <c r="Q27" s="18">
        <v>0.2747</v>
      </c>
      <c r="R27" s="18">
        <v>6.7000000000000004E-2</v>
      </c>
      <c r="S27" s="18">
        <v>0.16450000000000001</v>
      </c>
      <c r="T27" s="18">
        <v>6.7000000000000004E-2</v>
      </c>
      <c r="U27" s="18">
        <v>6.7000000000000004E-2</v>
      </c>
      <c r="V27" s="18">
        <v>1.0832999999999999</v>
      </c>
      <c r="W27" s="18">
        <v>0.75919999999999999</v>
      </c>
      <c r="X27" s="18">
        <v>1.3499000000000001</v>
      </c>
      <c r="Y27" s="18">
        <v>5.3199999999999997E-2</v>
      </c>
      <c r="Z27" s="18">
        <v>4.9000000000000002E-2</v>
      </c>
      <c r="AA27" s="18">
        <v>6.4299999999999996E-2</v>
      </c>
      <c r="AB27" s="18">
        <v>8.3599999999999994E-2</v>
      </c>
      <c r="AC27" s="18">
        <v>0.3725</v>
      </c>
      <c r="AD27" s="18">
        <v>0.254</v>
      </c>
      <c r="AE27" s="18">
        <v>0.31830000000000003</v>
      </c>
      <c r="AF27" s="18">
        <v>4.9000000000000002E-2</v>
      </c>
      <c r="AG27" s="18">
        <v>4.9000000000000002E-2</v>
      </c>
      <c r="AH27" s="18">
        <v>4.9000000000000002E-2</v>
      </c>
      <c r="AI27" s="18">
        <v>0.20200000000000001</v>
      </c>
      <c r="AJ27" s="18">
        <v>0.24479999999999999</v>
      </c>
      <c r="AK27" s="18">
        <v>0.50619999999999998</v>
      </c>
      <c r="AL27" s="18">
        <v>1.9547000000000001</v>
      </c>
      <c r="AM27" s="18">
        <v>0.22239999999999999</v>
      </c>
      <c r="AN27" s="18">
        <v>0.32600000000000001</v>
      </c>
      <c r="AO27" s="18">
        <v>1.5914999999999999</v>
      </c>
      <c r="AP27" s="18">
        <v>1.3369</v>
      </c>
      <c r="AQ27" s="18">
        <v>0.9718</v>
      </c>
      <c r="AR27" s="18">
        <v>0.38769999999999999</v>
      </c>
      <c r="AS27" s="18">
        <v>0.46360000000000001</v>
      </c>
      <c r="AT27" s="18">
        <v>0.57599999999999996</v>
      </c>
      <c r="AU27" s="18">
        <v>0.45379999999999998</v>
      </c>
      <c r="AV27" s="18">
        <v>0.17380000000000001</v>
      </c>
      <c r="AW27" s="18">
        <v>0.32329999999999998</v>
      </c>
      <c r="AX27" s="18">
        <v>4.9000000000000002E-2</v>
      </c>
    </row>
    <row r="28" spans="1:50" x14ac:dyDescent="0.25">
      <c r="A28" s="17" t="s">
        <v>247</v>
      </c>
      <c r="B28" s="13" t="s">
        <v>222</v>
      </c>
      <c r="C28" s="18">
        <v>1.0470999999999999</v>
      </c>
      <c r="D28" s="18">
        <v>0.5736</v>
      </c>
      <c r="E28" s="18">
        <v>0.93020000000000003</v>
      </c>
      <c r="F28" s="18">
        <v>7.8299999999999995E-2</v>
      </c>
      <c r="G28" s="18">
        <v>0.1046</v>
      </c>
      <c r="H28" s="18">
        <v>0.18890000000000001</v>
      </c>
      <c r="I28" s="18">
        <v>5.1999999999999998E-2</v>
      </c>
      <c r="J28" s="18">
        <v>0.2243</v>
      </c>
      <c r="K28" s="18">
        <v>9.5500000000000002E-2</v>
      </c>
      <c r="L28" s="18">
        <v>5.1999999999999998E-2</v>
      </c>
      <c r="M28" s="18">
        <v>0.16830000000000001</v>
      </c>
      <c r="N28" s="18">
        <v>0.1515</v>
      </c>
      <c r="O28" s="18">
        <v>5.1999999999999998E-2</v>
      </c>
      <c r="P28" s="18">
        <v>0.14530000000000001</v>
      </c>
      <c r="Q28" s="18">
        <v>0.1701</v>
      </c>
      <c r="R28" s="18">
        <v>5.6399999999999999E-2</v>
      </c>
      <c r="S28" s="18">
        <v>0.18890000000000001</v>
      </c>
      <c r="T28" s="18">
        <v>0.157</v>
      </c>
      <c r="U28" s="18">
        <v>0.10920000000000001</v>
      </c>
      <c r="V28" s="18">
        <v>0.21510000000000001</v>
      </c>
      <c r="W28" s="18">
        <v>0.70979999999999999</v>
      </c>
      <c r="X28" s="18">
        <v>0.63390000000000002</v>
      </c>
      <c r="Y28" s="18">
        <v>0.2616</v>
      </c>
      <c r="Z28" s="18">
        <v>5.6399999999999999E-2</v>
      </c>
      <c r="AA28" s="18">
        <v>0.17019999999999999</v>
      </c>
      <c r="AB28" s="18">
        <v>7.0699999999999999E-2</v>
      </c>
      <c r="AC28" s="18">
        <v>0.19320000000000001</v>
      </c>
      <c r="AD28" s="18">
        <v>0.12670000000000001</v>
      </c>
      <c r="AE28" s="18">
        <v>0.12839999999999999</v>
      </c>
      <c r="AF28" s="18">
        <v>0.2074</v>
      </c>
      <c r="AG28" s="18">
        <v>0.14080000000000001</v>
      </c>
      <c r="AH28" s="18">
        <v>0.27850000000000003</v>
      </c>
      <c r="AI28" s="18">
        <v>0.2671</v>
      </c>
      <c r="AJ28" s="18">
        <v>0.1981</v>
      </c>
      <c r="AK28" s="18">
        <v>0.24679999999999999</v>
      </c>
      <c r="AL28" s="18">
        <v>0.13769999999999999</v>
      </c>
      <c r="AM28" s="18">
        <v>1.0737000000000001</v>
      </c>
      <c r="AN28" s="18">
        <v>1.4547000000000001</v>
      </c>
      <c r="AO28" s="18">
        <v>8.5999999999999993E-2</v>
      </c>
      <c r="AP28" s="18">
        <v>0.45340000000000003</v>
      </c>
      <c r="AQ28" s="18">
        <v>0.54139999999999999</v>
      </c>
      <c r="AR28" s="18">
        <v>0.5363</v>
      </c>
      <c r="AS28" s="18">
        <v>0.73950000000000005</v>
      </c>
      <c r="AT28" s="18">
        <v>1.5129999999999999</v>
      </c>
      <c r="AU28" s="18">
        <v>2.0651999999999999</v>
      </c>
      <c r="AV28" s="18">
        <v>0.91410000000000002</v>
      </c>
      <c r="AW28" s="18">
        <v>1.2317</v>
      </c>
      <c r="AX28" s="18">
        <v>0.7</v>
      </c>
    </row>
    <row r="29" spans="1:50" x14ac:dyDescent="0.25">
      <c r="A29" s="17" t="s">
        <v>249</v>
      </c>
      <c r="B29" s="13" t="s">
        <v>222</v>
      </c>
      <c r="C29" s="18">
        <v>1.0705</v>
      </c>
      <c r="D29" s="18">
        <v>1.0429999999999999</v>
      </c>
      <c r="E29" s="18">
        <v>5.8400000000000001E-2</v>
      </c>
      <c r="F29" s="18">
        <v>0.2291</v>
      </c>
      <c r="G29" s="18">
        <v>0.1171</v>
      </c>
      <c r="H29" s="18">
        <v>0.1414</v>
      </c>
      <c r="I29" s="18">
        <v>0.2112</v>
      </c>
      <c r="J29" s="18">
        <v>5.1999999999999998E-2</v>
      </c>
      <c r="K29" s="18">
        <v>0.27160000000000001</v>
      </c>
      <c r="L29" s="18">
        <v>8.09E-2</v>
      </c>
      <c r="M29" s="18">
        <v>5.1999999999999998E-2</v>
      </c>
      <c r="N29" s="18">
        <v>0.30059999999999998</v>
      </c>
      <c r="O29" s="18">
        <v>5.1999999999999998E-2</v>
      </c>
      <c r="P29" s="18">
        <v>0.20269999999999999</v>
      </c>
      <c r="Q29" s="18">
        <v>0.38600000000000001</v>
      </c>
      <c r="R29" s="18">
        <v>5.1999999999999998E-2</v>
      </c>
      <c r="S29" s="18">
        <v>0.2044</v>
      </c>
      <c r="T29" s="18">
        <v>1.1387</v>
      </c>
      <c r="U29" s="18">
        <v>8.7999999999999995E-2</v>
      </c>
      <c r="V29" s="18">
        <v>1.2314000000000001</v>
      </c>
      <c r="W29" s="18">
        <v>1.2423</v>
      </c>
      <c r="X29" s="18">
        <v>0.39240000000000003</v>
      </c>
      <c r="Y29" s="18">
        <v>0.32569999999999999</v>
      </c>
      <c r="Z29" s="18">
        <v>1.3251999999999999</v>
      </c>
      <c r="AA29" s="18">
        <v>0.52890000000000004</v>
      </c>
      <c r="AB29" s="18">
        <v>0.37990000000000002</v>
      </c>
      <c r="AC29" s="18">
        <v>0.19589999999999999</v>
      </c>
      <c r="AD29" s="18">
        <v>0.18529999999999999</v>
      </c>
      <c r="AE29" s="18">
        <v>0.35830000000000001</v>
      </c>
      <c r="AF29" s="18">
        <v>8.3900000000000002E-2</v>
      </c>
      <c r="AG29" s="18">
        <v>0.28320000000000001</v>
      </c>
      <c r="AH29" s="18">
        <v>0.26100000000000001</v>
      </c>
      <c r="AI29" s="18">
        <v>0.22109999999999999</v>
      </c>
      <c r="AJ29" s="18">
        <v>0.33050000000000002</v>
      </c>
      <c r="AK29" s="18">
        <v>0.66800000000000004</v>
      </c>
      <c r="AL29" s="18">
        <v>1.3922000000000001</v>
      </c>
      <c r="AM29" s="18">
        <v>0.66549999999999998</v>
      </c>
      <c r="AN29" s="18">
        <v>1.4903999999999999</v>
      </c>
      <c r="AO29" s="18">
        <v>0.50370000000000004</v>
      </c>
      <c r="AP29" s="18">
        <v>5.8400000000000001E-2</v>
      </c>
      <c r="AQ29" s="18">
        <v>1.4034</v>
      </c>
      <c r="AR29" s="18">
        <v>0.61699999999999999</v>
      </c>
      <c r="AS29" s="18">
        <v>1.2444999999999999</v>
      </c>
      <c r="AT29" s="18">
        <v>0.63360000000000005</v>
      </c>
      <c r="AU29" s="18">
        <v>1.0956999999999999</v>
      </c>
      <c r="AV29" s="18">
        <v>0.78820000000000001</v>
      </c>
      <c r="AW29" s="18">
        <v>0.81100000000000005</v>
      </c>
      <c r="AX29" s="18">
        <v>0.22819999999999999</v>
      </c>
    </row>
    <row r="30" spans="1:50" x14ac:dyDescent="0.25">
      <c r="A30" s="8" t="s">
        <v>76</v>
      </c>
      <c r="B30" s="10" t="s">
        <v>57</v>
      </c>
      <c r="C30" s="16">
        <v>0.15160000000000001</v>
      </c>
      <c r="D30" s="16">
        <v>0.4037</v>
      </c>
      <c r="E30" s="16">
        <v>0.64700000000000002</v>
      </c>
      <c r="F30" s="16">
        <v>0.6764</v>
      </c>
      <c r="G30" s="16">
        <v>0.55869999999999997</v>
      </c>
      <c r="H30" s="16">
        <v>5.5E-2</v>
      </c>
      <c r="I30" s="16">
        <v>6.1400000000000003E-2</v>
      </c>
      <c r="J30" s="16">
        <v>0.19020000000000001</v>
      </c>
      <c r="K30" s="16">
        <v>5.5E-2</v>
      </c>
      <c r="L30" s="16">
        <v>0.19670000000000001</v>
      </c>
      <c r="M30" s="16">
        <v>5.5E-2</v>
      </c>
      <c r="N30" s="16">
        <v>0.10009999999999999</v>
      </c>
      <c r="O30" s="16">
        <v>0.15160000000000001</v>
      </c>
      <c r="P30" s="16">
        <v>5.5E-2</v>
      </c>
      <c r="Q30" s="16">
        <v>0.19670000000000001</v>
      </c>
      <c r="R30" s="16">
        <v>5.5E-2</v>
      </c>
      <c r="S30" s="16">
        <v>0.19670000000000001</v>
      </c>
      <c r="T30" s="16">
        <v>0.23250000000000001</v>
      </c>
      <c r="U30" s="16">
        <v>0.2009</v>
      </c>
      <c r="V30" s="16">
        <v>0.31</v>
      </c>
      <c r="W30" s="16">
        <v>0.44209999999999999</v>
      </c>
      <c r="X30" s="16">
        <v>0.48930000000000001</v>
      </c>
      <c r="Y30" s="16">
        <v>0.27610000000000001</v>
      </c>
      <c r="Z30" s="16">
        <v>0.64449999999999996</v>
      </c>
      <c r="AA30" s="16">
        <v>3.9178000000000002</v>
      </c>
      <c r="AB30" s="16">
        <v>2.9216000000000002</v>
      </c>
      <c r="AC30" s="16">
        <v>0.61219999999999997</v>
      </c>
      <c r="AD30" s="16">
        <v>0.14610000000000001</v>
      </c>
      <c r="AE30" s="16">
        <v>2.024</v>
      </c>
      <c r="AF30" s="16">
        <v>0.2306</v>
      </c>
      <c r="AG30" s="16">
        <v>0.26350000000000001</v>
      </c>
      <c r="AH30" s="16">
        <v>0.25679999999999997</v>
      </c>
      <c r="AI30" s="16">
        <v>0.27739999999999998</v>
      </c>
      <c r="AJ30" s="16">
        <v>0.11360000000000001</v>
      </c>
      <c r="AK30" s="16">
        <v>1.5768</v>
      </c>
      <c r="AL30" s="16">
        <v>0.92869999999999997</v>
      </c>
      <c r="AM30" s="16">
        <v>0.1847</v>
      </c>
      <c r="AN30" s="16">
        <v>0.31440000000000001</v>
      </c>
      <c r="AO30" s="16">
        <v>0.18210000000000001</v>
      </c>
      <c r="AP30" s="16">
        <v>0.3357</v>
      </c>
      <c r="AQ30" s="16">
        <v>0.66479999999999995</v>
      </c>
      <c r="AR30" s="16">
        <v>0.60040000000000004</v>
      </c>
      <c r="AS30" s="16">
        <v>0.55740000000000001</v>
      </c>
      <c r="AT30" s="16">
        <v>0.71870000000000001</v>
      </c>
      <c r="AU30" s="16">
        <v>0.89119999999999999</v>
      </c>
      <c r="AV30" s="16">
        <v>0.87309999999999999</v>
      </c>
      <c r="AW30" s="16">
        <v>0.8478</v>
      </c>
      <c r="AX30" s="16">
        <v>5.5E-2</v>
      </c>
    </row>
    <row r="31" spans="1:50" x14ac:dyDescent="0.25">
      <c r="A31" s="17" t="s">
        <v>251</v>
      </c>
      <c r="B31" s="13" t="s">
        <v>222</v>
      </c>
      <c r="C31" s="18">
        <v>0.57030000000000003</v>
      </c>
      <c r="D31" s="18">
        <v>0.71250000000000002</v>
      </c>
      <c r="E31" s="18">
        <v>9.2700000000000005E-2</v>
      </c>
      <c r="F31" s="18">
        <v>0.17100000000000001</v>
      </c>
      <c r="G31" s="18">
        <v>0.14230000000000001</v>
      </c>
      <c r="H31" s="18">
        <v>4.8000000000000001E-2</v>
      </c>
      <c r="I31" s="18">
        <v>0.26529999999999998</v>
      </c>
      <c r="J31" s="18">
        <v>4.8000000000000001E-2</v>
      </c>
      <c r="K31" s="18">
        <v>0.20760000000000001</v>
      </c>
      <c r="L31" s="18">
        <v>0.1057</v>
      </c>
      <c r="M31" s="18">
        <v>4.8000000000000001E-2</v>
      </c>
      <c r="N31" s="18">
        <v>0.1368</v>
      </c>
      <c r="O31" s="18">
        <v>0.1095</v>
      </c>
      <c r="P31" s="18">
        <v>7.5300000000000006E-2</v>
      </c>
      <c r="Q31" s="18">
        <v>0.22309999999999999</v>
      </c>
      <c r="R31" s="18">
        <v>6.2899999999999998E-2</v>
      </c>
      <c r="S31" s="18">
        <v>0.2225</v>
      </c>
      <c r="T31" s="18">
        <v>9.0800000000000006E-2</v>
      </c>
      <c r="U31" s="18">
        <v>4.8000000000000001E-2</v>
      </c>
      <c r="V31" s="18">
        <v>0.26529999999999998</v>
      </c>
      <c r="W31" s="18">
        <v>4.8000000000000001E-2</v>
      </c>
      <c r="X31" s="18">
        <v>0.1648</v>
      </c>
      <c r="Y31" s="18">
        <v>0.14860000000000001</v>
      </c>
      <c r="Z31" s="18">
        <v>9.0200000000000002E-2</v>
      </c>
      <c r="AA31" s="18">
        <v>0.27289999999999998</v>
      </c>
      <c r="AB31" s="18">
        <v>0.2268</v>
      </c>
      <c r="AC31" s="18">
        <v>0.14610000000000001</v>
      </c>
      <c r="AD31" s="18">
        <v>0.15229999999999999</v>
      </c>
      <c r="AE31" s="18">
        <v>9.2700000000000005E-2</v>
      </c>
      <c r="AF31" s="18">
        <v>0.27429999999999999</v>
      </c>
      <c r="AG31" s="18">
        <v>0.26390000000000002</v>
      </c>
      <c r="AH31" s="18">
        <v>0.35770000000000002</v>
      </c>
      <c r="AI31" s="18">
        <v>2.5428999999999999</v>
      </c>
      <c r="AJ31" s="18">
        <v>0.2717</v>
      </c>
      <c r="AK31" s="18">
        <v>0.4078</v>
      </c>
      <c r="AL31" s="18">
        <v>0.19040000000000001</v>
      </c>
      <c r="AM31" s="18">
        <v>0.33250000000000002</v>
      </c>
      <c r="AN31" s="18">
        <v>0.22650000000000001</v>
      </c>
      <c r="AO31" s="18">
        <v>0.19020000000000001</v>
      </c>
      <c r="AP31" s="18">
        <v>0.1232</v>
      </c>
      <c r="AQ31" s="18">
        <v>0.115</v>
      </c>
      <c r="AR31" s="18">
        <v>0.1983</v>
      </c>
      <c r="AS31" s="18">
        <v>0.1515</v>
      </c>
      <c r="AT31" s="18">
        <v>0.30359999999999998</v>
      </c>
      <c r="AU31" s="18">
        <v>0.69720000000000004</v>
      </c>
      <c r="AV31" s="18">
        <v>0.56859999999999999</v>
      </c>
      <c r="AW31" s="18">
        <v>0.50990000000000002</v>
      </c>
      <c r="AX31" s="18">
        <v>7.5300000000000006E-2</v>
      </c>
    </row>
    <row r="32" spans="1:50" x14ac:dyDescent="0.25">
      <c r="A32" s="17" t="s">
        <v>253</v>
      </c>
      <c r="B32" s="13" t="s">
        <v>222</v>
      </c>
      <c r="C32" s="18">
        <v>0.1002</v>
      </c>
      <c r="D32" s="18">
        <v>0.12180000000000001</v>
      </c>
      <c r="E32" s="18">
        <v>0.11609999999999999</v>
      </c>
      <c r="F32" s="18">
        <v>0.16039999999999999</v>
      </c>
      <c r="G32" s="18">
        <v>5.7000000000000002E-2</v>
      </c>
      <c r="H32" s="18">
        <v>7.8600000000000003E-2</v>
      </c>
      <c r="I32" s="18">
        <v>0.27629999999999999</v>
      </c>
      <c r="J32" s="18">
        <v>8.6499999999999994E-2</v>
      </c>
      <c r="K32" s="18">
        <v>9.3899999999999997E-2</v>
      </c>
      <c r="L32" s="18">
        <v>0.1825</v>
      </c>
      <c r="M32" s="18">
        <v>5.7000000000000002E-2</v>
      </c>
      <c r="N32" s="18">
        <v>0.16500000000000001</v>
      </c>
      <c r="O32" s="18">
        <v>0.1308</v>
      </c>
      <c r="P32" s="18">
        <v>0.2104</v>
      </c>
      <c r="Q32" s="18">
        <v>0.1002</v>
      </c>
      <c r="R32" s="18">
        <v>0.21940000000000001</v>
      </c>
      <c r="S32" s="18">
        <v>0.1056</v>
      </c>
      <c r="T32" s="18">
        <v>0.1164</v>
      </c>
      <c r="U32" s="18">
        <v>0.23019999999999999</v>
      </c>
      <c r="V32" s="18">
        <v>0.1542</v>
      </c>
      <c r="W32" s="18">
        <v>0.1308</v>
      </c>
      <c r="X32" s="18">
        <v>0.14560000000000001</v>
      </c>
      <c r="Y32" s="18">
        <v>0.16500000000000001</v>
      </c>
      <c r="Z32" s="18">
        <v>0.21940000000000001</v>
      </c>
      <c r="AA32" s="18">
        <v>5.7000000000000002E-2</v>
      </c>
      <c r="AB32" s="18">
        <v>0.16500000000000001</v>
      </c>
      <c r="AC32" s="18">
        <v>0.1235</v>
      </c>
      <c r="AD32" s="18">
        <v>0.153</v>
      </c>
      <c r="AE32" s="18">
        <v>0.16500000000000001</v>
      </c>
      <c r="AF32" s="18">
        <v>0.1308</v>
      </c>
      <c r="AG32" s="18">
        <v>0.14560000000000001</v>
      </c>
      <c r="AH32" s="18">
        <v>0.16500000000000001</v>
      </c>
      <c r="AI32" s="18">
        <v>0.21210000000000001</v>
      </c>
      <c r="AJ32" s="18">
        <v>6.4399999999999999E-2</v>
      </c>
      <c r="AK32" s="18">
        <v>0.1678</v>
      </c>
      <c r="AL32" s="18">
        <v>0.1951</v>
      </c>
      <c r="AM32" s="18">
        <v>7.8600000000000003E-2</v>
      </c>
      <c r="AN32" s="18">
        <v>0.21940000000000001</v>
      </c>
      <c r="AO32" s="18">
        <v>5.7000000000000002E-2</v>
      </c>
      <c r="AP32" s="18">
        <v>0.1678</v>
      </c>
      <c r="AQ32" s="18">
        <v>0.2177</v>
      </c>
      <c r="AR32" s="18">
        <v>0.38240000000000002</v>
      </c>
      <c r="AS32" s="18">
        <v>0.65820000000000001</v>
      </c>
      <c r="AT32" s="18">
        <v>0.43159999999999998</v>
      </c>
      <c r="AU32" s="18">
        <v>0.4859</v>
      </c>
      <c r="AV32" s="18">
        <v>0.2616</v>
      </c>
      <c r="AW32" s="18">
        <v>6.2399999999999997E-2</v>
      </c>
      <c r="AX32" s="18">
        <v>0.32200000000000001</v>
      </c>
    </row>
    <row r="33" spans="1:50" x14ac:dyDescent="0.25">
      <c r="A33" s="8" t="s">
        <v>78</v>
      </c>
      <c r="B33" s="10" t="s">
        <v>57</v>
      </c>
      <c r="C33" s="16">
        <v>1.0279</v>
      </c>
      <c r="D33" s="16">
        <v>1.1744000000000001</v>
      </c>
      <c r="E33" s="16">
        <v>5.7000000000000002E-2</v>
      </c>
      <c r="F33" s="16">
        <v>0.21010000000000001</v>
      </c>
      <c r="G33" s="16">
        <v>8.1199999999999994E-2</v>
      </c>
      <c r="H33" s="16">
        <v>5.7000000000000002E-2</v>
      </c>
      <c r="I33" s="16">
        <v>0.23430000000000001</v>
      </c>
      <c r="J33" s="16">
        <v>5.7000000000000002E-2</v>
      </c>
      <c r="K33" s="16">
        <v>0.1376</v>
      </c>
      <c r="L33" s="16">
        <v>0.1537</v>
      </c>
      <c r="M33" s="16">
        <v>5.7000000000000002E-2</v>
      </c>
      <c r="N33" s="16">
        <v>0.23430000000000001</v>
      </c>
      <c r="O33" s="16">
        <v>5.7000000000000002E-2</v>
      </c>
      <c r="P33" s="16">
        <v>6.2799999999999995E-2</v>
      </c>
      <c r="Q33" s="16">
        <v>0.30059999999999998</v>
      </c>
      <c r="R33" s="16">
        <v>0.12640000000000001</v>
      </c>
      <c r="S33" s="16">
        <v>0.74509999999999998</v>
      </c>
      <c r="T33" s="16">
        <v>0.55130000000000001</v>
      </c>
      <c r="U33" s="16">
        <v>0.2545</v>
      </c>
      <c r="V33" s="16">
        <v>0.26119999999999999</v>
      </c>
      <c r="W33" s="16">
        <v>0.51349999999999996</v>
      </c>
      <c r="X33" s="16">
        <v>0.47849999999999998</v>
      </c>
      <c r="Y33" s="16">
        <v>0.21629999999999999</v>
      </c>
      <c r="Z33" s="16">
        <v>0.1779</v>
      </c>
      <c r="AA33" s="16">
        <v>0.1134</v>
      </c>
      <c r="AB33" s="16">
        <v>7.3099999999999998E-2</v>
      </c>
      <c r="AC33" s="16">
        <v>0.21809999999999999</v>
      </c>
      <c r="AD33" s="16">
        <v>5.7000000000000002E-2</v>
      </c>
      <c r="AE33" s="16">
        <v>0.23430000000000001</v>
      </c>
      <c r="AF33" s="16">
        <v>0.3831</v>
      </c>
      <c r="AG33" s="16">
        <v>1.5327</v>
      </c>
      <c r="AH33" s="16">
        <v>0.3639</v>
      </c>
      <c r="AI33" s="16">
        <v>0.44319999999999998</v>
      </c>
      <c r="AJ33" s="16">
        <v>0.49640000000000001</v>
      </c>
      <c r="AK33" s="16">
        <v>0.30030000000000001</v>
      </c>
      <c r="AL33" s="16">
        <v>0.1113</v>
      </c>
      <c r="AM33" s="16">
        <v>0.13150000000000001</v>
      </c>
      <c r="AN33" s="16">
        <v>0.68569999999999998</v>
      </c>
      <c r="AO33" s="16">
        <v>0.3886</v>
      </c>
      <c r="AP33" s="16">
        <v>0.4098</v>
      </c>
      <c r="AQ33" s="16">
        <v>2.0247999999999999</v>
      </c>
      <c r="AR33" s="16">
        <v>0.90139999999999998</v>
      </c>
      <c r="AS33" s="16">
        <v>0.96830000000000005</v>
      </c>
      <c r="AT33" s="16">
        <v>0.87290000000000001</v>
      </c>
      <c r="AU33" s="16">
        <v>0.60880000000000001</v>
      </c>
      <c r="AV33" s="16">
        <v>0.88600000000000001</v>
      </c>
      <c r="AW33" s="16">
        <v>0.64839999999999998</v>
      </c>
      <c r="AX33" s="16">
        <v>0.75319999999999998</v>
      </c>
    </row>
    <row r="34" spans="1:50" x14ac:dyDescent="0.25">
      <c r="A34" s="8" t="s">
        <v>80</v>
      </c>
      <c r="B34" s="10" t="s">
        <v>57</v>
      </c>
      <c r="C34" s="16">
        <v>0.27279999999999999</v>
      </c>
      <c r="D34" s="16">
        <v>4.9000000000000002E-2</v>
      </c>
      <c r="E34" s="16">
        <v>0.29730000000000001</v>
      </c>
      <c r="F34" s="16">
        <v>9.8799999999999999E-2</v>
      </c>
      <c r="G34" s="16">
        <v>4.9000000000000002E-2</v>
      </c>
      <c r="H34" s="16">
        <v>0.22259999999999999</v>
      </c>
      <c r="I34" s="16">
        <v>5.7299999999999997E-2</v>
      </c>
      <c r="J34" s="16">
        <v>0.19009999999999999</v>
      </c>
      <c r="K34" s="16">
        <v>0.20610000000000001</v>
      </c>
      <c r="L34" s="16">
        <v>0.1653</v>
      </c>
      <c r="M34" s="16">
        <v>0.23089999999999999</v>
      </c>
      <c r="N34" s="16">
        <v>4.9000000000000002E-2</v>
      </c>
      <c r="O34" s="16">
        <v>0.2397</v>
      </c>
      <c r="P34" s="16">
        <v>0.1565</v>
      </c>
      <c r="Q34" s="16">
        <v>0.18179999999999999</v>
      </c>
      <c r="R34" s="16">
        <v>0.21429999999999999</v>
      </c>
      <c r="S34" s="16">
        <v>0.26960000000000001</v>
      </c>
      <c r="T34" s="16">
        <v>0.42730000000000001</v>
      </c>
      <c r="U34" s="16">
        <v>0.2109</v>
      </c>
      <c r="V34" s="16">
        <v>0.1071</v>
      </c>
      <c r="W34" s="16">
        <v>0.33689999999999998</v>
      </c>
      <c r="X34" s="16">
        <v>4.9000000000000002E-2</v>
      </c>
      <c r="Y34" s="16">
        <v>0.18129999999999999</v>
      </c>
      <c r="Z34" s="16">
        <v>0.21490000000000001</v>
      </c>
      <c r="AA34" s="16">
        <v>4.9000000000000002E-2</v>
      </c>
      <c r="AB34" s="16">
        <v>8.2100000000000006E-2</v>
      </c>
      <c r="AC34" s="16">
        <v>0.30580000000000002</v>
      </c>
      <c r="AD34" s="16">
        <v>0.1052</v>
      </c>
      <c r="AE34" s="16">
        <v>0.11509999999999999</v>
      </c>
      <c r="AF34" s="16">
        <v>0.28100000000000003</v>
      </c>
      <c r="AG34" s="16">
        <v>4.9000000000000002E-2</v>
      </c>
      <c r="AH34" s="16">
        <v>0.23089999999999999</v>
      </c>
      <c r="AI34" s="16">
        <v>0.1653</v>
      </c>
      <c r="AJ34" s="16">
        <v>4.9000000000000002E-2</v>
      </c>
      <c r="AK34" s="16">
        <v>0.28899999999999998</v>
      </c>
      <c r="AL34" s="16">
        <v>0.1071</v>
      </c>
      <c r="AM34" s="16">
        <v>9.8599999999999993E-2</v>
      </c>
      <c r="AN34" s="16">
        <v>0.29759999999999998</v>
      </c>
      <c r="AO34" s="16">
        <v>4.9000000000000002E-2</v>
      </c>
      <c r="AP34" s="16">
        <v>0.1071</v>
      </c>
      <c r="AQ34" s="16">
        <v>0.38919999999999999</v>
      </c>
      <c r="AR34" s="16">
        <v>0.51590000000000003</v>
      </c>
      <c r="AS34" s="16">
        <v>0.45390000000000003</v>
      </c>
      <c r="AT34" s="16">
        <v>0.4355</v>
      </c>
      <c r="AU34" s="16">
        <v>0.92749999999999999</v>
      </c>
      <c r="AV34" s="16">
        <v>0.81410000000000005</v>
      </c>
      <c r="AW34" s="16">
        <v>0.61070000000000002</v>
      </c>
      <c r="AX34" s="16">
        <v>0.82989999999999997</v>
      </c>
    </row>
    <row r="35" spans="1:50" x14ac:dyDescent="0.25">
      <c r="A35" s="8" t="s">
        <v>82</v>
      </c>
      <c r="B35" s="10" t="s">
        <v>57</v>
      </c>
      <c r="C35" s="16">
        <v>0.28029999999999999</v>
      </c>
      <c r="D35" s="16">
        <v>4.8000000000000001E-2</v>
      </c>
      <c r="E35" s="16">
        <v>0.24729999999999999</v>
      </c>
      <c r="F35" s="16">
        <v>0.1221</v>
      </c>
      <c r="G35" s="16">
        <v>4.8000000000000001E-2</v>
      </c>
      <c r="H35" s="16">
        <v>0.20230000000000001</v>
      </c>
      <c r="I35" s="16">
        <v>0.15920000000000001</v>
      </c>
      <c r="J35" s="16">
        <v>6.3299999999999995E-2</v>
      </c>
      <c r="K35" s="16">
        <v>0.20230000000000001</v>
      </c>
      <c r="L35" s="16">
        <v>0.1598</v>
      </c>
      <c r="M35" s="16">
        <v>4.8000000000000001E-2</v>
      </c>
      <c r="N35" s="16">
        <v>0.26869999999999999</v>
      </c>
      <c r="O35" s="16">
        <v>0.43240000000000001</v>
      </c>
      <c r="P35" s="16">
        <v>5.45E-2</v>
      </c>
      <c r="Q35" s="16">
        <v>1.0979000000000001</v>
      </c>
      <c r="R35" s="16">
        <v>2.67</v>
      </c>
      <c r="S35" s="16">
        <v>4.2191999999999998</v>
      </c>
      <c r="T35" s="16">
        <v>1.1146</v>
      </c>
      <c r="U35" s="16">
        <v>0.31640000000000001</v>
      </c>
      <c r="V35" s="16">
        <v>0.95669999999999999</v>
      </c>
      <c r="W35" s="16">
        <v>0.18920000000000001</v>
      </c>
      <c r="X35" s="16">
        <v>0.1172</v>
      </c>
      <c r="Y35" s="16">
        <v>1.52</v>
      </c>
      <c r="Z35" s="16">
        <v>0.69069999999999998</v>
      </c>
      <c r="AA35" s="16">
        <v>0.18340000000000001</v>
      </c>
      <c r="AB35" s="16">
        <v>0.35670000000000002</v>
      </c>
      <c r="AC35" s="16">
        <v>0.18920000000000001</v>
      </c>
      <c r="AD35" s="16">
        <v>0.18029999999999999</v>
      </c>
      <c r="AE35" s="16">
        <v>0.1537</v>
      </c>
      <c r="AF35" s="16">
        <v>0.35320000000000001</v>
      </c>
      <c r="AG35" s="16">
        <v>0.34350000000000003</v>
      </c>
      <c r="AH35" s="16">
        <v>0.158</v>
      </c>
      <c r="AI35" s="16">
        <v>0.627</v>
      </c>
      <c r="AJ35" s="16">
        <v>0.14580000000000001</v>
      </c>
      <c r="AK35" s="16">
        <v>1.3715999999999999</v>
      </c>
      <c r="AL35" s="16">
        <v>3.4335</v>
      </c>
      <c r="AM35" s="16">
        <v>2.2435</v>
      </c>
      <c r="AN35" s="16">
        <v>1.288</v>
      </c>
      <c r="AO35" s="16">
        <v>0.93840000000000001</v>
      </c>
      <c r="AP35" s="16">
        <v>1.5027999999999999</v>
      </c>
      <c r="AQ35" s="16">
        <v>0.83279999999999998</v>
      </c>
      <c r="AR35" s="16">
        <v>0.74</v>
      </c>
      <c r="AS35" s="16">
        <v>0.47199999999999998</v>
      </c>
      <c r="AT35" s="16">
        <v>0.82220000000000004</v>
      </c>
      <c r="AU35" s="16">
        <v>1.2448999999999999</v>
      </c>
      <c r="AV35" s="16">
        <v>0.70250000000000001</v>
      </c>
      <c r="AW35" s="16">
        <v>0.52390000000000003</v>
      </c>
      <c r="AX35" s="16">
        <v>0.70330000000000004</v>
      </c>
    </row>
    <row r="36" spans="1:50" x14ac:dyDescent="0.25">
      <c r="A36" s="17" t="s">
        <v>255</v>
      </c>
      <c r="B36" s="13" t="s">
        <v>222</v>
      </c>
      <c r="C36" s="18">
        <v>4.5999999999999999E-2</v>
      </c>
      <c r="D36" s="18">
        <v>0.1588</v>
      </c>
      <c r="E36" s="18">
        <v>0.1193</v>
      </c>
      <c r="F36" s="18">
        <v>0.28789999999999999</v>
      </c>
      <c r="G36" s="18">
        <v>5.7299999999999997E-2</v>
      </c>
      <c r="H36" s="18">
        <v>4.5999999999999999E-2</v>
      </c>
      <c r="I36" s="18">
        <v>0.2306</v>
      </c>
      <c r="J36" s="18">
        <v>0.18790000000000001</v>
      </c>
      <c r="K36" s="18">
        <v>0.1575</v>
      </c>
      <c r="L36" s="18">
        <v>9.01E-2</v>
      </c>
      <c r="M36" s="18">
        <v>0.2092</v>
      </c>
      <c r="N36" s="18">
        <v>0.23269999999999999</v>
      </c>
      <c r="O36" s="18">
        <v>0.14580000000000001</v>
      </c>
      <c r="P36" s="18">
        <v>0.2465</v>
      </c>
      <c r="Q36" s="18">
        <v>0.1174</v>
      </c>
      <c r="R36" s="18">
        <v>0.1137</v>
      </c>
      <c r="S36" s="18">
        <v>4.5999999999999999E-2</v>
      </c>
      <c r="T36" s="18">
        <v>0.1971</v>
      </c>
      <c r="U36" s="18">
        <v>0.22140000000000001</v>
      </c>
      <c r="V36" s="18">
        <v>8.0100000000000005E-2</v>
      </c>
      <c r="W36" s="18">
        <v>0.33179999999999998</v>
      </c>
      <c r="X36" s="18">
        <v>5.2600000000000001E-2</v>
      </c>
      <c r="Y36" s="18">
        <v>0.26750000000000002</v>
      </c>
      <c r="Z36" s="18">
        <v>0.151</v>
      </c>
      <c r="AA36" s="18">
        <v>0.22819999999999999</v>
      </c>
      <c r="AB36" s="18">
        <v>0.1903</v>
      </c>
      <c r="AC36" s="18">
        <v>7.9899999999999999E-2</v>
      </c>
      <c r="AD36" s="18">
        <v>0.25380000000000003</v>
      </c>
      <c r="AE36" s="18">
        <v>0.1409</v>
      </c>
      <c r="AF36" s="18">
        <v>0.38500000000000001</v>
      </c>
      <c r="AG36" s="18">
        <v>0.28539999999999999</v>
      </c>
      <c r="AH36" s="18">
        <v>0.1115</v>
      </c>
      <c r="AI36" s="18">
        <v>4.99E-2</v>
      </c>
      <c r="AJ36" s="18">
        <v>9.7600000000000006E-2</v>
      </c>
      <c r="AK36" s="18">
        <v>0.2802</v>
      </c>
      <c r="AL36" s="18">
        <v>0.24340000000000001</v>
      </c>
      <c r="AM36" s="18">
        <v>0.39250000000000002</v>
      </c>
      <c r="AN36" s="18">
        <v>0.2389</v>
      </c>
      <c r="AO36" s="18">
        <v>0.18410000000000001</v>
      </c>
      <c r="AP36" s="18">
        <v>0.45860000000000001</v>
      </c>
      <c r="AQ36" s="18">
        <v>0.79279999999999995</v>
      </c>
      <c r="AR36" s="18">
        <v>0.41930000000000001</v>
      </c>
      <c r="AS36" s="18">
        <v>0.29060000000000002</v>
      </c>
      <c r="AT36" s="18">
        <v>0.46339999999999998</v>
      </c>
      <c r="AU36" s="18">
        <v>0.53300000000000003</v>
      </c>
      <c r="AV36" s="18">
        <v>0.59350000000000003</v>
      </c>
      <c r="AW36" s="18">
        <v>0.54549999999999998</v>
      </c>
      <c r="AX36" s="18">
        <v>0.2354</v>
      </c>
    </row>
    <row r="37" spans="1:50" x14ac:dyDescent="0.25">
      <c r="A37" s="17" t="s">
        <v>257</v>
      </c>
      <c r="B37" s="13" t="s">
        <v>222</v>
      </c>
      <c r="C37" s="18">
        <v>6.0999999999999999E-2</v>
      </c>
      <c r="D37" s="18">
        <v>5.2299999999999999E-2</v>
      </c>
      <c r="E37" s="18">
        <v>0.12139999999999999</v>
      </c>
      <c r="F37" s="18">
        <v>4.8000000000000001E-2</v>
      </c>
      <c r="G37" s="18">
        <v>0.1258</v>
      </c>
      <c r="H37" s="18">
        <v>5.2299999999999999E-2</v>
      </c>
      <c r="I37" s="18">
        <v>0.12139999999999999</v>
      </c>
      <c r="J37" s="18">
        <v>5.2299999999999999E-2</v>
      </c>
      <c r="K37" s="18">
        <v>0.12139999999999999</v>
      </c>
      <c r="L37" s="18">
        <v>4.8000000000000001E-2</v>
      </c>
      <c r="M37" s="18">
        <v>0.1258</v>
      </c>
      <c r="N37" s="18">
        <v>4.8000000000000001E-2</v>
      </c>
      <c r="O37" s="18">
        <v>6.0999999999999999E-2</v>
      </c>
      <c r="P37" s="18">
        <v>0.1128</v>
      </c>
      <c r="Q37" s="18">
        <v>8.6900000000000005E-2</v>
      </c>
      <c r="R37" s="18">
        <v>8.6900000000000005E-2</v>
      </c>
      <c r="S37" s="18">
        <v>5.6599999999999998E-2</v>
      </c>
      <c r="T37" s="18">
        <v>0.1171</v>
      </c>
      <c r="U37" s="18">
        <v>4.8000000000000001E-2</v>
      </c>
      <c r="V37" s="18">
        <v>4.8000000000000001E-2</v>
      </c>
      <c r="W37" s="18">
        <v>4.8000000000000001E-2</v>
      </c>
      <c r="X37" s="18">
        <v>0.1085</v>
      </c>
      <c r="Y37" s="18">
        <v>6.5299999999999997E-2</v>
      </c>
      <c r="Z37" s="18">
        <v>6.0999999999999999E-2</v>
      </c>
      <c r="AA37" s="18">
        <v>0.1128</v>
      </c>
      <c r="AB37" s="18">
        <v>4.8000000000000001E-2</v>
      </c>
      <c r="AC37" s="18">
        <v>6.0999999999999999E-2</v>
      </c>
      <c r="AD37" s="18">
        <v>0.1128</v>
      </c>
      <c r="AE37" s="18">
        <v>7.8200000000000006E-2</v>
      </c>
      <c r="AF37" s="18">
        <v>0.14080000000000001</v>
      </c>
      <c r="AG37" s="18">
        <v>4.8000000000000001E-2</v>
      </c>
      <c r="AH37" s="18">
        <v>0.14899999999999999</v>
      </c>
      <c r="AI37" s="18">
        <v>9.74E-2</v>
      </c>
      <c r="AJ37" s="18">
        <v>0.17230000000000001</v>
      </c>
      <c r="AK37" s="18">
        <v>6.2300000000000001E-2</v>
      </c>
      <c r="AL37" s="18">
        <v>4.8000000000000001E-2</v>
      </c>
      <c r="AM37" s="18">
        <v>0.1008</v>
      </c>
      <c r="AN37" s="18">
        <v>0.1258</v>
      </c>
      <c r="AO37" s="18">
        <v>5.7200000000000001E-2</v>
      </c>
      <c r="AP37" s="18">
        <v>0.17449999999999999</v>
      </c>
      <c r="AQ37" s="18">
        <v>0.34239999999999998</v>
      </c>
      <c r="AR37" s="18">
        <v>0.30840000000000001</v>
      </c>
      <c r="AS37" s="18">
        <v>0.33810000000000001</v>
      </c>
      <c r="AT37" s="18">
        <v>0.1042</v>
      </c>
      <c r="AU37" s="18">
        <v>4.8000000000000001E-2</v>
      </c>
      <c r="AV37" s="18">
        <v>6.5299999999999997E-2</v>
      </c>
      <c r="AW37" s="18">
        <v>0.1085</v>
      </c>
      <c r="AX37" s="18">
        <v>7.8200000000000006E-2</v>
      </c>
    </row>
    <row r="38" spans="1:50" x14ac:dyDescent="0.25">
      <c r="A38" s="8" t="s">
        <v>84</v>
      </c>
      <c r="B38" s="10" t="s">
        <v>57</v>
      </c>
      <c r="C38" s="16">
        <v>4.3999999999999997E-2</v>
      </c>
      <c r="D38" s="16">
        <v>0.26440000000000002</v>
      </c>
      <c r="E38" s="16">
        <v>7.6200000000000004E-2</v>
      </c>
      <c r="F38" s="16">
        <v>0.12180000000000001</v>
      </c>
      <c r="G38" s="16">
        <v>0.21890000000000001</v>
      </c>
      <c r="H38" s="16">
        <v>4.3999999999999997E-2</v>
      </c>
      <c r="I38" s="16">
        <v>4.3999999999999997E-2</v>
      </c>
      <c r="J38" s="16">
        <v>0.15490000000000001</v>
      </c>
      <c r="K38" s="16">
        <v>0.1663</v>
      </c>
      <c r="L38" s="16">
        <v>0.1663</v>
      </c>
      <c r="M38" s="16">
        <v>5.1900000000000002E-2</v>
      </c>
      <c r="N38" s="16">
        <v>0.17280000000000001</v>
      </c>
      <c r="O38" s="16">
        <v>0.1678</v>
      </c>
      <c r="P38" s="16">
        <v>5.6899999999999999E-2</v>
      </c>
      <c r="Q38" s="16">
        <v>0.18859999999999999</v>
      </c>
      <c r="R38" s="16">
        <v>0.1391</v>
      </c>
      <c r="S38" s="16">
        <v>4.3999999999999997E-2</v>
      </c>
      <c r="T38" s="16">
        <v>0.24909999999999999</v>
      </c>
      <c r="U38" s="16">
        <v>9.1499999999999998E-2</v>
      </c>
      <c r="V38" s="16">
        <v>0.14699999999999999</v>
      </c>
      <c r="W38" s="16">
        <v>0.19359999999999999</v>
      </c>
      <c r="X38" s="16">
        <v>0.1021</v>
      </c>
      <c r="Y38" s="16">
        <v>0.1731</v>
      </c>
      <c r="Z38" s="16">
        <v>7.6499999999999999E-2</v>
      </c>
      <c r="AA38" s="16">
        <v>0.48020000000000002</v>
      </c>
      <c r="AB38" s="16">
        <v>5.6899999999999999E-2</v>
      </c>
      <c r="AC38" s="16">
        <v>0.31519999999999998</v>
      </c>
      <c r="AD38" s="16">
        <v>0.12230000000000001</v>
      </c>
      <c r="AE38" s="16">
        <v>0.1608</v>
      </c>
      <c r="AF38" s="16">
        <v>0.14630000000000001</v>
      </c>
      <c r="AG38" s="16">
        <v>0.13589999999999999</v>
      </c>
      <c r="AH38" s="16">
        <v>0.18640000000000001</v>
      </c>
      <c r="AI38" s="16">
        <v>0.20419999999999999</v>
      </c>
      <c r="AJ38" s="16">
        <v>0.1182</v>
      </c>
      <c r="AK38" s="16">
        <v>0.27400000000000002</v>
      </c>
      <c r="AL38" s="16">
        <v>6.8900000000000003E-2</v>
      </c>
      <c r="AM38" s="16">
        <v>0.14799999999999999</v>
      </c>
      <c r="AN38" s="16">
        <v>0.2122</v>
      </c>
      <c r="AO38" s="16">
        <v>4.8300000000000003E-2</v>
      </c>
      <c r="AP38" s="16">
        <v>0.49430000000000002</v>
      </c>
      <c r="AQ38" s="16">
        <v>0.20419999999999999</v>
      </c>
      <c r="AR38" s="16">
        <v>0.216</v>
      </c>
      <c r="AS38" s="16">
        <v>0.36180000000000001</v>
      </c>
      <c r="AT38" s="16">
        <v>0.19600000000000001</v>
      </c>
      <c r="AU38" s="16">
        <v>1.2849999999999999</v>
      </c>
      <c r="AV38" s="16">
        <v>0.76780000000000004</v>
      </c>
      <c r="AW38" s="16">
        <v>0.1845</v>
      </c>
      <c r="AX38" s="16">
        <v>0.1263</v>
      </c>
    </row>
    <row r="39" spans="1:50" x14ac:dyDescent="0.25">
      <c r="A39" s="8" t="s">
        <v>86</v>
      </c>
      <c r="B39" s="10" t="s">
        <v>57</v>
      </c>
      <c r="C39" s="16">
        <v>6.0999999999999999E-2</v>
      </c>
      <c r="D39" s="16">
        <v>6.0999999999999999E-2</v>
      </c>
      <c r="E39" s="16">
        <v>0.13389999999999999</v>
      </c>
      <c r="F39" s="16">
        <v>6.0999999999999999E-2</v>
      </c>
      <c r="G39" s="16">
        <v>0.35610000000000003</v>
      </c>
      <c r="H39" s="16">
        <v>0.63239999999999996</v>
      </c>
      <c r="I39" s="16">
        <v>8.1299999999999997E-2</v>
      </c>
      <c r="J39" s="16">
        <v>0.12989999999999999</v>
      </c>
      <c r="K39" s="16">
        <v>6.5100000000000005E-2</v>
      </c>
      <c r="L39" s="16">
        <v>6.0999999999999999E-2</v>
      </c>
      <c r="M39" s="16">
        <v>6.0999999999999999E-2</v>
      </c>
      <c r="N39" s="16">
        <v>0.1096</v>
      </c>
      <c r="O39" s="16">
        <v>8.5300000000000001E-2</v>
      </c>
      <c r="P39" s="16">
        <v>6.0999999999999999E-2</v>
      </c>
      <c r="Q39" s="16">
        <v>6.0999999999999999E-2</v>
      </c>
      <c r="R39" s="16">
        <v>0.13389999999999999</v>
      </c>
      <c r="S39" s="16">
        <v>6.0999999999999999E-2</v>
      </c>
      <c r="T39" s="16">
        <v>0.1188</v>
      </c>
      <c r="U39" s="16">
        <v>0.22009999999999999</v>
      </c>
      <c r="V39" s="16">
        <v>0.32469999999999999</v>
      </c>
      <c r="W39" s="16">
        <v>0.18709999999999999</v>
      </c>
      <c r="X39" s="16">
        <v>1.3831</v>
      </c>
      <c r="Y39" s="16">
        <v>0.1079</v>
      </c>
      <c r="Z39" s="16">
        <v>8.9599999999999999E-2</v>
      </c>
      <c r="AA39" s="16">
        <v>0.16930000000000001</v>
      </c>
      <c r="AB39" s="16">
        <v>0.38669999999999999</v>
      </c>
      <c r="AC39" s="16">
        <v>0.26400000000000001</v>
      </c>
      <c r="AD39" s="16">
        <v>0.38669999999999999</v>
      </c>
      <c r="AE39" s="16">
        <v>0.34589999999999999</v>
      </c>
      <c r="AF39" s="16">
        <v>1.4723999999999999</v>
      </c>
      <c r="AG39" s="16">
        <v>0.20799999999999999</v>
      </c>
      <c r="AH39" s="16">
        <v>0.20799999999999999</v>
      </c>
      <c r="AI39" s="16">
        <v>0.26989999999999997</v>
      </c>
      <c r="AJ39" s="16">
        <v>0.29299999999999998</v>
      </c>
      <c r="AK39" s="16">
        <v>0.14219999999999999</v>
      </c>
      <c r="AL39" s="16">
        <v>0.15379999999999999</v>
      </c>
      <c r="AM39" s="16">
        <v>1.4641999999999999</v>
      </c>
      <c r="AN39" s="16">
        <v>0.28920000000000001</v>
      </c>
      <c r="AO39" s="16">
        <v>0.15840000000000001</v>
      </c>
      <c r="AP39" s="16">
        <v>0.309</v>
      </c>
      <c r="AQ39" s="16">
        <v>0.43159999999999998</v>
      </c>
      <c r="AR39" s="16">
        <v>0.3347</v>
      </c>
      <c r="AS39" s="16">
        <v>0.13389999999999999</v>
      </c>
      <c r="AT39" s="16">
        <v>6.0999999999999999E-2</v>
      </c>
      <c r="AU39" s="16">
        <v>9.3399999999999997E-2</v>
      </c>
      <c r="AV39" s="16">
        <v>0.10150000000000001</v>
      </c>
      <c r="AW39" s="16">
        <v>0.1177</v>
      </c>
      <c r="AX39" s="16">
        <v>7.7200000000000005E-2</v>
      </c>
    </row>
    <row r="40" spans="1:50" x14ac:dyDescent="0.25">
      <c r="A40" s="8" t="s">
        <v>88</v>
      </c>
      <c r="B40" s="10" t="s">
        <v>57</v>
      </c>
      <c r="C40" s="16">
        <v>8.5999999999999993E-2</v>
      </c>
      <c r="D40" s="16">
        <v>0.15609999999999999</v>
      </c>
      <c r="E40" s="16">
        <v>4.3999999999999997E-2</v>
      </c>
      <c r="F40" s="16">
        <v>0.1981</v>
      </c>
      <c r="G40" s="16">
        <v>4.3999999999999997E-2</v>
      </c>
      <c r="H40" s="16">
        <v>4.3999999999999997E-2</v>
      </c>
      <c r="I40" s="16">
        <v>4.3999999999999997E-2</v>
      </c>
      <c r="J40" s="16">
        <v>4.3999999999999997E-2</v>
      </c>
      <c r="K40" s="16">
        <v>4.3999999999999997E-2</v>
      </c>
      <c r="L40" s="16">
        <v>0.15609999999999999</v>
      </c>
      <c r="M40" s="16">
        <v>8.5999999999999993E-2</v>
      </c>
      <c r="N40" s="16">
        <v>4.3999999999999997E-2</v>
      </c>
      <c r="O40" s="16">
        <v>0.19109999999999999</v>
      </c>
      <c r="P40" s="16">
        <v>5.0999999999999997E-2</v>
      </c>
      <c r="Q40" s="16">
        <v>0.44019999999999998</v>
      </c>
      <c r="R40" s="16">
        <v>9.2700000000000005E-2</v>
      </c>
      <c r="S40" s="16">
        <v>0.1981</v>
      </c>
      <c r="T40" s="16">
        <v>4.3999999999999997E-2</v>
      </c>
      <c r="U40" s="16">
        <v>0.1055</v>
      </c>
      <c r="V40" s="16">
        <v>0.2984</v>
      </c>
      <c r="W40" s="16">
        <v>0.13389999999999999</v>
      </c>
      <c r="X40" s="16">
        <v>0.20269999999999999</v>
      </c>
      <c r="Y40" s="16">
        <v>5.8000000000000003E-2</v>
      </c>
      <c r="Z40" s="16">
        <v>4.3999999999999997E-2</v>
      </c>
      <c r="AA40" s="16">
        <v>0.22120000000000001</v>
      </c>
      <c r="AB40" s="16">
        <v>0.29210000000000003</v>
      </c>
      <c r="AC40" s="16">
        <v>4.3999999999999997E-2</v>
      </c>
      <c r="AD40" s="16">
        <v>6.6799999999999998E-2</v>
      </c>
      <c r="AE40" s="16">
        <v>8.3599999999999994E-2</v>
      </c>
      <c r="AF40" s="16">
        <v>0.12039999999999999</v>
      </c>
      <c r="AG40" s="16">
        <v>0.52429999999999999</v>
      </c>
      <c r="AH40" s="16">
        <v>0.27210000000000001</v>
      </c>
      <c r="AI40" s="16">
        <v>0.30649999999999999</v>
      </c>
      <c r="AJ40" s="16">
        <v>0.36840000000000001</v>
      </c>
      <c r="AK40" s="16">
        <v>0.1177</v>
      </c>
      <c r="AL40" s="16">
        <v>1.2689999999999999</v>
      </c>
      <c r="AM40" s="16">
        <v>0.13200000000000001</v>
      </c>
      <c r="AN40" s="16">
        <v>0.1694</v>
      </c>
      <c r="AO40" s="16">
        <v>0.35659999999999997</v>
      </c>
      <c r="AP40" s="16">
        <v>0.22720000000000001</v>
      </c>
      <c r="AQ40" s="16">
        <v>0.63119999999999998</v>
      </c>
      <c r="AR40" s="16">
        <v>0.54790000000000005</v>
      </c>
      <c r="AS40" s="16">
        <v>0.38479999999999998</v>
      </c>
      <c r="AT40" s="16">
        <v>0.82350000000000001</v>
      </c>
      <c r="AU40" s="16">
        <v>0.41589999999999999</v>
      </c>
      <c r="AV40" s="16">
        <v>0.78790000000000004</v>
      </c>
      <c r="AW40" s="16">
        <v>0.27350000000000002</v>
      </c>
      <c r="AX40" s="16">
        <v>7.1999999999999995E-2</v>
      </c>
    </row>
    <row r="41" spans="1:50" x14ac:dyDescent="0.25">
      <c r="A41" s="17" t="s">
        <v>259</v>
      </c>
      <c r="B41" s="13" t="s">
        <v>222</v>
      </c>
      <c r="C41" s="18">
        <v>8.2199999999999995E-2</v>
      </c>
      <c r="D41" s="18">
        <v>0.12520000000000001</v>
      </c>
      <c r="E41" s="18">
        <v>5.5399999999999998E-2</v>
      </c>
      <c r="F41" s="18">
        <v>0.15210000000000001</v>
      </c>
      <c r="G41" s="18">
        <v>0.05</v>
      </c>
      <c r="H41" s="18">
        <v>0.1467</v>
      </c>
      <c r="I41" s="18">
        <v>6.0699999999999997E-2</v>
      </c>
      <c r="J41" s="18">
        <v>0.05</v>
      </c>
      <c r="K41" s="18">
        <v>0.15740000000000001</v>
      </c>
      <c r="L41" s="18">
        <v>0.05</v>
      </c>
      <c r="M41" s="18">
        <v>0.05</v>
      </c>
      <c r="N41" s="18">
        <v>0.05</v>
      </c>
      <c r="O41" s="18">
        <v>0.05</v>
      </c>
      <c r="P41" s="18">
        <v>0.05</v>
      </c>
      <c r="Q41" s="18">
        <v>0.1037</v>
      </c>
      <c r="R41" s="18">
        <v>0.1037</v>
      </c>
      <c r="S41" s="18">
        <v>0.05</v>
      </c>
      <c r="T41" s="18">
        <v>0.21709999999999999</v>
      </c>
      <c r="U41" s="18">
        <v>0.2611</v>
      </c>
      <c r="V41" s="18">
        <v>0.3553</v>
      </c>
      <c r="W41" s="18">
        <v>0.29859999999999998</v>
      </c>
      <c r="X41" s="18">
        <v>0.27879999999999999</v>
      </c>
      <c r="Y41" s="18">
        <v>0.46450000000000002</v>
      </c>
      <c r="Z41" s="18">
        <v>0.3231</v>
      </c>
      <c r="AA41" s="18">
        <v>0.41420000000000001</v>
      </c>
      <c r="AB41" s="18">
        <v>0.36620000000000003</v>
      </c>
      <c r="AC41" s="18">
        <v>0.1143</v>
      </c>
      <c r="AD41" s="18">
        <v>0.24610000000000001</v>
      </c>
      <c r="AE41" s="18">
        <v>7.0800000000000002E-2</v>
      </c>
      <c r="AF41" s="18">
        <v>0.42680000000000001</v>
      </c>
      <c r="AG41" s="18">
        <v>0.48159999999999997</v>
      </c>
      <c r="AH41" s="18">
        <v>0.33860000000000001</v>
      </c>
      <c r="AI41" s="18">
        <v>0.26400000000000001</v>
      </c>
      <c r="AJ41" s="18">
        <v>0.67620000000000002</v>
      </c>
      <c r="AK41" s="18">
        <v>0.29470000000000002</v>
      </c>
      <c r="AL41" s="18">
        <v>0.24690000000000001</v>
      </c>
      <c r="AM41" s="18">
        <v>0.56159999999999999</v>
      </c>
      <c r="AN41" s="18">
        <v>0.51580000000000004</v>
      </c>
      <c r="AO41" s="18">
        <v>0.29360000000000003</v>
      </c>
      <c r="AP41" s="18">
        <v>0.72119999999999995</v>
      </c>
      <c r="AQ41" s="18">
        <v>0.65629999999999999</v>
      </c>
      <c r="AR41" s="18">
        <v>0.3926</v>
      </c>
      <c r="AS41" s="18">
        <v>0.57369999999999999</v>
      </c>
      <c r="AT41" s="18">
        <v>0.55769999999999997</v>
      </c>
      <c r="AU41" s="18">
        <v>0.60150000000000003</v>
      </c>
      <c r="AV41" s="18">
        <v>0.53039999999999998</v>
      </c>
      <c r="AW41" s="18">
        <v>0.05</v>
      </c>
      <c r="AX41" s="18">
        <v>8.7599999999999997E-2</v>
      </c>
    </row>
    <row r="42" spans="1:50" x14ac:dyDescent="0.25">
      <c r="A42" s="8" t="s">
        <v>90</v>
      </c>
      <c r="B42" s="10" t="s">
        <v>57</v>
      </c>
      <c r="C42" s="16">
        <v>0.77759999999999996</v>
      </c>
      <c r="D42" s="16">
        <v>0.66790000000000005</v>
      </c>
      <c r="E42" s="16">
        <v>0.1696</v>
      </c>
      <c r="F42" s="16">
        <v>3.6999999999999998E-2</v>
      </c>
      <c r="G42" s="16">
        <v>0.27650000000000002</v>
      </c>
      <c r="H42" s="16">
        <v>3.6999999999999998E-2</v>
      </c>
      <c r="I42" s="16">
        <v>3.6999999999999998E-2</v>
      </c>
      <c r="J42" s="16">
        <v>0.23830000000000001</v>
      </c>
      <c r="K42" s="16">
        <v>7.5200000000000003E-2</v>
      </c>
      <c r="L42" s="16">
        <v>0.1358</v>
      </c>
      <c r="M42" s="16">
        <v>0.1777</v>
      </c>
      <c r="N42" s="16">
        <v>3.6999999999999998E-2</v>
      </c>
      <c r="O42" s="16">
        <v>0.19939999999999999</v>
      </c>
      <c r="P42" s="16">
        <v>0.11409999999999999</v>
      </c>
      <c r="Q42" s="16">
        <v>3.6999999999999998E-2</v>
      </c>
      <c r="R42" s="16">
        <v>0.59719999999999995</v>
      </c>
      <c r="S42" s="16">
        <v>9.5000000000000001E-2</v>
      </c>
      <c r="T42" s="16">
        <v>0.1376</v>
      </c>
      <c r="U42" s="16">
        <v>0.1636</v>
      </c>
      <c r="V42" s="16">
        <v>1.2081999999999999</v>
      </c>
      <c r="W42" s="16">
        <v>0.18110000000000001</v>
      </c>
      <c r="X42" s="16">
        <v>0.4677</v>
      </c>
      <c r="Y42" s="16">
        <v>0.30199999999999999</v>
      </c>
      <c r="Z42" s="16">
        <v>1.1612</v>
      </c>
      <c r="AA42" s="16">
        <v>1.8629</v>
      </c>
      <c r="AB42" s="16">
        <v>2.1233</v>
      </c>
      <c r="AC42" s="16">
        <v>0.31409999999999999</v>
      </c>
      <c r="AD42" s="16">
        <v>0.2165</v>
      </c>
      <c r="AE42" s="16">
        <v>8.9599999999999999E-2</v>
      </c>
      <c r="AF42" s="16">
        <v>7.0499999999999993E-2</v>
      </c>
      <c r="AG42" s="16">
        <v>0.2001</v>
      </c>
      <c r="AH42" s="16">
        <v>0.1135</v>
      </c>
      <c r="AI42" s="16">
        <v>0.2964</v>
      </c>
      <c r="AJ42" s="16">
        <v>0.33100000000000002</v>
      </c>
      <c r="AK42" s="16">
        <v>0.19339999999999999</v>
      </c>
      <c r="AL42" s="16">
        <v>6.4699999999999994E-2</v>
      </c>
      <c r="AM42" s="16">
        <v>1.3583000000000001</v>
      </c>
      <c r="AN42" s="16">
        <v>0.1295</v>
      </c>
      <c r="AO42" s="16">
        <v>0.21940000000000001</v>
      </c>
      <c r="AP42" s="16">
        <v>0.4224</v>
      </c>
      <c r="AQ42" s="16">
        <v>0.4244</v>
      </c>
      <c r="AR42" s="16">
        <v>0.63100000000000001</v>
      </c>
      <c r="AS42" s="16">
        <v>0.67979999999999996</v>
      </c>
      <c r="AT42" s="16">
        <v>0.49590000000000001</v>
      </c>
      <c r="AU42" s="16">
        <v>0.49680000000000002</v>
      </c>
      <c r="AV42" s="16">
        <v>0.6069</v>
      </c>
      <c r="AW42" s="16">
        <v>0.26550000000000001</v>
      </c>
      <c r="AX42" s="16">
        <v>0.14199999999999999</v>
      </c>
    </row>
    <row r="43" spans="1:50" x14ac:dyDescent="0.25">
      <c r="A43" s="8" t="s">
        <v>92</v>
      </c>
      <c r="B43" s="10" t="s">
        <v>57</v>
      </c>
      <c r="C43" s="16">
        <v>0.20150000000000001</v>
      </c>
      <c r="D43" s="16">
        <v>5.0999999999999997E-2</v>
      </c>
      <c r="E43" s="16">
        <v>0.20760000000000001</v>
      </c>
      <c r="F43" s="16">
        <v>7.5700000000000003E-2</v>
      </c>
      <c r="G43" s="16">
        <v>5.0999999999999997E-2</v>
      </c>
      <c r="H43" s="16">
        <v>0.1169</v>
      </c>
      <c r="I43" s="16">
        <v>0.16639999999999999</v>
      </c>
      <c r="J43" s="16">
        <v>5.0999999999999997E-2</v>
      </c>
      <c r="K43" s="16">
        <v>5.0999999999999997E-2</v>
      </c>
      <c r="L43" s="16">
        <v>5.0999999999999997E-2</v>
      </c>
      <c r="M43" s="16">
        <v>0.2324</v>
      </c>
      <c r="N43" s="16">
        <v>5.0999999999999997E-2</v>
      </c>
      <c r="O43" s="16">
        <v>5.0999999999999997E-2</v>
      </c>
      <c r="P43" s="16">
        <v>0.17469999999999999</v>
      </c>
      <c r="Q43" s="16">
        <v>0.1087</v>
      </c>
      <c r="R43" s="16">
        <v>5.0999999999999997E-2</v>
      </c>
      <c r="S43" s="16">
        <v>0.13339999999999999</v>
      </c>
      <c r="T43" s="16">
        <v>0.14990000000000001</v>
      </c>
      <c r="U43" s="16">
        <v>0.16059999999999999</v>
      </c>
      <c r="V43" s="16">
        <v>0.22819999999999999</v>
      </c>
      <c r="W43" s="16">
        <v>1.1752</v>
      </c>
      <c r="X43" s="16">
        <v>0.86870000000000003</v>
      </c>
      <c r="Y43" s="16">
        <v>1.2003999999999999</v>
      </c>
      <c r="Z43" s="16">
        <v>1.0710999999999999</v>
      </c>
      <c r="AA43" s="16">
        <v>0.92420000000000002</v>
      </c>
      <c r="AB43" s="16">
        <v>3.7225999999999999</v>
      </c>
      <c r="AC43" s="16">
        <v>2.6225000000000001</v>
      </c>
      <c r="AD43" s="16">
        <v>0.46920000000000001</v>
      </c>
      <c r="AE43" s="16">
        <v>0.2324</v>
      </c>
      <c r="AF43" s="16">
        <v>5.0999999999999997E-2</v>
      </c>
      <c r="AG43" s="16">
        <v>6.7500000000000004E-2</v>
      </c>
      <c r="AH43" s="16">
        <v>0.21590000000000001</v>
      </c>
      <c r="AI43" s="16">
        <v>5.0999999999999997E-2</v>
      </c>
      <c r="AJ43" s="16">
        <v>0.15820000000000001</v>
      </c>
      <c r="AK43" s="16">
        <v>0.12520000000000001</v>
      </c>
      <c r="AL43" s="16">
        <v>9.2200000000000004E-2</v>
      </c>
      <c r="AM43" s="16">
        <v>0.19109999999999999</v>
      </c>
      <c r="AN43" s="16">
        <v>5.0999999999999997E-2</v>
      </c>
      <c r="AO43" s="16">
        <v>0.2324</v>
      </c>
      <c r="AP43" s="16">
        <v>5.0999999999999997E-2</v>
      </c>
      <c r="AQ43" s="16">
        <v>0.14169999999999999</v>
      </c>
      <c r="AR43" s="16">
        <v>0.14169999999999999</v>
      </c>
      <c r="AS43" s="16">
        <v>5.0999999999999997E-2</v>
      </c>
      <c r="AT43" s="16">
        <v>0.19109999999999999</v>
      </c>
      <c r="AU43" s="16">
        <v>9.2200000000000004E-2</v>
      </c>
      <c r="AV43" s="16">
        <v>5.0999999999999997E-2</v>
      </c>
      <c r="AW43" s="16">
        <v>0.16639999999999999</v>
      </c>
      <c r="AX43" s="16">
        <v>0.1169</v>
      </c>
    </row>
    <row r="44" spans="1:50" x14ac:dyDescent="0.25">
      <c r="A44" s="8" t="s">
        <v>94</v>
      </c>
      <c r="B44" s="10" t="s">
        <v>57</v>
      </c>
      <c r="C44" s="16">
        <v>4.9000000000000002E-2</v>
      </c>
      <c r="D44" s="16">
        <v>4.9000000000000002E-2</v>
      </c>
      <c r="E44" s="16">
        <v>4.9000000000000002E-2</v>
      </c>
      <c r="F44" s="16">
        <v>4.9000000000000002E-2</v>
      </c>
      <c r="G44" s="16">
        <v>4.9000000000000002E-2</v>
      </c>
      <c r="H44" s="16">
        <v>4.9000000000000002E-2</v>
      </c>
      <c r="I44" s="16">
        <v>4.9000000000000002E-2</v>
      </c>
      <c r="J44" s="16">
        <v>4.9000000000000002E-2</v>
      </c>
      <c r="K44" s="16">
        <v>4.9000000000000002E-2</v>
      </c>
      <c r="L44" s="16">
        <v>4.9000000000000002E-2</v>
      </c>
      <c r="M44" s="16">
        <v>4.9000000000000002E-2</v>
      </c>
      <c r="N44" s="16">
        <v>4.9000000000000002E-2</v>
      </c>
      <c r="O44" s="16">
        <v>4.9000000000000002E-2</v>
      </c>
      <c r="P44" s="16">
        <v>9.2899999999999996E-2</v>
      </c>
      <c r="Q44" s="16">
        <v>4.9000000000000002E-2</v>
      </c>
      <c r="R44" s="16">
        <v>4.9000000000000002E-2</v>
      </c>
      <c r="S44" s="16">
        <v>4.9000000000000002E-2</v>
      </c>
      <c r="T44" s="16">
        <v>4.9000000000000002E-2</v>
      </c>
      <c r="U44" s="16">
        <v>4.9000000000000002E-2</v>
      </c>
      <c r="V44" s="16">
        <v>4.9000000000000002E-2</v>
      </c>
      <c r="W44" s="16">
        <v>4.9000000000000002E-2</v>
      </c>
      <c r="X44" s="16">
        <v>4.9000000000000002E-2</v>
      </c>
      <c r="Y44" s="16">
        <v>4.9000000000000002E-2</v>
      </c>
      <c r="Z44" s="16">
        <v>6.6500000000000004E-2</v>
      </c>
      <c r="AA44" s="16">
        <v>0.23549999999999999</v>
      </c>
      <c r="AB44" s="16">
        <v>5.9900000000000002E-2</v>
      </c>
      <c r="AC44" s="16">
        <v>5.5199999999999999E-2</v>
      </c>
      <c r="AD44" s="16">
        <v>4.9000000000000002E-2</v>
      </c>
      <c r="AE44" s="16">
        <v>0.2089</v>
      </c>
      <c r="AF44" s="16">
        <v>5.3900000000000003E-2</v>
      </c>
      <c r="AG44" s="16">
        <v>4.9000000000000002E-2</v>
      </c>
      <c r="AH44" s="16">
        <v>4.9000000000000002E-2</v>
      </c>
      <c r="AI44" s="16">
        <v>4.9000000000000002E-2</v>
      </c>
      <c r="AJ44" s="16">
        <v>4.9000000000000002E-2</v>
      </c>
      <c r="AK44" s="16">
        <v>4.9000000000000002E-2</v>
      </c>
      <c r="AL44" s="16">
        <v>0.12529999999999999</v>
      </c>
      <c r="AM44" s="16">
        <v>0.18140000000000001</v>
      </c>
      <c r="AN44" s="16">
        <v>6.5199999999999994E-2</v>
      </c>
      <c r="AO44" s="16">
        <v>7.5700000000000003E-2</v>
      </c>
      <c r="AP44" s="16">
        <v>0.1003</v>
      </c>
      <c r="AQ44" s="16">
        <v>0.18049999999999999</v>
      </c>
      <c r="AR44" s="16">
        <v>0.1099</v>
      </c>
      <c r="AS44" s="16">
        <v>4.9000000000000002E-2</v>
      </c>
      <c r="AT44" s="16">
        <v>4.9000000000000002E-2</v>
      </c>
      <c r="AU44" s="16">
        <v>4.9000000000000002E-2</v>
      </c>
      <c r="AV44" s="16">
        <v>4.9000000000000002E-2</v>
      </c>
      <c r="AW44" s="16">
        <v>4.9000000000000002E-2</v>
      </c>
      <c r="AX44" s="16">
        <v>4.9000000000000002E-2</v>
      </c>
    </row>
    <row r="45" spans="1:50" x14ac:dyDescent="0.25">
      <c r="A45" s="8" t="s">
        <v>96</v>
      </c>
      <c r="B45" s="10" t="s">
        <v>57</v>
      </c>
      <c r="C45" s="16">
        <v>5.2999999999999999E-2</v>
      </c>
      <c r="D45" s="16">
        <v>5.2999999999999999E-2</v>
      </c>
      <c r="E45" s="16">
        <v>0.23130000000000001</v>
      </c>
      <c r="F45" s="16">
        <v>5.2999999999999999E-2</v>
      </c>
      <c r="G45" s="16">
        <v>0.1016</v>
      </c>
      <c r="H45" s="16">
        <v>0.1827</v>
      </c>
      <c r="I45" s="16">
        <v>5.2999999999999999E-2</v>
      </c>
      <c r="J45" s="16">
        <v>9.35E-2</v>
      </c>
      <c r="K45" s="16">
        <v>0.1908</v>
      </c>
      <c r="L45" s="16">
        <v>5.2999999999999999E-2</v>
      </c>
      <c r="M45" s="16">
        <v>0.23130000000000001</v>
      </c>
      <c r="N45" s="16">
        <v>5.2999999999999999E-2</v>
      </c>
      <c r="O45" s="16">
        <v>0.1908</v>
      </c>
      <c r="P45" s="16">
        <v>9.35E-2</v>
      </c>
      <c r="Q45" s="16">
        <v>0.2883</v>
      </c>
      <c r="R45" s="16">
        <v>0.30070000000000002</v>
      </c>
      <c r="S45" s="16">
        <v>0.22670000000000001</v>
      </c>
      <c r="T45" s="16">
        <v>0.3962</v>
      </c>
      <c r="U45" s="16">
        <v>0.11940000000000001</v>
      </c>
      <c r="V45" s="16">
        <v>8.5599999999999996E-2</v>
      </c>
      <c r="W45" s="16">
        <v>0.40799999999999997</v>
      </c>
      <c r="X45" s="16">
        <v>0.20269999999999999</v>
      </c>
      <c r="Y45" s="16">
        <v>5.2999999999999999E-2</v>
      </c>
      <c r="Z45" s="16">
        <v>0.23130000000000001</v>
      </c>
      <c r="AA45" s="16">
        <v>5.2999999999999999E-2</v>
      </c>
      <c r="AB45" s="16">
        <v>8.5400000000000004E-2</v>
      </c>
      <c r="AC45" s="16">
        <v>0.19889999999999999</v>
      </c>
      <c r="AD45" s="16">
        <v>0.14449999999999999</v>
      </c>
      <c r="AE45" s="16">
        <v>0.38279999999999997</v>
      </c>
      <c r="AF45" s="16">
        <v>0.43509999999999999</v>
      </c>
      <c r="AG45" s="16">
        <v>0.4133</v>
      </c>
      <c r="AH45" s="16">
        <v>0.3</v>
      </c>
      <c r="AI45" s="16">
        <v>0.3538</v>
      </c>
      <c r="AJ45" s="16">
        <v>0.49530000000000002</v>
      </c>
      <c r="AK45" s="16">
        <v>0.30449999999999999</v>
      </c>
      <c r="AL45" s="16">
        <v>1.1066</v>
      </c>
      <c r="AM45" s="16">
        <v>0.16239999999999999</v>
      </c>
      <c r="AN45" s="16">
        <v>5.8999999999999997E-2</v>
      </c>
      <c r="AO45" s="16">
        <v>0.24929999999999999</v>
      </c>
      <c r="AP45" s="16">
        <v>0.23400000000000001</v>
      </c>
      <c r="AQ45" s="16">
        <v>0.37890000000000001</v>
      </c>
      <c r="AR45" s="16">
        <v>0.29630000000000001</v>
      </c>
      <c r="AS45" s="16">
        <v>0.41470000000000001</v>
      </c>
      <c r="AT45" s="16">
        <v>0.29930000000000001</v>
      </c>
      <c r="AU45" s="16">
        <v>0.59989999999999999</v>
      </c>
      <c r="AV45" s="16">
        <v>0.63170000000000004</v>
      </c>
      <c r="AW45" s="16">
        <v>5.2999999999999999E-2</v>
      </c>
      <c r="AX45" s="16">
        <v>5.2999999999999999E-2</v>
      </c>
    </row>
    <row r="46" spans="1:50" x14ac:dyDescent="0.25">
      <c r="A46" s="17" t="s">
        <v>261</v>
      </c>
      <c r="B46" s="13" t="s">
        <v>222</v>
      </c>
      <c r="C46" s="18">
        <v>0.28770000000000001</v>
      </c>
      <c r="D46" s="18">
        <v>0.375</v>
      </c>
      <c r="E46" s="18">
        <v>0.2157</v>
      </c>
      <c r="F46" s="18">
        <v>5.6000000000000001E-2</v>
      </c>
      <c r="G46" s="18">
        <v>5.6000000000000001E-2</v>
      </c>
      <c r="H46" s="18">
        <v>0.14199999999999999</v>
      </c>
      <c r="I46" s="18">
        <v>0.19769999999999999</v>
      </c>
      <c r="J46" s="18">
        <v>5.6000000000000001E-2</v>
      </c>
      <c r="K46" s="18">
        <v>0.26919999999999999</v>
      </c>
      <c r="L46" s="18">
        <v>7.0499999999999993E-2</v>
      </c>
      <c r="M46" s="18">
        <v>5.6000000000000001E-2</v>
      </c>
      <c r="N46" s="18">
        <v>0.2271</v>
      </c>
      <c r="O46" s="18">
        <v>0.11269999999999999</v>
      </c>
      <c r="P46" s="18">
        <v>5.6000000000000001E-2</v>
      </c>
      <c r="Q46" s="18">
        <v>0.21279999999999999</v>
      </c>
      <c r="R46" s="18">
        <v>0.12690000000000001</v>
      </c>
      <c r="S46" s="18">
        <v>0.13589999999999999</v>
      </c>
      <c r="T46" s="18">
        <v>0.2039</v>
      </c>
      <c r="U46" s="18">
        <v>7.7799999999999994E-2</v>
      </c>
      <c r="V46" s="18">
        <v>0.19400000000000001</v>
      </c>
      <c r="W46" s="18">
        <v>5.6000000000000001E-2</v>
      </c>
      <c r="X46" s="18">
        <v>0.2157</v>
      </c>
      <c r="Y46" s="18">
        <v>0.124</v>
      </c>
      <c r="Z46" s="18">
        <v>5.6000000000000001E-2</v>
      </c>
      <c r="AA46" s="18">
        <v>0.30020000000000002</v>
      </c>
      <c r="AB46" s="18">
        <v>0.1749</v>
      </c>
      <c r="AC46" s="18">
        <v>0.11269999999999999</v>
      </c>
      <c r="AD46" s="18">
        <v>0.34420000000000001</v>
      </c>
      <c r="AE46" s="18">
        <v>0.60619999999999996</v>
      </c>
      <c r="AF46" s="18">
        <v>0.50049999999999994</v>
      </c>
      <c r="AG46" s="18">
        <v>0.45429999999999998</v>
      </c>
      <c r="AH46" s="18">
        <v>9.2299999999999993E-2</v>
      </c>
      <c r="AI46" s="18">
        <v>9.7500000000000003E-2</v>
      </c>
      <c r="AJ46" s="18">
        <v>0.22770000000000001</v>
      </c>
      <c r="AK46" s="18">
        <v>0.1045</v>
      </c>
      <c r="AL46" s="18">
        <v>0.27610000000000001</v>
      </c>
      <c r="AM46" s="18">
        <v>0.5675</v>
      </c>
      <c r="AN46" s="18">
        <v>0.495</v>
      </c>
      <c r="AO46" s="18">
        <v>0.39040000000000002</v>
      </c>
      <c r="AP46" s="18">
        <v>0.48159999999999997</v>
      </c>
      <c r="AQ46" s="18">
        <v>0.55349999999999999</v>
      </c>
      <c r="AR46" s="18">
        <v>0.75800000000000001</v>
      </c>
      <c r="AS46" s="18">
        <v>0.63439999999999996</v>
      </c>
      <c r="AT46" s="18">
        <v>0.28149999999999997</v>
      </c>
      <c r="AU46" s="18">
        <v>7.8700000000000006E-2</v>
      </c>
      <c r="AV46" s="18">
        <v>0.16170000000000001</v>
      </c>
      <c r="AW46" s="18">
        <v>0.17799999999999999</v>
      </c>
      <c r="AX46" s="18">
        <v>5.6000000000000001E-2</v>
      </c>
    </row>
    <row r="47" spans="1:50" x14ac:dyDescent="0.25">
      <c r="A47" s="17" t="s">
        <v>263</v>
      </c>
      <c r="B47" s="13" t="s">
        <v>222</v>
      </c>
      <c r="C47" s="18">
        <v>4.4999999999999998E-2</v>
      </c>
      <c r="D47" s="18">
        <v>0.30470000000000003</v>
      </c>
      <c r="E47" s="18">
        <v>8.7900000000000006E-2</v>
      </c>
      <c r="F47" s="18">
        <v>5.0999999999999997E-2</v>
      </c>
      <c r="G47" s="18">
        <v>0.34160000000000001</v>
      </c>
      <c r="H47" s="18">
        <v>5.0999999999999997E-2</v>
      </c>
      <c r="I47" s="18">
        <v>0.1595</v>
      </c>
      <c r="J47" s="18">
        <v>4.4999999999999998E-2</v>
      </c>
      <c r="K47" s="18">
        <v>0.2392</v>
      </c>
      <c r="L47" s="18">
        <v>0.1535</v>
      </c>
      <c r="M47" s="18">
        <v>0.1085</v>
      </c>
      <c r="N47" s="18">
        <v>1.6839</v>
      </c>
      <c r="O47" s="18">
        <v>1.3391999999999999</v>
      </c>
      <c r="P47" s="18">
        <v>0.64219999999999999</v>
      </c>
      <c r="Q47" s="18">
        <v>0.1026</v>
      </c>
      <c r="R47" s="18">
        <v>8.5699999999999998E-2</v>
      </c>
      <c r="S47" s="18">
        <v>0.35270000000000001</v>
      </c>
      <c r="T47" s="18">
        <v>4.4999999999999998E-2</v>
      </c>
      <c r="U47" s="18">
        <v>0.47949999999999998</v>
      </c>
      <c r="V47" s="18">
        <v>1.0517000000000001</v>
      </c>
      <c r="W47" s="18">
        <v>0.66400000000000003</v>
      </c>
      <c r="X47" s="18">
        <v>0.33110000000000001</v>
      </c>
      <c r="Y47" s="18">
        <v>6.1600000000000002E-2</v>
      </c>
      <c r="Z47" s="18">
        <v>0.16089999999999999</v>
      </c>
      <c r="AA47" s="18">
        <v>0.11119999999999999</v>
      </c>
      <c r="AB47" s="18">
        <v>0.16550000000000001</v>
      </c>
      <c r="AC47" s="18">
        <v>0.27439999999999998</v>
      </c>
      <c r="AD47" s="18">
        <v>0.30349999999999999</v>
      </c>
      <c r="AE47" s="18">
        <v>0.26769999999999999</v>
      </c>
      <c r="AF47" s="18">
        <v>0.52549999999999997</v>
      </c>
      <c r="AG47" s="18">
        <v>0.38540000000000002</v>
      </c>
      <c r="AH47" s="18">
        <v>0.56200000000000006</v>
      </c>
      <c r="AI47" s="18">
        <v>0.4345</v>
      </c>
      <c r="AJ47" s="18">
        <v>0.18959999999999999</v>
      </c>
      <c r="AK47" s="18">
        <v>0.56220000000000003</v>
      </c>
      <c r="AL47" s="18">
        <v>0.19389999999999999</v>
      </c>
      <c r="AM47" s="18">
        <v>0.29770000000000002</v>
      </c>
      <c r="AN47" s="18">
        <v>0.38850000000000001</v>
      </c>
      <c r="AO47" s="18">
        <v>0.2918</v>
      </c>
      <c r="AP47" s="18">
        <v>0.18729999999999999</v>
      </c>
      <c r="AQ47" s="18">
        <v>0.16919999999999999</v>
      </c>
      <c r="AR47" s="18">
        <v>0.2306</v>
      </c>
      <c r="AS47" s="18">
        <v>0.56010000000000004</v>
      </c>
      <c r="AT47" s="18">
        <v>0.376</v>
      </c>
      <c r="AU47" s="18">
        <v>0.5474</v>
      </c>
      <c r="AV47" s="18">
        <v>0.52029999999999998</v>
      </c>
      <c r="AW47" s="18">
        <v>0.34389999999999998</v>
      </c>
      <c r="AX47" s="18">
        <v>0.2445</v>
      </c>
    </row>
    <row r="48" spans="1:50" x14ac:dyDescent="0.25">
      <c r="A48" s="17" t="s">
        <v>265</v>
      </c>
      <c r="B48" s="13" t="s">
        <v>222</v>
      </c>
      <c r="C48" s="18">
        <v>5.5E-2</v>
      </c>
      <c r="D48" s="18">
        <v>0.12690000000000001</v>
      </c>
      <c r="E48" s="18">
        <v>0.21759999999999999</v>
      </c>
      <c r="F48" s="18">
        <v>5.5E-2</v>
      </c>
      <c r="G48" s="18">
        <v>0.1774</v>
      </c>
      <c r="H48" s="18">
        <v>0.16719999999999999</v>
      </c>
      <c r="I48" s="18">
        <v>0.10539999999999999</v>
      </c>
      <c r="J48" s="18">
        <v>0.2392</v>
      </c>
      <c r="K48" s="18">
        <v>5.5E-2</v>
      </c>
      <c r="L48" s="18">
        <v>0.13120000000000001</v>
      </c>
      <c r="M48" s="18">
        <v>0.21340000000000001</v>
      </c>
      <c r="N48" s="18">
        <v>0.11849999999999999</v>
      </c>
      <c r="O48" s="18">
        <v>0.13969999999999999</v>
      </c>
      <c r="P48" s="18">
        <v>0.1668</v>
      </c>
      <c r="Q48" s="18">
        <v>0.10580000000000001</v>
      </c>
      <c r="R48" s="18">
        <v>0.21340000000000001</v>
      </c>
      <c r="S48" s="18">
        <v>5.5E-2</v>
      </c>
      <c r="T48" s="18">
        <v>5.5E-2</v>
      </c>
      <c r="U48" s="18">
        <v>0.21340000000000001</v>
      </c>
      <c r="V48" s="18">
        <v>5.5E-2</v>
      </c>
      <c r="W48" s="18">
        <v>0.127</v>
      </c>
      <c r="X48" s="18">
        <v>0.1414</v>
      </c>
      <c r="Y48" s="18">
        <v>5.9200000000000003E-2</v>
      </c>
      <c r="Z48" s="18">
        <v>0.22770000000000001</v>
      </c>
      <c r="AA48" s="18">
        <v>0.1168</v>
      </c>
      <c r="AB48" s="18">
        <v>0.17730000000000001</v>
      </c>
      <c r="AC48" s="18">
        <v>0.16300000000000001</v>
      </c>
      <c r="AD48" s="18">
        <v>0.13120000000000001</v>
      </c>
      <c r="AE48" s="18">
        <v>0.1429</v>
      </c>
      <c r="AF48" s="18">
        <v>0.69059999999999999</v>
      </c>
      <c r="AG48" s="18">
        <v>0.33700000000000002</v>
      </c>
      <c r="AH48" s="18">
        <v>0.59219999999999995</v>
      </c>
      <c r="AI48" s="18">
        <v>0.49569999999999997</v>
      </c>
      <c r="AJ48" s="18">
        <v>5.5E-2</v>
      </c>
      <c r="AK48" s="18">
        <v>0.25569999999999998</v>
      </c>
      <c r="AL48" s="18">
        <v>8.8800000000000004E-2</v>
      </c>
      <c r="AM48" s="18">
        <v>5.5E-2</v>
      </c>
      <c r="AN48" s="18">
        <v>0.28949999999999998</v>
      </c>
      <c r="AO48" s="18">
        <v>0.2293</v>
      </c>
      <c r="AP48" s="18">
        <v>1.4752000000000001</v>
      </c>
      <c r="AQ48" s="18">
        <v>0.41660000000000003</v>
      </c>
      <c r="AR48" s="18">
        <v>0.31359999999999999</v>
      </c>
      <c r="AS48" s="18">
        <v>0.34860000000000002</v>
      </c>
      <c r="AT48" s="18">
        <v>0.7944</v>
      </c>
      <c r="AU48" s="18">
        <v>9.3100000000000002E-2</v>
      </c>
      <c r="AV48" s="18">
        <v>0.2036</v>
      </c>
      <c r="AW48" s="18">
        <v>0.14099999999999999</v>
      </c>
      <c r="AX48" s="18">
        <v>6.9400000000000003E-2</v>
      </c>
    </row>
    <row r="49" spans="1:50" x14ac:dyDescent="0.25">
      <c r="A49" s="17" t="s">
        <v>267</v>
      </c>
      <c r="B49" s="13" t="s">
        <v>222</v>
      </c>
      <c r="C49" s="18">
        <v>0.16420000000000001</v>
      </c>
      <c r="D49" s="18">
        <v>4.8000000000000001E-2</v>
      </c>
      <c r="E49" s="18">
        <v>0.30880000000000002</v>
      </c>
      <c r="F49" s="18">
        <v>6.8500000000000005E-2</v>
      </c>
      <c r="G49" s="18">
        <v>4.8000000000000001E-2</v>
      </c>
      <c r="H49" s="18">
        <v>0.24729999999999999</v>
      </c>
      <c r="I49" s="18">
        <v>0.13</v>
      </c>
      <c r="J49" s="18">
        <v>4.8000000000000001E-2</v>
      </c>
      <c r="K49" s="18">
        <v>0.31569999999999998</v>
      </c>
      <c r="L49" s="18">
        <v>6.1699999999999998E-2</v>
      </c>
      <c r="M49" s="18">
        <v>7.4200000000000002E-2</v>
      </c>
      <c r="N49" s="18">
        <v>0.28949999999999998</v>
      </c>
      <c r="O49" s="18">
        <v>6.1699999999999998E-2</v>
      </c>
      <c r="P49" s="18">
        <v>0.13689999999999999</v>
      </c>
      <c r="Q49" s="18">
        <v>0.12920000000000001</v>
      </c>
      <c r="R49" s="18">
        <v>0.1593</v>
      </c>
      <c r="S49" s="18">
        <v>0.19839999999999999</v>
      </c>
      <c r="T49" s="18">
        <v>4.8000000000000001E-2</v>
      </c>
      <c r="U49" s="18">
        <v>0.16420000000000001</v>
      </c>
      <c r="V49" s="18">
        <v>0.21310000000000001</v>
      </c>
      <c r="W49" s="18">
        <v>4.8000000000000001E-2</v>
      </c>
      <c r="X49" s="18">
        <v>0.18010000000000001</v>
      </c>
      <c r="Y49" s="18">
        <v>0.19719999999999999</v>
      </c>
      <c r="Z49" s="18">
        <v>5.45E-2</v>
      </c>
      <c r="AA49" s="18">
        <v>0.30909999999999999</v>
      </c>
      <c r="AB49" s="18">
        <v>6.1699999999999998E-2</v>
      </c>
      <c r="AC49" s="18">
        <v>0.2747</v>
      </c>
      <c r="AD49" s="18">
        <v>0.1168</v>
      </c>
      <c r="AE49" s="18">
        <v>0.33110000000000001</v>
      </c>
      <c r="AF49" s="18">
        <v>0.27</v>
      </c>
      <c r="AG49" s="18">
        <v>8.5099999999999995E-2</v>
      </c>
      <c r="AH49" s="18">
        <v>0.15529999999999999</v>
      </c>
      <c r="AI49" s="18">
        <v>0.25609999999999999</v>
      </c>
      <c r="AJ49" s="18">
        <v>0.44230000000000003</v>
      </c>
      <c r="AK49" s="18">
        <v>0.45679999999999998</v>
      </c>
      <c r="AL49" s="18">
        <v>9.01E-2</v>
      </c>
      <c r="AM49" s="18">
        <v>0.2999</v>
      </c>
      <c r="AN49" s="18">
        <v>0.3266</v>
      </c>
      <c r="AO49" s="18">
        <v>0.156</v>
      </c>
      <c r="AP49" s="18">
        <v>0.29820000000000002</v>
      </c>
      <c r="AQ49" s="18">
        <v>0.1154</v>
      </c>
      <c r="AR49" s="18">
        <v>0.1946</v>
      </c>
      <c r="AS49" s="18">
        <v>0.36570000000000003</v>
      </c>
      <c r="AT49" s="18">
        <v>0.99929999999999997</v>
      </c>
      <c r="AU49" s="18">
        <v>0.39150000000000001</v>
      </c>
      <c r="AV49" s="18">
        <v>0.30859999999999999</v>
      </c>
      <c r="AW49" s="18">
        <v>0.1681</v>
      </c>
      <c r="AX49" s="18">
        <v>0.22459999999999999</v>
      </c>
    </row>
    <row r="50" spans="1:50" x14ac:dyDescent="0.25">
      <c r="A50" s="8" t="s">
        <v>98</v>
      </c>
      <c r="B50" s="10" t="s">
        <v>57</v>
      </c>
      <c r="C50" s="16">
        <v>0.2049</v>
      </c>
      <c r="D50" s="16">
        <v>6.7299999999999999E-2</v>
      </c>
      <c r="E50" s="16">
        <v>0.1072</v>
      </c>
      <c r="F50" s="16">
        <v>0.13719999999999999</v>
      </c>
      <c r="G50" s="16">
        <v>0.19370000000000001</v>
      </c>
      <c r="H50" s="16">
        <v>9.3600000000000003E-2</v>
      </c>
      <c r="I50" s="16">
        <v>5.2999999999999999E-2</v>
      </c>
      <c r="J50" s="16">
        <v>0.2102</v>
      </c>
      <c r="K50" s="16">
        <v>5.2999999999999999E-2</v>
      </c>
      <c r="L50" s="16">
        <v>0.20569999999999999</v>
      </c>
      <c r="M50" s="16">
        <v>0.13869999999999999</v>
      </c>
      <c r="N50" s="16">
        <v>0.1343</v>
      </c>
      <c r="O50" s="16">
        <v>5.2999999999999999E-2</v>
      </c>
      <c r="P50" s="16">
        <v>6.7299999999999999E-2</v>
      </c>
      <c r="Q50" s="16">
        <v>0.27710000000000001</v>
      </c>
      <c r="R50" s="16">
        <v>5.2999999999999999E-2</v>
      </c>
      <c r="S50" s="16">
        <v>0.25650000000000001</v>
      </c>
      <c r="T50" s="16">
        <v>8.7999999999999995E-2</v>
      </c>
      <c r="U50" s="16">
        <v>0.1162</v>
      </c>
      <c r="V50" s="16">
        <v>0.41770000000000002</v>
      </c>
      <c r="W50" s="16">
        <v>0.3135</v>
      </c>
      <c r="X50" s="16">
        <v>0.2419</v>
      </c>
      <c r="Y50" s="16">
        <v>0.53769999999999996</v>
      </c>
      <c r="Z50" s="16">
        <v>0.23380000000000001</v>
      </c>
      <c r="AA50" s="16">
        <v>0.1749</v>
      </c>
      <c r="AB50" s="16">
        <v>0.99450000000000005</v>
      </c>
      <c r="AC50" s="16">
        <v>1.7531000000000001</v>
      </c>
      <c r="AD50" s="16">
        <v>0.7077</v>
      </c>
      <c r="AE50" s="16">
        <v>5.2999999999999999E-2</v>
      </c>
      <c r="AF50" s="16">
        <v>0.2102</v>
      </c>
      <c r="AG50" s="16">
        <v>5.2999999999999999E-2</v>
      </c>
      <c r="AH50" s="16">
        <v>0.11020000000000001</v>
      </c>
      <c r="AI50" s="16">
        <v>0.153</v>
      </c>
      <c r="AJ50" s="16">
        <v>5.2999999999999999E-2</v>
      </c>
      <c r="AK50" s="16">
        <v>0.10299999999999999</v>
      </c>
      <c r="AL50" s="16">
        <v>0.16020000000000001</v>
      </c>
      <c r="AM50" s="16">
        <v>0.1343</v>
      </c>
      <c r="AN50" s="16">
        <v>9.5899999999999999E-2</v>
      </c>
      <c r="AO50" s="16">
        <v>0.1673</v>
      </c>
      <c r="AP50" s="16">
        <v>5.2999999999999999E-2</v>
      </c>
      <c r="AQ50" s="16">
        <v>0.2102</v>
      </c>
      <c r="AR50" s="16">
        <v>0.1343</v>
      </c>
      <c r="AS50" s="16">
        <v>5.2999999999999999E-2</v>
      </c>
      <c r="AT50" s="16">
        <v>5.2999999999999999E-2</v>
      </c>
      <c r="AU50" s="16">
        <v>0.19739999999999999</v>
      </c>
      <c r="AV50" s="16">
        <v>0.14699999999999999</v>
      </c>
      <c r="AW50" s="16">
        <v>8.8700000000000001E-2</v>
      </c>
      <c r="AX50" s="16">
        <v>0.25569999999999998</v>
      </c>
    </row>
    <row r="51" spans="1:50" x14ac:dyDescent="0.25">
      <c r="A51" s="17" t="s">
        <v>269</v>
      </c>
      <c r="B51" s="13" t="s">
        <v>222</v>
      </c>
      <c r="C51" s="18">
        <v>0.75029999999999997</v>
      </c>
      <c r="D51" s="18">
        <v>0.25679999999999997</v>
      </c>
      <c r="E51" s="18">
        <v>5.3999999999999999E-2</v>
      </c>
      <c r="F51" s="18">
        <v>0.25979999999999998</v>
      </c>
      <c r="G51" s="18">
        <v>5.3999999999999999E-2</v>
      </c>
      <c r="H51" s="18">
        <v>8.0100000000000005E-2</v>
      </c>
      <c r="I51" s="18">
        <v>0.20610000000000001</v>
      </c>
      <c r="J51" s="18">
        <v>8.1600000000000006E-2</v>
      </c>
      <c r="K51" s="18">
        <v>5.3999999999999999E-2</v>
      </c>
      <c r="L51" s="18">
        <v>0.26569999999999999</v>
      </c>
      <c r="M51" s="18">
        <v>0.251</v>
      </c>
      <c r="N51" s="18">
        <v>0.20799999999999999</v>
      </c>
      <c r="O51" s="18">
        <v>0.1565</v>
      </c>
      <c r="P51" s="18">
        <v>5.3999999999999999E-2</v>
      </c>
      <c r="Q51" s="18">
        <v>0.29949999999999999</v>
      </c>
      <c r="R51" s="18">
        <v>0.13289999999999999</v>
      </c>
      <c r="S51" s="18">
        <v>7.8100000000000003E-2</v>
      </c>
      <c r="T51" s="18">
        <v>0.3967</v>
      </c>
      <c r="U51" s="18">
        <v>0.2225</v>
      </c>
      <c r="V51" s="18">
        <v>0.22090000000000001</v>
      </c>
      <c r="W51" s="18">
        <v>1.5190999999999999</v>
      </c>
      <c r="X51" s="18">
        <v>0.10920000000000001</v>
      </c>
      <c r="Y51" s="18">
        <v>0.1389</v>
      </c>
      <c r="Z51" s="18">
        <v>0.1128</v>
      </c>
      <c r="AA51" s="18">
        <v>0.10920000000000001</v>
      </c>
      <c r="AB51" s="18">
        <v>0.2046</v>
      </c>
      <c r="AC51" s="18">
        <v>0.10920000000000001</v>
      </c>
      <c r="AD51" s="18">
        <v>0.1197</v>
      </c>
      <c r="AE51" s="18">
        <v>0.1389</v>
      </c>
      <c r="AF51" s="18">
        <v>0.83320000000000005</v>
      </c>
      <c r="AG51" s="18">
        <v>0.27150000000000002</v>
      </c>
      <c r="AH51" s="18">
        <v>0.28460000000000002</v>
      </c>
      <c r="AI51" s="18">
        <v>0.36570000000000003</v>
      </c>
      <c r="AJ51" s="18">
        <v>0.25559999999999999</v>
      </c>
      <c r="AK51" s="18">
        <v>0.33439999999999998</v>
      </c>
      <c r="AL51" s="18">
        <v>0.3876</v>
      </c>
      <c r="AM51" s="18">
        <v>0.43780000000000002</v>
      </c>
      <c r="AN51" s="18">
        <v>0.36320000000000002</v>
      </c>
      <c r="AO51" s="18">
        <v>0.52259999999999995</v>
      </c>
      <c r="AP51" s="18">
        <v>0.32300000000000001</v>
      </c>
      <c r="AQ51" s="18">
        <v>0.57579999999999998</v>
      </c>
      <c r="AR51" s="18">
        <v>0.56740000000000002</v>
      </c>
      <c r="AS51" s="18">
        <v>0.68400000000000005</v>
      </c>
      <c r="AT51" s="18">
        <v>1.0293000000000001</v>
      </c>
      <c r="AU51" s="18">
        <v>0.44069999999999998</v>
      </c>
      <c r="AV51" s="18">
        <v>0.16830000000000001</v>
      </c>
      <c r="AW51" s="18">
        <v>0.14549999999999999</v>
      </c>
      <c r="AX51" s="18">
        <v>5.3999999999999999E-2</v>
      </c>
    </row>
    <row r="52" spans="1:50" x14ac:dyDescent="0.25">
      <c r="A52" s="8" t="s">
        <v>100</v>
      </c>
      <c r="B52" s="10" t="s">
        <v>57</v>
      </c>
      <c r="C52" s="16">
        <v>0.47499999999999998</v>
      </c>
      <c r="D52" s="16">
        <v>0.39729999999999999</v>
      </c>
      <c r="E52" s="16">
        <v>0.16980000000000001</v>
      </c>
      <c r="F52" s="16">
        <v>4.9700000000000001E-2</v>
      </c>
      <c r="G52" s="16">
        <v>0.31819999999999998</v>
      </c>
      <c r="H52" s="16">
        <v>6.3E-2</v>
      </c>
      <c r="I52" s="16">
        <v>9.0399999999999994E-2</v>
      </c>
      <c r="J52" s="16">
        <v>0.2908</v>
      </c>
      <c r="K52" s="16">
        <v>4.2999999999999997E-2</v>
      </c>
      <c r="L52" s="16">
        <v>0.19739999999999999</v>
      </c>
      <c r="M52" s="16">
        <v>0.1371</v>
      </c>
      <c r="N52" s="16">
        <v>0.14849999999999999</v>
      </c>
      <c r="O52" s="16">
        <v>0.1459</v>
      </c>
      <c r="P52" s="16">
        <v>4.2999999999999997E-2</v>
      </c>
      <c r="Q52" s="16">
        <v>0.14979999999999999</v>
      </c>
      <c r="R52" s="16">
        <v>0.23139999999999999</v>
      </c>
      <c r="S52" s="16">
        <v>0.1031</v>
      </c>
      <c r="T52" s="16">
        <v>0.21940000000000001</v>
      </c>
      <c r="U52" s="16">
        <v>0.1018</v>
      </c>
      <c r="V52" s="16">
        <v>0.12280000000000001</v>
      </c>
      <c r="W52" s="16">
        <v>1.0358000000000001</v>
      </c>
      <c r="X52" s="16">
        <v>8.2900000000000001E-2</v>
      </c>
      <c r="Y52" s="16">
        <v>0.15260000000000001</v>
      </c>
      <c r="Z52" s="16">
        <v>0.18129999999999999</v>
      </c>
      <c r="AA52" s="16">
        <v>1.56</v>
      </c>
      <c r="AB52" s="16">
        <v>0.88300000000000001</v>
      </c>
      <c r="AC52" s="16">
        <v>1.923</v>
      </c>
      <c r="AD52" s="16">
        <v>0.3972</v>
      </c>
      <c r="AE52" s="16">
        <v>2.5188000000000001</v>
      </c>
      <c r="AF52" s="16">
        <v>2.5954000000000002</v>
      </c>
      <c r="AG52" s="16">
        <v>0.95609999999999995</v>
      </c>
      <c r="AH52" s="16">
        <v>0.20469999999999999</v>
      </c>
      <c r="AI52" s="16">
        <v>0.4224</v>
      </c>
      <c r="AJ52" s="16">
        <v>4.2999999999999997E-2</v>
      </c>
      <c r="AK52" s="16">
        <v>0.17649999999999999</v>
      </c>
      <c r="AL52" s="16">
        <v>0.27079999999999999</v>
      </c>
      <c r="AM52" s="16">
        <v>7.4999999999999997E-2</v>
      </c>
      <c r="AN52" s="16">
        <v>0.20580000000000001</v>
      </c>
      <c r="AO52" s="16">
        <v>0.1845</v>
      </c>
      <c r="AP52" s="16">
        <v>0.71120000000000005</v>
      </c>
      <c r="AQ52" s="16">
        <v>0.3785</v>
      </c>
      <c r="AR52" s="16">
        <v>0.35249999999999998</v>
      </c>
      <c r="AS52" s="16">
        <v>0.36599999999999999</v>
      </c>
      <c r="AT52" s="16">
        <v>0.59350000000000003</v>
      </c>
      <c r="AU52" s="16">
        <v>0.39079999999999998</v>
      </c>
      <c r="AV52" s="16">
        <v>0.16800000000000001</v>
      </c>
      <c r="AW52" s="16">
        <v>0.16320000000000001</v>
      </c>
      <c r="AX52" s="16">
        <v>0.21809999999999999</v>
      </c>
    </row>
    <row r="53" spans="1:50" x14ac:dyDescent="0.25">
      <c r="A53" s="8" t="s">
        <v>102</v>
      </c>
      <c r="B53" s="10" t="s">
        <v>57</v>
      </c>
      <c r="C53" s="16">
        <v>5.6000000000000001E-2</v>
      </c>
      <c r="D53" s="16">
        <v>5.6000000000000001E-2</v>
      </c>
      <c r="E53" s="16">
        <v>5.6000000000000001E-2</v>
      </c>
      <c r="F53" s="16">
        <v>5.6000000000000001E-2</v>
      </c>
      <c r="G53" s="16">
        <v>5.6000000000000001E-2</v>
      </c>
      <c r="H53" s="16">
        <v>5.6000000000000001E-2</v>
      </c>
      <c r="I53" s="16">
        <v>5.6000000000000001E-2</v>
      </c>
      <c r="J53" s="16">
        <v>5.6000000000000001E-2</v>
      </c>
      <c r="K53" s="16">
        <v>5.6000000000000001E-2</v>
      </c>
      <c r="L53" s="16">
        <v>5.6000000000000001E-2</v>
      </c>
      <c r="M53" s="16">
        <v>5.6000000000000001E-2</v>
      </c>
      <c r="N53" s="16">
        <v>5.6000000000000001E-2</v>
      </c>
      <c r="O53" s="16">
        <v>5.6000000000000001E-2</v>
      </c>
      <c r="P53" s="16">
        <v>5.6000000000000001E-2</v>
      </c>
      <c r="Q53" s="16">
        <v>9.2100000000000001E-2</v>
      </c>
      <c r="R53" s="16">
        <v>0.44679999999999997</v>
      </c>
      <c r="S53" s="16">
        <v>5.6000000000000001E-2</v>
      </c>
      <c r="T53" s="16">
        <v>7.7799999999999994E-2</v>
      </c>
      <c r="U53" s="16">
        <v>0.88200000000000001</v>
      </c>
      <c r="V53" s="16">
        <v>0.77280000000000004</v>
      </c>
      <c r="W53" s="16">
        <v>0.93799999999999994</v>
      </c>
      <c r="X53" s="16">
        <v>1.6545000000000001</v>
      </c>
      <c r="Y53" s="16">
        <v>7.0999999999999994E-2</v>
      </c>
      <c r="Z53" s="16">
        <v>1.0215000000000001</v>
      </c>
      <c r="AA53" s="16">
        <v>0.77900000000000003</v>
      </c>
      <c r="AB53" s="16">
        <v>1.2854000000000001</v>
      </c>
      <c r="AC53" s="16">
        <v>1.1662999999999999</v>
      </c>
      <c r="AD53" s="16">
        <v>5.6000000000000001E-2</v>
      </c>
      <c r="AE53" s="16">
        <v>5.6000000000000001E-2</v>
      </c>
      <c r="AF53" s="16">
        <v>5.6000000000000001E-2</v>
      </c>
      <c r="AG53" s="16">
        <v>5.6000000000000001E-2</v>
      </c>
      <c r="AH53" s="16">
        <v>5.6000000000000001E-2</v>
      </c>
      <c r="AI53" s="16">
        <v>5.6000000000000001E-2</v>
      </c>
      <c r="AJ53" s="16">
        <v>5.6000000000000001E-2</v>
      </c>
      <c r="AK53" s="16">
        <v>5.6000000000000001E-2</v>
      </c>
      <c r="AL53" s="16">
        <v>0.49309999999999998</v>
      </c>
      <c r="AM53" s="16">
        <v>1.3482000000000001</v>
      </c>
      <c r="AN53" s="16">
        <v>1.1422000000000001</v>
      </c>
      <c r="AO53" s="16">
        <v>0.18740000000000001</v>
      </c>
      <c r="AP53" s="16">
        <v>0.33900000000000002</v>
      </c>
      <c r="AQ53" s="16">
        <v>1.5286999999999999</v>
      </c>
      <c r="AR53" s="16">
        <v>0.1346</v>
      </c>
      <c r="AS53" s="16">
        <v>0.29759999999999998</v>
      </c>
      <c r="AT53" s="16">
        <v>0.36380000000000001</v>
      </c>
      <c r="AU53" s="16">
        <v>0.34570000000000001</v>
      </c>
      <c r="AV53" s="16">
        <v>0.2681</v>
      </c>
      <c r="AW53" s="16">
        <v>0.27260000000000001</v>
      </c>
      <c r="AX53" s="16">
        <v>0.34060000000000001</v>
      </c>
    </row>
    <row r="54" spans="1:50" x14ac:dyDescent="0.25">
      <c r="A54" s="8" t="s">
        <v>104</v>
      </c>
      <c r="B54" s="10" t="s">
        <v>57</v>
      </c>
      <c r="C54" s="16">
        <v>0.16450000000000001</v>
      </c>
      <c r="D54" s="16">
        <v>9.2299999999999993E-2</v>
      </c>
      <c r="E54" s="16">
        <v>0.114</v>
      </c>
      <c r="F54" s="16">
        <v>0.1429</v>
      </c>
      <c r="G54" s="16">
        <v>7.0699999999999999E-2</v>
      </c>
      <c r="H54" s="16">
        <v>0.1862</v>
      </c>
      <c r="I54" s="16">
        <v>4.9000000000000002E-2</v>
      </c>
      <c r="J54" s="16">
        <v>0.25380000000000003</v>
      </c>
      <c r="K54" s="16">
        <v>4.9000000000000002E-2</v>
      </c>
      <c r="L54" s="16">
        <v>4.9000000000000002E-2</v>
      </c>
      <c r="M54" s="16">
        <v>0.19339999999999999</v>
      </c>
      <c r="N54" s="16">
        <v>6.3399999999999998E-2</v>
      </c>
      <c r="O54" s="16">
        <v>4.9000000000000002E-2</v>
      </c>
      <c r="P54" s="16">
        <v>0.16450000000000001</v>
      </c>
      <c r="Q54" s="16">
        <v>9.2299999999999993E-2</v>
      </c>
      <c r="R54" s="16">
        <v>4.9000000000000002E-2</v>
      </c>
      <c r="S54" s="16">
        <v>0.1862</v>
      </c>
      <c r="T54" s="16">
        <v>7.0699999999999999E-2</v>
      </c>
      <c r="U54" s="16">
        <v>6.3399999999999998E-2</v>
      </c>
      <c r="V54" s="16">
        <v>0.2019</v>
      </c>
      <c r="W54" s="16">
        <v>8.0799999999999997E-2</v>
      </c>
      <c r="X54" s="16">
        <v>0.23960000000000001</v>
      </c>
      <c r="Y54" s="16">
        <v>5.4300000000000001E-2</v>
      </c>
      <c r="Z54" s="16">
        <v>0.1429</v>
      </c>
      <c r="AA54" s="16">
        <v>0.1229</v>
      </c>
      <c r="AB54" s="16">
        <v>0.1827</v>
      </c>
      <c r="AC54" s="16">
        <v>0.224</v>
      </c>
      <c r="AD54" s="16">
        <v>0.20730000000000001</v>
      </c>
      <c r="AE54" s="16">
        <v>0.17019999999999999</v>
      </c>
      <c r="AF54" s="16">
        <v>0.2155</v>
      </c>
      <c r="AG54" s="16">
        <v>8.6300000000000002E-2</v>
      </c>
      <c r="AH54" s="16">
        <v>0.20780000000000001</v>
      </c>
      <c r="AI54" s="16">
        <v>5.8400000000000001E-2</v>
      </c>
      <c r="AJ54" s="16">
        <v>7.2099999999999997E-2</v>
      </c>
      <c r="AK54" s="16">
        <v>0.1827</v>
      </c>
      <c r="AL54" s="16">
        <v>9.2299999999999993E-2</v>
      </c>
      <c r="AM54" s="16">
        <v>0.114</v>
      </c>
      <c r="AN54" s="16">
        <v>0.1429</v>
      </c>
      <c r="AO54" s="16">
        <v>4.9000000000000002E-2</v>
      </c>
      <c r="AP54" s="16">
        <v>0.20780000000000001</v>
      </c>
      <c r="AQ54" s="16">
        <v>4.9000000000000002E-2</v>
      </c>
      <c r="AR54" s="16">
        <v>0.16370000000000001</v>
      </c>
      <c r="AS54" s="16">
        <v>0.3009</v>
      </c>
      <c r="AT54" s="16">
        <v>0.254</v>
      </c>
      <c r="AU54" s="16">
        <v>0.25130000000000002</v>
      </c>
      <c r="AV54" s="16">
        <v>0.34310000000000002</v>
      </c>
      <c r="AW54" s="16">
        <v>0.30980000000000002</v>
      </c>
      <c r="AX54" s="16">
        <v>0.22189999999999999</v>
      </c>
    </row>
    <row r="55" spans="1:50" x14ac:dyDescent="0.25">
      <c r="A55" s="8" t="s">
        <v>106</v>
      </c>
      <c r="B55" s="10" t="s">
        <v>57</v>
      </c>
      <c r="C55" s="16">
        <v>4.9000000000000002E-2</v>
      </c>
      <c r="D55" s="16">
        <v>0.2777</v>
      </c>
      <c r="E55" s="16">
        <v>9.2499999999999999E-2</v>
      </c>
      <c r="F55" s="16">
        <v>9.9699999999999997E-2</v>
      </c>
      <c r="G55" s="16">
        <v>0.2084</v>
      </c>
      <c r="H55" s="16">
        <v>0.1111</v>
      </c>
      <c r="I55" s="16">
        <v>0.20830000000000001</v>
      </c>
      <c r="J55" s="16">
        <v>0.16189999999999999</v>
      </c>
      <c r="K55" s="16">
        <v>4.9000000000000002E-2</v>
      </c>
      <c r="L55" s="16">
        <v>0.10780000000000001</v>
      </c>
      <c r="M55" s="16">
        <v>0.26240000000000002</v>
      </c>
      <c r="N55" s="16">
        <v>4.9000000000000002E-2</v>
      </c>
      <c r="O55" s="16">
        <v>0.2535</v>
      </c>
      <c r="P55" s="16">
        <v>0.1167</v>
      </c>
      <c r="Q55" s="16">
        <v>9.9699999999999997E-2</v>
      </c>
      <c r="R55" s="16">
        <v>0.15759999999999999</v>
      </c>
      <c r="S55" s="16">
        <v>0.10539999999999999</v>
      </c>
      <c r="T55" s="16">
        <v>0.1706</v>
      </c>
      <c r="U55" s="16">
        <v>0.14879999999999999</v>
      </c>
      <c r="V55" s="16">
        <v>0.15620000000000001</v>
      </c>
      <c r="W55" s="16">
        <v>0.15759999999999999</v>
      </c>
      <c r="X55" s="16">
        <v>0.21260000000000001</v>
      </c>
      <c r="Y55" s="16">
        <v>4.9000000000000002E-2</v>
      </c>
      <c r="Z55" s="16">
        <v>0.19750000000000001</v>
      </c>
      <c r="AA55" s="16">
        <v>0.223</v>
      </c>
      <c r="AB55" s="16">
        <v>0.20250000000000001</v>
      </c>
      <c r="AC55" s="16">
        <v>0.1794</v>
      </c>
      <c r="AD55" s="16">
        <v>7.8E-2</v>
      </c>
      <c r="AE55" s="16">
        <v>4.9000000000000002E-2</v>
      </c>
      <c r="AF55" s="16">
        <v>7.7200000000000005E-2</v>
      </c>
      <c r="AG55" s="16">
        <v>0.29299999999999998</v>
      </c>
      <c r="AH55" s="16">
        <v>4.9000000000000002E-2</v>
      </c>
      <c r="AI55" s="16">
        <v>0.32119999999999999</v>
      </c>
      <c r="AJ55" s="16">
        <v>4.9000000000000002E-2</v>
      </c>
      <c r="AK55" s="16">
        <v>0.1651</v>
      </c>
      <c r="AL55" s="16">
        <v>0.39319999999999999</v>
      </c>
      <c r="AM55" s="16">
        <v>7.7200000000000005E-2</v>
      </c>
      <c r="AN55" s="16">
        <v>0.13370000000000001</v>
      </c>
      <c r="AO55" s="16">
        <v>0.2586</v>
      </c>
      <c r="AP55" s="16">
        <v>0.6139</v>
      </c>
      <c r="AQ55" s="16">
        <v>0.5827</v>
      </c>
      <c r="AR55" s="16">
        <v>0.74660000000000004</v>
      </c>
      <c r="AS55" s="16">
        <v>0.68610000000000004</v>
      </c>
      <c r="AT55" s="16">
        <v>0.87490000000000001</v>
      </c>
      <c r="AU55" s="16">
        <v>1.2018</v>
      </c>
      <c r="AV55" s="16">
        <v>0.30030000000000001</v>
      </c>
      <c r="AW55" s="16">
        <v>0.1167</v>
      </c>
      <c r="AX55" s="16">
        <v>0.2535</v>
      </c>
    </row>
    <row r="56" spans="1:50" x14ac:dyDescent="0.25">
      <c r="A56" s="8" t="s">
        <v>108</v>
      </c>
      <c r="B56" s="10" t="s">
        <v>57</v>
      </c>
      <c r="C56" s="16">
        <v>0.9617</v>
      </c>
      <c r="D56" s="16">
        <v>0.55610000000000004</v>
      </c>
      <c r="E56" s="16">
        <v>0.83540000000000003</v>
      </c>
      <c r="F56" s="16">
        <v>0.73619999999999997</v>
      </c>
      <c r="G56" s="16">
        <v>0.15759999999999999</v>
      </c>
      <c r="H56" s="16">
        <v>0.13700000000000001</v>
      </c>
      <c r="I56" s="16">
        <v>0.2422</v>
      </c>
      <c r="J56" s="16">
        <v>0.23069999999999999</v>
      </c>
      <c r="K56" s="16">
        <v>6.3899999999999998E-2</v>
      </c>
      <c r="L56" s="16">
        <v>0.2913</v>
      </c>
      <c r="M56" s="16">
        <v>0.19059999999999999</v>
      </c>
      <c r="N56" s="16">
        <v>0.41839999999999999</v>
      </c>
      <c r="O56" s="16">
        <v>0.63729999999999998</v>
      </c>
      <c r="P56" s="16">
        <v>0.31830000000000003</v>
      </c>
      <c r="Q56" s="16">
        <v>0.4199</v>
      </c>
      <c r="R56" s="16">
        <v>0.18190000000000001</v>
      </c>
      <c r="S56" s="16">
        <v>0.2082</v>
      </c>
      <c r="T56" s="16">
        <v>0.45710000000000001</v>
      </c>
      <c r="U56" s="16">
        <v>1.5202</v>
      </c>
      <c r="V56" s="16">
        <v>0.24890000000000001</v>
      </c>
      <c r="W56" s="16">
        <v>0.16370000000000001</v>
      </c>
      <c r="X56" s="16">
        <v>0.2213</v>
      </c>
      <c r="Y56" s="16">
        <v>0.3085</v>
      </c>
      <c r="Z56" s="16">
        <v>0.3175</v>
      </c>
      <c r="AA56" s="16">
        <v>0.1993</v>
      </c>
      <c r="AB56" s="16">
        <v>0.41810000000000003</v>
      </c>
      <c r="AC56" s="16">
        <v>0.1968</v>
      </c>
      <c r="AD56" s="16">
        <v>0.54730000000000001</v>
      </c>
      <c r="AE56" s="16">
        <v>0.75990000000000002</v>
      </c>
      <c r="AF56" s="16">
        <v>0.49320000000000003</v>
      </c>
      <c r="AG56" s="16">
        <v>0.22170000000000001</v>
      </c>
      <c r="AH56" s="16">
        <v>0.75880000000000003</v>
      </c>
      <c r="AI56" s="16">
        <v>0.18840000000000001</v>
      </c>
      <c r="AJ56" s="16">
        <v>0.2482</v>
      </c>
      <c r="AK56" s="16">
        <v>0.39040000000000002</v>
      </c>
      <c r="AL56" s="16">
        <v>0.54710000000000003</v>
      </c>
      <c r="AM56" s="16">
        <v>1.3444</v>
      </c>
      <c r="AN56" s="16">
        <v>0.76690000000000003</v>
      </c>
      <c r="AO56" s="16">
        <v>1.3423</v>
      </c>
      <c r="AP56" s="16">
        <v>0.29049999999999998</v>
      </c>
      <c r="AQ56" s="16">
        <v>0.3876</v>
      </c>
      <c r="AR56" s="16">
        <v>0.76600000000000001</v>
      </c>
      <c r="AS56" s="16">
        <v>0.26400000000000001</v>
      </c>
      <c r="AT56" s="16">
        <v>0.87939999999999996</v>
      </c>
      <c r="AU56" s="16">
        <v>1.2690999999999999</v>
      </c>
      <c r="AV56" s="16">
        <v>0.41189999999999999</v>
      </c>
      <c r="AW56" s="16">
        <v>0.62139999999999995</v>
      </c>
      <c r="AX56" s="16">
        <v>0.1681</v>
      </c>
    </row>
    <row r="57" spans="1:50" x14ac:dyDescent="0.25">
      <c r="A57" s="8" t="s">
        <v>110</v>
      </c>
      <c r="B57" s="10" t="s">
        <v>57</v>
      </c>
      <c r="C57" s="16">
        <v>0.18970000000000001</v>
      </c>
      <c r="D57" s="16">
        <v>0.2611</v>
      </c>
      <c r="E57" s="16">
        <v>7.9100000000000004E-2</v>
      </c>
      <c r="F57" s="16">
        <v>0.25950000000000001</v>
      </c>
      <c r="G57" s="16">
        <v>0.17019999999999999</v>
      </c>
      <c r="H57" s="16">
        <v>0.15429999999999999</v>
      </c>
      <c r="I57" s="16">
        <v>0.20430000000000001</v>
      </c>
      <c r="J57" s="16">
        <v>0.18179999999999999</v>
      </c>
      <c r="K57" s="16">
        <v>0.14249999999999999</v>
      </c>
      <c r="L57" s="16">
        <v>0.1147</v>
      </c>
      <c r="M57" s="16">
        <v>0.28489999999999999</v>
      </c>
      <c r="N57" s="16">
        <v>0.10920000000000001</v>
      </c>
      <c r="O57" s="16">
        <v>0.21560000000000001</v>
      </c>
      <c r="P57" s="16">
        <v>0.1754</v>
      </c>
      <c r="Q57" s="16">
        <v>0.1177</v>
      </c>
      <c r="R57" s="16">
        <v>0.25230000000000002</v>
      </c>
      <c r="S57" s="16">
        <v>3.5085999999999999</v>
      </c>
      <c r="T57" s="16">
        <v>1.2015</v>
      </c>
      <c r="U57" s="16">
        <v>0.95250000000000001</v>
      </c>
      <c r="V57" s="16">
        <v>0.316</v>
      </c>
      <c r="W57" s="16">
        <v>1.4874000000000001</v>
      </c>
      <c r="X57" s="16">
        <v>1.4209000000000001</v>
      </c>
      <c r="Y57" s="16">
        <v>1.0839000000000001</v>
      </c>
      <c r="Z57" s="16">
        <v>0.4138</v>
      </c>
      <c r="AA57" s="16">
        <v>0.26119999999999999</v>
      </c>
      <c r="AB57" s="16">
        <v>9.9299999999999999E-2</v>
      </c>
      <c r="AC57" s="16">
        <v>0.46850000000000003</v>
      </c>
      <c r="AD57" s="16">
        <v>0.10979999999999999</v>
      </c>
      <c r="AE57" s="16">
        <v>0.26490000000000002</v>
      </c>
      <c r="AF57" s="16">
        <v>0.19570000000000001</v>
      </c>
      <c r="AG57" s="16">
        <v>0.40010000000000001</v>
      </c>
      <c r="AH57" s="16">
        <v>0.2838</v>
      </c>
      <c r="AI57" s="16">
        <v>0.16250000000000001</v>
      </c>
      <c r="AJ57" s="16">
        <v>0.29809999999999998</v>
      </c>
      <c r="AK57" s="16">
        <v>0.2266</v>
      </c>
      <c r="AL57" s="16">
        <v>0.35720000000000002</v>
      </c>
      <c r="AM57" s="16">
        <v>0.26950000000000002</v>
      </c>
      <c r="AN57" s="16">
        <v>0.41710000000000003</v>
      </c>
      <c r="AO57" s="16">
        <v>0.35570000000000002</v>
      </c>
      <c r="AP57" s="16">
        <v>0.68530000000000002</v>
      </c>
      <c r="AQ57" s="16">
        <v>0.78390000000000004</v>
      </c>
      <c r="AR57" s="16">
        <v>0.63680000000000003</v>
      </c>
      <c r="AS57" s="16">
        <v>0.96899999999999997</v>
      </c>
      <c r="AT57" s="16">
        <v>0.69499999999999995</v>
      </c>
      <c r="AU57" s="16">
        <v>1.1144000000000001</v>
      </c>
      <c r="AV57" s="16">
        <v>0.98019999999999996</v>
      </c>
      <c r="AW57" s="16">
        <v>0.18010000000000001</v>
      </c>
      <c r="AX57" s="16">
        <v>0.93789999999999996</v>
      </c>
    </row>
    <row r="58" spans="1:50" x14ac:dyDescent="0.25">
      <c r="A58" s="17" t="s">
        <v>271</v>
      </c>
      <c r="B58" s="13" t="s">
        <v>222</v>
      </c>
      <c r="C58" s="18">
        <v>0.10340000000000001</v>
      </c>
      <c r="D58" s="18">
        <v>8.8999999999999996E-2</v>
      </c>
      <c r="E58" s="18">
        <v>0.20849999999999999</v>
      </c>
      <c r="F58" s="18">
        <v>0.2412</v>
      </c>
      <c r="G58" s="18">
        <v>0.27679999999999999</v>
      </c>
      <c r="H58" s="18">
        <v>4.5999999999999999E-2</v>
      </c>
      <c r="I58" s="18">
        <v>0.17510000000000001</v>
      </c>
      <c r="J58" s="18">
        <v>7.4700000000000003E-2</v>
      </c>
      <c r="K58" s="18">
        <v>0.1177</v>
      </c>
      <c r="L58" s="18">
        <v>0.1321</v>
      </c>
      <c r="M58" s="18">
        <v>4.5999999999999999E-2</v>
      </c>
      <c r="N58" s="18">
        <v>0.20380000000000001</v>
      </c>
      <c r="O58" s="18">
        <v>4.5999999999999999E-2</v>
      </c>
      <c r="P58" s="18">
        <v>0.18940000000000001</v>
      </c>
      <c r="Q58" s="18">
        <v>6.0299999999999999E-2</v>
      </c>
      <c r="R58" s="18">
        <v>4.5999999999999999E-2</v>
      </c>
      <c r="S58" s="18">
        <v>4.9399999999999999E-2</v>
      </c>
      <c r="T58" s="18">
        <v>6.9199999999999998E-2</v>
      </c>
      <c r="U58" s="18">
        <v>0.17510000000000001</v>
      </c>
      <c r="V58" s="18">
        <v>7.4700000000000003E-2</v>
      </c>
      <c r="W58" s="18">
        <v>4.5999999999999999E-2</v>
      </c>
      <c r="X58" s="18">
        <v>7.4700000000000003E-2</v>
      </c>
      <c r="Y58" s="18">
        <v>0.17510000000000001</v>
      </c>
      <c r="Z58" s="18">
        <v>4.5999999999999999E-2</v>
      </c>
      <c r="AA58" s="18">
        <v>0.32150000000000001</v>
      </c>
      <c r="AB58" s="18">
        <v>0.1177</v>
      </c>
      <c r="AC58" s="18">
        <v>4.5999999999999999E-2</v>
      </c>
      <c r="AD58" s="18">
        <v>0.21060000000000001</v>
      </c>
      <c r="AE58" s="18">
        <v>6.0100000000000001E-2</v>
      </c>
      <c r="AF58" s="18">
        <v>0.1308</v>
      </c>
      <c r="AG58" s="18">
        <v>0.48470000000000002</v>
      </c>
      <c r="AH58" s="18">
        <v>0.245</v>
      </c>
      <c r="AI58" s="18">
        <v>0.16789999999999999</v>
      </c>
      <c r="AJ58" s="18">
        <v>9.2100000000000001E-2</v>
      </c>
      <c r="AK58" s="18">
        <v>2.1324999999999998</v>
      </c>
      <c r="AL58" s="18">
        <v>2.5811999999999999</v>
      </c>
      <c r="AM58" s="18">
        <v>1.7828999999999999</v>
      </c>
      <c r="AN58" s="18">
        <v>5.1999999999999998E-2</v>
      </c>
      <c r="AO58" s="18">
        <v>0.10440000000000001</v>
      </c>
      <c r="AP58" s="18">
        <v>0.63239999999999996</v>
      </c>
      <c r="AQ58" s="18">
        <v>6.0299999999999999E-2</v>
      </c>
      <c r="AR58" s="18">
        <v>5.3199999999999997E-2</v>
      </c>
      <c r="AS58" s="18">
        <v>0.61609999999999998</v>
      </c>
      <c r="AT58" s="18">
        <v>0.46010000000000001</v>
      </c>
      <c r="AU58" s="18">
        <v>0.61639999999999995</v>
      </c>
      <c r="AV58" s="18">
        <v>0.75470000000000004</v>
      </c>
      <c r="AW58" s="18">
        <v>0.55230000000000001</v>
      </c>
      <c r="AX58" s="18">
        <v>1.4401999999999999</v>
      </c>
    </row>
    <row r="59" spans="1:50" x14ac:dyDescent="0.25">
      <c r="A59" s="17" t="s">
        <v>273</v>
      </c>
      <c r="B59" s="13" t="s">
        <v>222</v>
      </c>
      <c r="C59" s="18">
        <v>4.5999999999999999E-2</v>
      </c>
      <c r="D59" s="18">
        <v>0.1072</v>
      </c>
      <c r="E59" s="18">
        <v>0.1908</v>
      </c>
      <c r="F59" s="18">
        <v>7.2499999999999995E-2</v>
      </c>
      <c r="G59" s="18">
        <v>0.19889999999999999</v>
      </c>
      <c r="H59" s="18">
        <v>4.5999999999999999E-2</v>
      </c>
      <c r="I59" s="18">
        <v>0.24310000000000001</v>
      </c>
      <c r="J59" s="18">
        <v>8.14E-2</v>
      </c>
      <c r="K59" s="18">
        <v>8.5800000000000001E-2</v>
      </c>
      <c r="L59" s="18">
        <v>0.2387</v>
      </c>
      <c r="M59" s="18">
        <v>6.8099999999999994E-2</v>
      </c>
      <c r="N59" s="18">
        <v>0.25629999999999997</v>
      </c>
      <c r="O59" s="18">
        <v>4.5999999999999999E-2</v>
      </c>
      <c r="P59" s="18">
        <v>0.1123</v>
      </c>
      <c r="Q59" s="18">
        <v>0.21210000000000001</v>
      </c>
      <c r="R59" s="18">
        <v>4.5999999999999999E-2</v>
      </c>
      <c r="S59" s="18">
        <v>0.19600000000000001</v>
      </c>
      <c r="T59" s="18">
        <v>0.15340000000000001</v>
      </c>
      <c r="U59" s="18">
        <v>8.9800000000000005E-2</v>
      </c>
      <c r="V59" s="18">
        <v>0.99099999999999999</v>
      </c>
      <c r="W59" s="18">
        <v>0.56179999999999997</v>
      </c>
      <c r="X59" s="18">
        <v>0.39960000000000001</v>
      </c>
      <c r="Y59" s="18">
        <v>0.1351</v>
      </c>
      <c r="Z59" s="18">
        <v>0.25800000000000001</v>
      </c>
      <c r="AA59" s="18">
        <v>0.1792</v>
      </c>
      <c r="AB59" s="18">
        <v>0.10299999999999999</v>
      </c>
      <c r="AC59" s="18">
        <v>0.5726</v>
      </c>
      <c r="AD59" s="18">
        <v>5.3600000000000002E-2</v>
      </c>
      <c r="AE59" s="18">
        <v>0.1454</v>
      </c>
      <c r="AF59" s="18">
        <v>9.9500000000000005E-2</v>
      </c>
      <c r="AG59" s="18">
        <v>4.5999999999999999E-2</v>
      </c>
      <c r="AH59" s="18">
        <v>0.12559999999999999</v>
      </c>
      <c r="AI59" s="18">
        <v>8.1299999999999997E-2</v>
      </c>
      <c r="AJ59" s="18">
        <v>1.1341000000000001</v>
      </c>
      <c r="AK59" s="18">
        <v>3.1861999999999999</v>
      </c>
      <c r="AL59" s="18">
        <v>2.1118000000000001</v>
      </c>
      <c r="AM59" s="18">
        <v>0.1759</v>
      </c>
      <c r="AN59" s="18">
        <v>0.13650000000000001</v>
      </c>
      <c r="AO59" s="18">
        <v>0.1237</v>
      </c>
      <c r="AP59" s="18">
        <v>0.2102</v>
      </c>
      <c r="AQ59" s="18">
        <v>0.2442</v>
      </c>
      <c r="AR59" s="18">
        <v>0.40089999999999998</v>
      </c>
      <c r="AS59" s="18">
        <v>0.5292</v>
      </c>
      <c r="AT59" s="18">
        <v>0.33650000000000002</v>
      </c>
      <c r="AU59" s="18">
        <v>0.32029999999999997</v>
      </c>
      <c r="AV59" s="18">
        <v>0.6663</v>
      </c>
      <c r="AW59" s="18">
        <v>4.5999999999999999E-2</v>
      </c>
      <c r="AX59" s="18">
        <v>0.1759</v>
      </c>
    </row>
    <row r="60" spans="1:50" x14ac:dyDescent="0.25">
      <c r="A60" s="8" t="s">
        <v>112</v>
      </c>
      <c r="B60" s="10" t="s">
        <v>57</v>
      </c>
      <c r="C60" s="16">
        <v>4.5999999999999999E-2</v>
      </c>
      <c r="D60" s="16">
        <v>0.30980000000000002</v>
      </c>
      <c r="E60" s="16">
        <v>5.7299999999999997E-2</v>
      </c>
      <c r="F60" s="16">
        <v>0.1178</v>
      </c>
      <c r="G60" s="16">
        <v>0.16139999999999999</v>
      </c>
      <c r="H60" s="16">
        <v>6.2899999999999998E-2</v>
      </c>
      <c r="I60" s="16">
        <v>0.23599999999999999</v>
      </c>
      <c r="J60" s="16">
        <v>0.13109999999999999</v>
      </c>
      <c r="K60" s="16">
        <v>0.48</v>
      </c>
      <c r="L60" s="16">
        <v>0.2878</v>
      </c>
      <c r="M60" s="16">
        <v>0.21310000000000001</v>
      </c>
      <c r="N60" s="16">
        <v>0.27589999999999998</v>
      </c>
      <c r="O60" s="16">
        <v>0.1452</v>
      </c>
      <c r="P60" s="16">
        <v>4.5999999999999999E-2</v>
      </c>
      <c r="Q60" s="16">
        <v>0.2084</v>
      </c>
      <c r="R60" s="16">
        <v>4.5999999999999999E-2</v>
      </c>
      <c r="S60" s="16">
        <v>0.18079999999999999</v>
      </c>
      <c r="T60" s="16">
        <v>0.18629999999999999</v>
      </c>
      <c r="U60" s="16">
        <v>0.85709999999999997</v>
      </c>
      <c r="V60" s="16">
        <v>0.76380000000000003</v>
      </c>
      <c r="W60" s="16">
        <v>0.25769999999999998</v>
      </c>
      <c r="X60" s="16">
        <v>0.2316</v>
      </c>
      <c r="Y60" s="16">
        <v>0.18540000000000001</v>
      </c>
      <c r="Z60" s="16">
        <v>8.6900000000000005E-2</v>
      </c>
      <c r="AA60" s="16">
        <v>0.15490000000000001</v>
      </c>
      <c r="AB60" s="16">
        <v>0.19139999999999999</v>
      </c>
      <c r="AC60" s="16">
        <v>0.2097</v>
      </c>
      <c r="AD60" s="16">
        <v>0.18129999999999999</v>
      </c>
      <c r="AE60" s="16">
        <v>0.14630000000000001</v>
      </c>
      <c r="AF60" s="16">
        <v>0.11360000000000001</v>
      </c>
      <c r="AG60" s="16">
        <v>4.5999999999999999E-2</v>
      </c>
      <c r="AH60" s="16">
        <v>0.29349999999999998</v>
      </c>
      <c r="AI60" s="16">
        <v>0.15509999999999999</v>
      </c>
      <c r="AJ60" s="16">
        <v>7.4200000000000002E-2</v>
      </c>
      <c r="AK60" s="16">
        <v>0.23119999999999999</v>
      </c>
      <c r="AL60" s="16">
        <v>0.1077</v>
      </c>
      <c r="AM60" s="16">
        <v>0.15870000000000001</v>
      </c>
      <c r="AN60" s="16">
        <v>0.1454</v>
      </c>
      <c r="AO60" s="16">
        <v>0.32</v>
      </c>
      <c r="AP60" s="16">
        <v>0.36030000000000001</v>
      </c>
      <c r="AQ60" s="16">
        <v>0.442</v>
      </c>
      <c r="AR60" s="16">
        <v>0.5171</v>
      </c>
      <c r="AS60" s="16">
        <v>0.57569999999999999</v>
      </c>
      <c r="AT60" s="16">
        <v>0.35510000000000003</v>
      </c>
      <c r="AU60" s="16">
        <v>0.27600000000000002</v>
      </c>
      <c r="AV60" s="16">
        <v>7.4200000000000002E-2</v>
      </c>
      <c r="AW60" s="16">
        <v>0.16320000000000001</v>
      </c>
      <c r="AX60" s="16">
        <v>0.1757</v>
      </c>
    </row>
    <row r="61" spans="1:50" x14ac:dyDescent="0.25">
      <c r="A61" s="8" t="s">
        <v>114</v>
      </c>
      <c r="B61" s="10" t="s">
        <v>57</v>
      </c>
      <c r="C61" s="16">
        <v>0.3805</v>
      </c>
      <c r="D61" s="16">
        <v>0.12470000000000001</v>
      </c>
      <c r="E61" s="16">
        <v>4.8000000000000001E-2</v>
      </c>
      <c r="F61" s="16">
        <v>0.16600000000000001</v>
      </c>
      <c r="G61" s="16">
        <v>4.8000000000000001E-2</v>
      </c>
      <c r="H61" s="16">
        <v>0.16600000000000001</v>
      </c>
      <c r="I61" s="16">
        <v>4.8000000000000001E-2</v>
      </c>
      <c r="J61" s="16">
        <v>7.1599999999999997E-2</v>
      </c>
      <c r="K61" s="16">
        <v>0.1424</v>
      </c>
      <c r="L61" s="16">
        <v>4.8000000000000001E-2</v>
      </c>
      <c r="M61" s="16">
        <v>0.16600000000000001</v>
      </c>
      <c r="N61" s="16">
        <v>4.8000000000000001E-2</v>
      </c>
      <c r="O61" s="16">
        <v>0.16600000000000001</v>
      </c>
      <c r="P61" s="16">
        <v>4.8000000000000001E-2</v>
      </c>
      <c r="Q61" s="16">
        <v>1.5799000000000001</v>
      </c>
      <c r="R61" s="16">
        <v>7.1599999999999997E-2</v>
      </c>
      <c r="S61" s="16">
        <v>0.13650000000000001</v>
      </c>
      <c r="T61" s="16">
        <v>0.60760000000000003</v>
      </c>
      <c r="U61" s="16">
        <v>0.64400000000000002</v>
      </c>
      <c r="V61" s="16">
        <v>1.8738999999999999</v>
      </c>
      <c r="W61" s="16">
        <v>5.6000000000000001E-2</v>
      </c>
      <c r="X61" s="16">
        <v>7.6499999999999999E-2</v>
      </c>
      <c r="Y61" s="16">
        <v>0.23549999999999999</v>
      </c>
      <c r="Z61" s="16">
        <v>0.1938</v>
      </c>
      <c r="AA61" s="16">
        <v>0.1938</v>
      </c>
      <c r="AB61" s="16">
        <v>0.14230000000000001</v>
      </c>
      <c r="AC61" s="16">
        <v>1.3364</v>
      </c>
      <c r="AD61" s="16">
        <v>0.8488</v>
      </c>
      <c r="AE61" s="16">
        <v>0.22370000000000001</v>
      </c>
      <c r="AF61" s="16">
        <v>0.13550000000000001</v>
      </c>
      <c r="AG61" s="16">
        <v>0.16339999999999999</v>
      </c>
      <c r="AH61" s="16">
        <v>0.3957</v>
      </c>
      <c r="AI61" s="16">
        <v>8.2100000000000006E-2</v>
      </c>
      <c r="AJ61" s="16">
        <v>0.1011</v>
      </c>
      <c r="AK61" s="16">
        <v>0.1129</v>
      </c>
      <c r="AL61" s="16">
        <v>0.29349999999999998</v>
      </c>
      <c r="AM61" s="16">
        <v>2.6604999999999999</v>
      </c>
      <c r="AN61" s="16">
        <v>2.2719999999999998</v>
      </c>
      <c r="AO61" s="16">
        <v>0.1542</v>
      </c>
      <c r="AP61" s="16">
        <v>5.9799999999999999E-2</v>
      </c>
      <c r="AQ61" s="16">
        <v>4.8000000000000001E-2</v>
      </c>
      <c r="AR61" s="16">
        <v>0.2334</v>
      </c>
      <c r="AS61" s="16">
        <v>0.12690000000000001</v>
      </c>
      <c r="AT61" s="16">
        <v>0.40620000000000001</v>
      </c>
      <c r="AU61" s="16">
        <v>0.3871</v>
      </c>
      <c r="AV61" s="16">
        <v>0.48970000000000002</v>
      </c>
      <c r="AW61" s="16">
        <v>0.24979999999999999</v>
      </c>
      <c r="AX61" s="16">
        <v>4.8000000000000001E-2</v>
      </c>
    </row>
    <row r="62" spans="1:50" x14ac:dyDescent="0.25">
      <c r="A62" s="17" t="s">
        <v>275</v>
      </c>
      <c r="B62" s="13" t="s">
        <v>222</v>
      </c>
      <c r="C62" s="18">
        <v>4.8000000000000001E-2</v>
      </c>
      <c r="D62" s="18">
        <v>0.20949999999999999</v>
      </c>
      <c r="E62" s="18">
        <v>4.8000000000000001E-2</v>
      </c>
      <c r="F62" s="18">
        <v>4.8000000000000001E-2</v>
      </c>
      <c r="G62" s="18">
        <v>7.1800000000000003E-2</v>
      </c>
      <c r="H62" s="18">
        <v>0.1434</v>
      </c>
      <c r="I62" s="18">
        <v>4.8000000000000001E-2</v>
      </c>
      <c r="J62" s="18">
        <v>4.8000000000000001E-2</v>
      </c>
      <c r="K62" s="18">
        <v>4.8000000000000001E-2</v>
      </c>
      <c r="L62" s="18">
        <v>0.16719999999999999</v>
      </c>
      <c r="M62" s="18">
        <v>4.8000000000000001E-2</v>
      </c>
      <c r="N62" s="18">
        <v>0.11360000000000001</v>
      </c>
      <c r="O62" s="18">
        <v>0.1016</v>
      </c>
      <c r="P62" s="18">
        <v>4.8000000000000001E-2</v>
      </c>
      <c r="Q62" s="18">
        <v>9.5699999999999993E-2</v>
      </c>
      <c r="R62" s="18">
        <v>0.1195</v>
      </c>
      <c r="S62" s="18">
        <v>4.8000000000000001E-2</v>
      </c>
      <c r="T62" s="18">
        <v>0.16719999999999999</v>
      </c>
      <c r="U62" s="18">
        <v>9.6000000000000002E-2</v>
      </c>
      <c r="V62" s="18">
        <v>0.16719999999999999</v>
      </c>
      <c r="W62" s="18">
        <v>9.2899999999999996E-2</v>
      </c>
      <c r="X62" s="18">
        <v>5.8099999999999999E-2</v>
      </c>
      <c r="Y62" s="18">
        <v>0.17100000000000001</v>
      </c>
      <c r="Z62" s="18">
        <v>0.92630000000000001</v>
      </c>
      <c r="AA62" s="18">
        <v>4.8000000000000001E-2</v>
      </c>
      <c r="AB62" s="18">
        <v>0.35160000000000002</v>
      </c>
      <c r="AC62" s="18">
        <v>0.14799999999999999</v>
      </c>
      <c r="AD62" s="18">
        <v>0.26719999999999999</v>
      </c>
      <c r="AE62" s="18">
        <v>6.1199999999999997E-2</v>
      </c>
      <c r="AF62" s="18">
        <v>0.1023</v>
      </c>
      <c r="AG62" s="18">
        <v>0.32940000000000003</v>
      </c>
      <c r="AH62" s="18">
        <v>0.23480000000000001</v>
      </c>
      <c r="AI62" s="18">
        <v>0.37269999999999998</v>
      </c>
      <c r="AJ62" s="18">
        <v>0.23830000000000001</v>
      </c>
      <c r="AK62" s="18">
        <v>9.3100000000000002E-2</v>
      </c>
      <c r="AL62" s="18">
        <v>0.3196</v>
      </c>
      <c r="AM62" s="18">
        <v>0.37159999999999999</v>
      </c>
      <c r="AN62" s="18">
        <v>0.45019999999999999</v>
      </c>
      <c r="AO62" s="18">
        <v>0.56569999999999998</v>
      </c>
      <c r="AP62" s="18">
        <v>0.29759999999999998</v>
      </c>
      <c r="AQ62" s="18">
        <v>0.19869999999999999</v>
      </c>
      <c r="AR62" s="18">
        <v>0.94199999999999995</v>
      </c>
      <c r="AS62" s="18">
        <v>1.1321000000000001</v>
      </c>
      <c r="AT62" s="18">
        <v>0.48010000000000003</v>
      </c>
      <c r="AU62" s="18">
        <v>0.4652</v>
      </c>
      <c r="AV62" s="18">
        <v>0.34949999999999998</v>
      </c>
      <c r="AW62" s="18">
        <v>4.8000000000000001E-2</v>
      </c>
      <c r="AX62" s="18">
        <v>0.16719999999999999</v>
      </c>
    </row>
    <row r="63" spans="1:50" x14ac:dyDescent="0.25">
      <c r="A63" s="8" t="s">
        <v>116</v>
      </c>
      <c r="B63" s="10" t="s">
        <v>57</v>
      </c>
      <c r="C63" s="16">
        <v>5.1999999999999998E-2</v>
      </c>
      <c r="D63" s="16">
        <v>5.1999999999999998E-2</v>
      </c>
      <c r="E63" s="16">
        <v>5.1999999999999998E-2</v>
      </c>
      <c r="F63" s="16">
        <v>5.1999999999999998E-2</v>
      </c>
      <c r="G63" s="16">
        <v>7.17E-2</v>
      </c>
      <c r="H63" s="16">
        <v>0.1769</v>
      </c>
      <c r="I63" s="16">
        <v>5.1999999999999998E-2</v>
      </c>
      <c r="J63" s="16">
        <v>0.1769</v>
      </c>
      <c r="K63" s="16">
        <v>7.17E-2</v>
      </c>
      <c r="L63" s="16">
        <v>5.1999999999999998E-2</v>
      </c>
      <c r="M63" s="16">
        <v>0.19009999999999999</v>
      </c>
      <c r="N63" s="16">
        <v>5.8599999999999999E-2</v>
      </c>
      <c r="O63" s="16">
        <v>8.4900000000000003E-2</v>
      </c>
      <c r="P63" s="16">
        <v>0.1638</v>
      </c>
      <c r="Q63" s="16">
        <v>5.1999999999999998E-2</v>
      </c>
      <c r="R63" s="16">
        <v>5.1999999999999998E-2</v>
      </c>
      <c r="S63" s="16">
        <v>7.9799999999999996E-2</v>
      </c>
      <c r="T63" s="16">
        <v>0.18870000000000001</v>
      </c>
      <c r="U63" s="16">
        <v>8.7599999999999997E-2</v>
      </c>
      <c r="V63" s="16">
        <v>0.2011</v>
      </c>
      <c r="W63" s="16">
        <v>0.96730000000000005</v>
      </c>
      <c r="X63" s="16">
        <v>0.24790000000000001</v>
      </c>
      <c r="Y63" s="16">
        <v>0.1966</v>
      </c>
      <c r="Z63" s="16">
        <v>5.1999999999999998E-2</v>
      </c>
      <c r="AA63" s="16">
        <v>0.1835</v>
      </c>
      <c r="AB63" s="16">
        <v>6.5100000000000005E-2</v>
      </c>
      <c r="AC63" s="16">
        <v>6.5100000000000005E-2</v>
      </c>
      <c r="AD63" s="16">
        <v>0.1835</v>
      </c>
      <c r="AE63" s="16">
        <v>5.1999999999999998E-2</v>
      </c>
      <c r="AF63" s="16">
        <v>0.1966</v>
      </c>
      <c r="AG63" s="16">
        <v>5.1999999999999998E-2</v>
      </c>
      <c r="AH63" s="16">
        <v>0.15720000000000001</v>
      </c>
      <c r="AI63" s="16">
        <v>9.1399999999999995E-2</v>
      </c>
      <c r="AJ63" s="16">
        <v>0.1177</v>
      </c>
      <c r="AK63" s="16">
        <v>0.13089999999999999</v>
      </c>
      <c r="AL63" s="16">
        <v>5.6399999999999999E-2</v>
      </c>
      <c r="AM63" s="16">
        <v>0.36959999999999998</v>
      </c>
      <c r="AN63" s="16">
        <v>1.1587000000000001</v>
      </c>
      <c r="AO63" s="16">
        <v>0.24829999999999999</v>
      </c>
      <c r="AP63" s="16">
        <v>0.36330000000000001</v>
      </c>
      <c r="AQ63" s="16">
        <v>0.78979999999999995</v>
      </c>
      <c r="AR63" s="16">
        <v>0.45650000000000002</v>
      </c>
      <c r="AS63" s="16">
        <v>0.51980000000000004</v>
      </c>
      <c r="AT63" s="16">
        <v>0.53049999999999997</v>
      </c>
      <c r="AU63" s="16">
        <v>0.48020000000000002</v>
      </c>
      <c r="AV63" s="16">
        <v>0.4264</v>
      </c>
      <c r="AW63" s="16">
        <v>0.1608</v>
      </c>
      <c r="AX63" s="16">
        <v>0.1875</v>
      </c>
    </row>
    <row r="64" spans="1:50" x14ac:dyDescent="0.25">
      <c r="A64" s="8" t="s">
        <v>118</v>
      </c>
      <c r="B64" s="10" t="s">
        <v>57</v>
      </c>
      <c r="C64" s="16">
        <v>0.67120000000000002</v>
      </c>
      <c r="D64" s="16">
        <v>0.41770000000000002</v>
      </c>
      <c r="E64" s="16">
        <v>0.05</v>
      </c>
      <c r="F64" s="16">
        <v>0.05</v>
      </c>
      <c r="G64" s="16">
        <v>0.1163</v>
      </c>
      <c r="H64" s="16">
        <v>5.8299999999999998E-2</v>
      </c>
      <c r="I64" s="16">
        <v>0.108</v>
      </c>
      <c r="J64" s="16">
        <v>6.6600000000000006E-2</v>
      </c>
      <c r="K64" s="16">
        <v>9.9699999999999997E-2</v>
      </c>
      <c r="L64" s="16">
        <v>7.4899999999999994E-2</v>
      </c>
      <c r="M64" s="16">
        <v>0.05</v>
      </c>
      <c r="N64" s="16">
        <v>0.05</v>
      </c>
      <c r="O64" s="16">
        <v>0.05</v>
      </c>
      <c r="P64" s="16">
        <v>9.5600000000000004E-2</v>
      </c>
      <c r="Q64" s="16">
        <v>7.9000000000000001E-2</v>
      </c>
      <c r="R64" s="16">
        <v>0.05</v>
      </c>
      <c r="S64" s="16">
        <v>2.8976999999999999</v>
      </c>
      <c r="T64" s="16">
        <v>0.121</v>
      </c>
      <c r="U64" s="16">
        <v>0.31609999999999999</v>
      </c>
      <c r="V64" s="16">
        <v>0.2878</v>
      </c>
      <c r="W64" s="16">
        <v>0.35510000000000003</v>
      </c>
      <c r="X64" s="16">
        <v>0.25530000000000003</v>
      </c>
      <c r="Y64" s="16">
        <v>9.8900000000000002E-2</v>
      </c>
      <c r="Z64" s="16">
        <v>0.1729</v>
      </c>
      <c r="AA64" s="16">
        <v>0.64019999999999999</v>
      </c>
      <c r="AB64" s="16">
        <v>2.6501000000000001</v>
      </c>
      <c r="AC64" s="16">
        <v>3.4538000000000002</v>
      </c>
      <c r="AD64" s="16">
        <v>0.1012</v>
      </c>
      <c r="AE64" s="16">
        <v>5.2299999999999999E-2</v>
      </c>
      <c r="AF64" s="16">
        <v>0.1741</v>
      </c>
      <c r="AG64" s="16">
        <v>0.1074</v>
      </c>
      <c r="AH64" s="16">
        <v>0.05</v>
      </c>
      <c r="AI64" s="16">
        <v>0.28999999999999998</v>
      </c>
      <c r="AJ64" s="16">
        <v>0.1555</v>
      </c>
      <c r="AK64" s="16">
        <v>0.38030000000000003</v>
      </c>
      <c r="AL64" s="16">
        <v>0.68440000000000001</v>
      </c>
      <c r="AM64" s="16">
        <v>0.83599999999999997</v>
      </c>
      <c r="AN64" s="16">
        <v>0.71870000000000001</v>
      </c>
      <c r="AO64" s="16">
        <v>2.0876999999999999</v>
      </c>
      <c r="AP64" s="16">
        <v>0.77129999999999999</v>
      </c>
      <c r="AQ64" s="16">
        <v>1.3992</v>
      </c>
      <c r="AR64" s="16">
        <v>0.59299999999999997</v>
      </c>
      <c r="AS64" s="16">
        <v>0.69489999999999996</v>
      </c>
      <c r="AT64" s="16">
        <v>0.75180000000000002</v>
      </c>
      <c r="AU64" s="16">
        <v>0.5373</v>
      </c>
      <c r="AV64" s="16">
        <v>0.3644</v>
      </c>
      <c r="AW64" s="16">
        <v>0.55840000000000001</v>
      </c>
      <c r="AX64" s="16">
        <v>0.23760000000000001</v>
      </c>
    </row>
    <row r="65" spans="1:50" x14ac:dyDescent="0.25">
      <c r="A65" s="17" t="s">
        <v>277</v>
      </c>
      <c r="B65" s="13" t="s">
        <v>222</v>
      </c>
      <c r="C65" s="18">
        <v>0.1036</v>
      </c>
      <c r="D65" s="18">
        <v>0.1706</v>
      </c>
      <c r="E65" s="18">
        <v>9.7600000000000006E-2</v>
      </c>
      <c r="F65" s="18">
        <v>5.8599999999999999E-2</v>
      </c>
      <c r="G65" s="18">
        <v>0.26019999999999999</v>
      </c>
      <c r="H65" s="18">
        <v>5.2999999999999999E-2</v>
      </c>
      <c r="I65" s="18">
        <v>0.1323</v>
      </c>
      <c r="J65" s="18">
        <v>0.1865</v>
      </c>
      <c r="K65" s="18">
        <v>5.2999999999999999E-2</v>
      </c>
      <c r="L65" s="18">
        <v>0.17399999999999999</v>
      </c>
      <c r="M65" s="18">
        <v>0.14480000000000001</v>
      </c>
      <c r="N65" s="18">
        <v>5.2999999999999999E-2</v>
      </c>
      <c r="O65" s="18">
        <v>0.12230000000000001</v>
      </c>
      <c r="P65" s="18">
        <v>0.58699999999999997</v>
      </c>
      <c r="Q65" s="18">
        <v>1.4668000000000001</v>
      </c>
      <c r="R65" s="18">
        <v>0.2019</v>
      </c>
      <c r="S65" s="18">
        <v>1.5512999999999999</v>
      </c>
      <c r="T65" s="18">
        <v>0.68969999999999998</v>
      </c>
      <c r="U65" s="18">
        <v>0.30130000000000001</v>
      </c>
      <c r="V65" s="18">
        <v>0.36670000000000003</v>
      </c>
      <c r="W65" s="18">
        <v>0.20050000000000001</v>
      </c>
      <c r="X65" s="18">
        <v>0.1182</v>
      </c>
      <c r="Y65" s="18">
        <v>0.36659999999999998</v>
      </c>
      <c r="Z65" s="18">
        <v>0.35759999999999997</v>
      </c>
      <c r="AA65" s="18">
        <v>0.14219999999999999</v>
      </c>
      <c r="AB65" s="18">
        <v>0.17660000000000001</v>
      </c>
      <c r="AC65" s="18">
        <v>5.2999999999999999E-2</v>
      </c>
      <c r="AD65" s="18">
        <v>0.14219999999999999</v>
      </c>
      <c r="AE65" s="18">
        <v>0.17660000000000001</v>
      </c>
      <c r="AF65" s="18">
        <v>0.14219999999999999</v>
      </c>
      <c r="AG65" s="18">
        <v>5.2999999999999999E-2</v>
      </c>
      <c r="AH65" s="18">
        <v>0.26579999999999998</v>
      </c>
      <c r="AI65" s="18">
        <v>5.2999999999999999E-2</v>
      </c>
      <c r="AJ65" s="18">
        <v>0.13730000000000001</v>
      </c>
      <c r="AK65" s="18">
        <v>0.1716</v>
      </c>
      <c r="AL65" s="18">
        <v>0.2485</v>
      </c>
      <c r="AM65" s="18">
        <v>0.4158</v>
      </c>
      <c r="AN65" s="18">
        <v>0.37519999999999998</v>
      </c>
      <c r="AO65" s="18">
        <v>0.35589999999999999</v>
      </c>
      <c r="AP65" s="18">
        <v>0.44719999999999999</v>
      </c>
      <c r="AQ65" s="18">
        <v>0.42330000000000001</v>
      </c>
      <c r="AR65" s="18">
        <v>0.59419999999999995</v>
      </c>
      <c r="AS65" s="18">
        <v>0.442</v>
      </c>
      <c r="AT65" s="18">
        <v>1.4198</v>
      </c>
      <c r="AU65" s="18">
        <v>1.6793</v>
      </c>
      <c r="AV65" s="18">
        <v>0.4103</v>
      </c>
      <c r="AW65" s="18">
        <v>0.24110000000000001</v>
      </c>
      <c r="AX65" s="18">
        <v>0.17100000000000001</v>
      </c>
    </row>
    <row r="66" spans="1:50" x14ac:dyDescent="0.25">
      <c r="A66" s="8" t="s">
        <v>120</v>
      </c>
      <c r="B66" s="10" t="s">
        <v>57</v>
      </c>
      <c r="C66" s="16">
        <v>0.33979999999999999</v>
      </c>
      <c r="D66" s="16">
        <v>5.2999999999999999E-2</v>
      </c>
      <c r="E66" s="16">
        <v>0.16170000000000001</v>
      </c>
      <c r="F66" s="16">
        <v>0.2429</v>
      </c>
      <c r="G66" s="16">
        <v>8.6599999999999996E-2</v>
      </c>
      <c r="H66" s="16">
        <v>8.6599999999999996E-2</v>
      </c>
      <c r="I66" s="16">
        <v>0.1951</v>
      </c>
      <c r="J66" s="16">
        <v>0.15620000000000001</v>
      </c>
      <c r="K66" s="16">
        <v>0.17699999999999999</v>
      </c>
      <c r="L66" s="16">
        <v>9.0800000000000006E-2</v>
      </c>
      <c r="M66" s="16">
        <v>0.20760000000000001</v>
      </c>
      <c r="N66" s="16">
        <v>0.1643</v>
      </c>
      <c r="O66" s="16">
        <v>0.1646</v>
      </c>
      <c r="P66" s="16">
        <v>0.21529999999999999</v>
      </c>
      <c r="Q66" s="16">
        <v>0.55269999999999997</v>
      </c>
      <c r="R66" s="16">
        <v>0.63060000000000005</v>
      </c>
      <c r="S66" s="16">
        <v>0.41160000000000002</v>
      </c>
      <c r="T66" s="16">
        <v>0.23200000000000001</v>
      </c>
      <c r="U66" s="16">
        <v>0.17180000000000001</v>
      </c>
      <c r="V66" s="16">
        <v>0.1016</v>
      </c>
      <c r="W66" s="16">
        <v>0.20200000000000001</v>
      </c>
      <c r="X66" s="16">
        <v>0.2074</v>
      </c>
      <c r="Y66" s="16">
        <v>0.1173</v>
      </c>
      <c r="Z66" s="16">
        <v>0.2429</v>
      </c>
      <c r="AA66" s="16">
        <v>0.17269999999999999</v>
      </c>
      <c r="AB66" s="16">
        <v>0.19620000000000001</v>
      </c>
      <c r="AC66" s="16">
        <v>0.33579999999999999</v>
      </c>
      <c r="AD66" s="16">
        <v>0.1472</v>
      </c>
      <c r="AE66" s="16">
        <v>0.45800000000000002</v>
      </c>
      <c r="AF66" s="16">
        <v>1.2857000000000001</v>
      </c>
      <c r="AG66" s="16">
        <v>0.27489999999999998</v>
      </c>
      <c r="AH66" s="16">
        <v>0.43390000000000001</v>
      </c>
      <c r="AI66" s="16">
        <v>1.0597000000000001</v>
      </c>
      <c r="AJ66" s="16">
        <v>0.85250000000000004</v>
      </c>
      <c r="AK66" s="16">
        <v>0.4597</v>
      </c>
      <c r="AL66" s="16">
        <v>0.50319999999999998</v>
      </c>
      <c r="AM66" s="16">
        <v>0.30170000000000002</v>
      </c>
      <c r="AN66" s="16">
        <v>0.12859999999999999</v>
      </c>
      <c r="AO66" s="16">
        <v>0.23130000000000001</v>
      </c>
      <c r="AP66" s="16">
        <v>0.50280000000000002</v>
      </c>
      <c r="AQ66" s="16">
        <v>0.58579999999999999</v>
      </c>
      <c r="AR66" s="16">
        <v>0.76090000000000002</v>
      </c>
      <c r="AS66" s="16">
        <v>0.63870000000000005</v>
      </c>
      <c r="AT66" s="16">
        <v>0.77559999999999996</v>
      </c>
      <c r="AU66" s="16">
        <v>0.63670000000000004</v>
      </c>
      <c r="AV66" s="16">
        <v>0.6774</v>
      </c>
      <c r="AW66" s="16">
        <v>0.66679999999999995</v>
      </c>
      <c r="AX66" s="16">
        <v>0.1338</v>
      </c>
    </row>
    <row r="67" spans="1:50" x14ac:dyDescent="0.25">
      <c r="A67" s="8" t="s">
        <v>122</v>
      </c>
      <c r="B67" s="10" t="s">
        <v>57</v>
      </c>
      <c r="C67" s="16">
        <v>3.3000000000000002E-2</v>
      </c>
      <c r="D67" s="16">
        <v>3.3000000000000002E-2</v>
      </c>
      <c r="E67" s="16">
        <v>3.3000000000000002E-2</v>
      </c>
      <c r="F67" s="16">
        <v>6.8900000000000003E-2</v>
      </c>
      <c r="G67" s="16">
        <v>6.8900000000000003E-2</v>
      </c>
      <c r="H67" s="16">
        <v>3.3000000000000002E-2</v>
      </c>
      <c r="I67" s="16">
        <v>3.3000000000000002E-2</v>
      </c>
      <c r="J67" s="16">
        <v>3.3000000000000002E-2</v>
      </c>
      <c r="K67" s="16">
        <v>9.69E-2</v>
      </c>
      <c r="L67" s="16">
        <v>4.1000000000000002E-2</v>
      </c>
      <c r="M67" s="16">
        <v>6.0999999999999999E-2</v>
      </c>
      <c r="N67" s="16">
        <v>7.6899999999999996E-2</v>
      </c>
      <c r="O67" s="16">
        <v>8.09E-2</v>
      </c>
      <c r="P67" s="16">
        <v>5.7000000000000002E-2</v>
      </c>
      <c r="Q67" s="16">
        <v>3.3000000000000002E-2</v>
      </c>
      <c r="R67" s="16">
        <v>5.7000000000000002E-2</v>
      </c>
      <c r="S67" s="16">
        <v>0.27210000000000001</v>
      </c>
      <c r="T67" s="16">
        <v>0.1381</v>
      </c>
      <c r="U67" s="16">
        <v>0.21</v>
      </c>
      <c r="V67" s="16">
        <v>7.2800000000000004E-2</v>
      </c>
      <c r="W67" s="16">
        <v>0.13239999999999999</v>
      </c>
      <c r="X67" s="16">
        <v>8.8999999999999996E-2</v>
      </c>
      <c r="Y67" s="16">
        <v>3.11</v>
      </c>
      <c r="Z67" s="16">
        <v>2.2321</v>
      </c>
      <c r="AA67" s="16">
        <v>0.63649999999999995</v>
      </c>
      <c r="AB67" s="16">
        <v>0.10249999999999999</v>
      </c>
      <c r="AC67" s="16">
        <v>0.1166</v>
      </c>
      <c r="AD67" s="16">
        <v>5.67E-2</v>
      </c>
      <c r="AE67" s="16">
        <v>0.1186</v>
      </c>
      <c r="AF67" s="16">
        <v>5.8000000000000003E-2</v>
      </c>
      <c r="AG67" s="16">
        <v>5.2999999999999999E-2</v>
      </c>
      <c r="AH67" s="16">
        <v>0.13500000000000001</v>
      </c>
      <c r="AI67" s="16">
        <v>0.2414</v>
      </c>
      <c r="AJ67" s="16">
        <v>6.9000000000000006E-2</v>
      </c>
      <c r="AK67" s="16">
        <v>8.8900000000000007E-2</v>
      </c>
      <c r="AL67" s="16">
        <v>3.3000000000000002E-2</v>
      </c>
      <c r="AM67" s="16">
        <v>3.3000000000000002E-2</v>
      </c>
      <c r="AN67" s="16">
        <v>0.10970000000000001</v>
      </c>
      <c r="AO67" s="16">
        <v>8.1500000000000003E-2</v>
      </c>
      <c r="AP67" s="16">
        <v>4.2000000000000003E-2</v>
      </c>
      <c r="AQ67" s="16">
        <v>6.2100000000000002E-2</v>
      </c>
      <c r="AR67" s="16">
        <v>0.1009</v>
      </c>
      <c r="AS67" s="16">
        <v>3.3000000000000002E-2</v>
      </c>
      <c r="AT67" s="16">
        <v>4.1000000000000002E-2</v>
      </c>
      <c r="AU67" s="16">
        <v>9.69E-2</v>
      </c>
      <c r="AV67" s="16">
        <v>3.3000000000000002E-2</v>
      </c>
      <c r="AW67" s="16">
        <v>0.10489999999999999</v>
      </c>
      <c r="AX67" s="16">
        <v>3.3000000000000002E-2</v>
      </c>
    </row>
    <row r="68" spans="1:50" x14ac:dyDescent="0.25">
      <c r="A68" s="17" t="s">
        <v>279</v>
      </c>
      <c r="B68" s="13" t="s">
        <v>222</v>
      </c>
      <c r="C68" s="18">
        <v>4.5999999999999999E-2</v>
      </c>
      <c r="D68" s="18">
        <v>0.19939999999999999</v>
      </c>
      <c r="E68" s="18">
        <v>4.5999999999999999E-2</v>
      </c>
      <c r="F68" s="18">
        <v>0.15759999999999999</v>
      </c>
      <c r="G68" s="18">
        <v>8.7800000000000003E-2</v>
      </c>
      <c r="H68" s="18">
        <v>4.5999999999999999E-2</v>
      </c>
      <c r="I68" s="18">
        <v>0.19939999999999999</v>
      </c>
      <c r="J68" s="18">
        <v>4.5999999999999999E-2</v>
      </c>
      <c r="K68" s="18">
        <v>0.1366</v>
      </c>
      <c r="L68" s="18">
        <v>0.10879999999999999</v>
      </c>
      <c r="M68" s="18">
        <v>4.5999999999999999E-2</v>
      </c>
      <c r="N68" s="18">
        <v>4.5999999999999999E-2</v>
      </c>
      <c r="O68" s="18">
        <v>0.19939999999999999</v>
      </c>
      <c r="P68" s="18">
        <v>4.5999999999999999E-2</v>
      </c>
      <c r="Q68" s="18">
        <v>0.13919999999999999</v>
      </c>
      <c r="R68" s="18">
        <v>0.31140000000000001</v>
      </c>
      <c r="S68" s="18">
        <v>0.17860000000000001</v>
      </c>
      <c r="T68" s="18">
        <v>1.5454000000000001</v>
      </c>
      <c r="U68" s="18">
        <v>1.2938000000000001</v>
      </c>
      <c r="V68" s="18">
        <v>0.69640000000000002</v>
      </c>
      <c r="W68" s="18">
        <v>0.16450000000000001</v>
      </c>
      <c r="X68" s="18">
        <v>8.09E-2</v>
      </c>
      <c r="Y68" s="18">
        <v>4.5999999999999999E-2</v>
      </c>
      <c r="Z68" s="18">
        <v>0.19939999999999999</v>
      </c>
      <c r="AA68" s="18">
        <v>0.1681</v>
      </c>
      <c r="AB68" s="18">
        <v>0.82410000000000005</v>
      </c>
      <c r="AC68" s="18">
        <v>0.49769999999999998</v>
      </c>
      <c r="AD68" s="18">
        <v>0.37590000000000001</v>
      </c>
      <c r="AE68" s="18">
        <v>5.0200000000000002E-2</v>
      </c>
      <c r="AF68" s="18">
        <v>0.106</v>
      </c>
      <c r="AG68" s="18">
        <v>0.15709999999999999</v>
      </c>
      <c r="AH68" s="18">
        <v>5.4399999999999997E-2</v>
      </c>
      <c r="AI68" s="18">
        <v>0.21129999999999999</v>
      </c>
      <c r="AJ68" s="18">
        <v>0.16500000000000001</v>
      </c>
      <c r="AK68" s="18">
        <v>0.12740000000000001</v>
      </c>
      <c r="AL68" s="18">
        <v>0.20549999999999999</v>
      </c>
      <c r="AM68" s="18">
        <v>7.5300000000000006E-2</v>
      </c>
      <c r="AN68" s="18">
        <v>0.19239999999999999</v>
      </c>
      <c r="AO68" s="18">
        <v>7.46E-2</v>
      </c>
      <c r="AP68" s="18">
        <v>0.28839999999999999</v>
      </c>
      <c r="AQ68" s="18">
        <v>0.14019999999999999</v>
      </c>
      <c r="AR68" s="18">
        <v>0.22439999999999999</v>
      </c>
      <c r="AS68" s="18">
        <v>0.37419999999999998</v>
      </c>
      <c r="AT68" s="18">
        <v>0.25829999999999997</v>
      </c>
      <c r="AU68" s="18">
        <v>0.37840000000000001</v>
      </c>
      <c r="AV68" s="18">
        <v>0.2107</v>
      </c>
      <c r="AW68" s="18">
        <v>1.2444</v>
      </c>
      <c r="AX68" s="18">
        <v>0.22409999999999999</v>
      </c>
    </row>
    <row r="69" spans="1:50" x14ac:dyDescent="0.25">
      <c r="A69" s="8" t="s">
        <v>124</v>
      </c>
      <c r="B69" s="10" t="s">
        <v>57</v>
      </c>
      <c r="C69" s="16">
        <v>0.15770000000000001</v>
      </c>
      <c r="D69" s="16">
        <v>0.1187</v>
      </c>
      <c r="E69" s="16">
        <v>0.18920000000000001</v>
      </c>
      <c r="F69" s="16">
        <v>0.13769999999999999</v>
      </c>
      <c r="G69" s="16">
        <v>0.13020000000000001</v>
      </c>
      <c r="H69" s="16">
        <v>0.05</v>
      </c>
      <c r="I69" s="16">
        <v>0.2417</v>
      </c>
      <c r="J69" s="16">
        <v>0.1196</v>
      </c>
      <c r="K69" s="16">
        <v>0.16350000000000001</v>
      </c>
      <c r="L69" s="16">
        <v>0.19769999999999999</v>
      </c>
      <c r="M69" s="16">
        <v>0.05</v>
      </c>
      <c r="N69" s="16">
        <v>0.05</v>
      </c>
      <c r="O69" s="16">
        <v>0.16450000000000001</v>
      </c>
      <c r="P69" s="16">
        <v>6.3299999999999995E-2</v>
      </c>
      <c r="Q69" s="16">
        <v>0.1888</v>
      </c>
      <c r="R69" s="16">
        <v>1.5059</v>
      </c>
      <c r="S69" s="16">
        <v>0.32679999999999998</v>
      </c>
      <c r="T69" s="16">
        <v>0.33629999999999999</v>
      </c>
      <c r="U69" s="16">
        <v>0.2011</v>
      </c>
      <c r="V69" s="16">
        <v>0.26800000000000002</v>
      </c>
      <c r="W69" s="16">
        <v>5.2999999999999999E-2</v>
      </c>
      <c r="X69" s="16">
        <v>0.28510000000000002</v>
      </c>
      <c r="Y69" s="16">
        <v>0.1226</v>
      </c>
      <c r="Z69" s="16">
        <v>0.12920000000000001</v>
      </c>
      <c r="AA69" s="16">
        <v>0.95569999999999999</v>
      </c>
      <c r="AB69" s="16">
        <v>2.6880000000000002</v>
      </c>
      <c r="AC69" s="16">
        <v>2.6528</v>
      </c>
      <c r="AD69" s="16">
        <v>0.3785</v>
      </c>
      <c r="AE69" s="16">
        <v>8.8700000000000001E-2</v>
      </c>
      <c r="AF69" s="16">
        <v>0.25309999999999999</v>
      </c>
      <c r="AG69" s="16">
        <v>0.1081</v>
      </c>
      <c r="AH69" s="16">
        <v>0.17519999999999999</v>
      </c>
      <c r="AI69" s="16">
        <v>0.22220000000000001</v>
      </c>
      <c r="AJ69" s="16">
        <v>0.78120000000000001</v>
      </c>
      <c r="AK69" s="16">
        <v>0.56040000000000001</v>
      </c>
      <c r="AL69" s="16">
        <v>0.49680000000000002</v>
      </c>
      <c r="AM69" s="16">
        <v>7.2999999999999995E-2</v>
      </c>
      <c r="AN69" s="16">
        <v>0.2243</v>
      </c>
      <c r="AO69" s="16">
        <v>0.1794</v>
      </c>
      <c r="AP69" s="16">
        <v>0.3821</v>
      </c>
      <c r="AQ69" s="16">
        <v>0.45029999999999998</v>
      </c>
      <c r="AR69" s="16">
        <v>0.63759999999999994</v>
      </c>
      <c r="AS69" s="16">
        <v>1.169</v>
      </c>
      <c r="AT69" s="16">
        <v>0.99490000000000001</v>
      </c>
      <c r="AU69" s="16">
        <v>0.81710000000000005</v>
      </c>
      <c r="AV69" s="16">
        <v>0.82210000000000005</v>
      </c>
      <c r="AW69" s="16">
        <v>0.75449999999999995</v>
      </c>
      <c r="AX69" s="16">
        <v>0.72989999999999999</v>
      </c>
    </row>
    <row r="70" spans="1:50" x14ac:dyDescent="0.25">
      <c r="A70" s="8" t="s">
        <v>126</v>
      </c>
      <c r="B70" s="10" t="s">
        <v>57</v>
      </c>
      <c r="C70" s="16">
        <v>0.1019</v>
      </c>
      <c r="D70" s="16">
        <v>0.15840000000000001</v>
      </c>
      <c r="E70" s="16">
        <v>8.9800000000000005E-2</v>
      </c>
      <c r="F70" s="16">
        <v>4.9000000000000002E-2</v>
      </c>
      <c r="G70" s="16">
        <v>4.9000000000000002E-2</v>
      </c>
      <c r="H70" s="16">
        <v>4.9000000000000002E-2</v>
      </c>
      <c r="I70" s="16">
        <v>4.9000000000000002E-2</v>
      </c>
      <c r="J70" s="16">
        <v>4.9000000000000002E-2</v>
      </c>
      <c r="K70" s="16">
        <v>4.9000000000000002E-2</v>
      </c>
      <c r="L70" s="16">
        <v>4.9000000000000002E-2</v>
      </c>
      <c r="M70" s="16">
        <v>4.9000000000000002E-2</v>
      </c>
      <c r="N70" s="16">
        <v>4.9000000000000002E-2</v>
      </c>
      <c r="O70" s="16">
        <v>4.9000000000000002E-2</v>
      </c>
      <c r="P70" s="16">
        <v>7.3899999999999993E-2</v>
      </c>
      <c r="Q70" s="16">
        <v>7.4200000000000002E-2</v>
      </c>
      <c r="R70" s="16">
        <v>1.0915999999999999</v>
      </c>
      <c r="S70" s="16">
        <v>1.9493</v>
      </c>
      <c r="T70" s="16">
        <v>0.17180000000000001</v>
      </c>
      <c r="U70" s="16">
        <v>0.1099</v>
      </c>
      <c r="V70" s="16">
        <v>0.2555</v>
      </c>
      <c r="W70" s="16">
        <v>0.26790000000000003</v>
      </c>
      <c r="X70" s="16">
        <v>6.2300000000000001E-2</v>
      </c>
      <c r="Y70" s="16">
        <v>4.99E-2</v>
      </c>
      <c r="Z70" s="16">
        <v>4.9000000000000002E-2</v>
      </c>
      <c r="AA70" s="16">
        <v>2.1215999999999999</v>
      </c>
      <c r="AB70" s="16">
        <v>0.57469999999999999</v>
      </c>
      <c r="AC70" s="16">
        <v>5.67E-2</v>
      </c>
      <c r="AD70" s="16">
        <v>6.8400000000000002E-2</v>
      </c>
      <c r="AE70" s="16">
        <v>0.27779999999999999</v>
      </c>
      <c r="AF70" s="16">
        <v>0.1119</v>
      </c>
      <c r="AG70" s="16">
        <v>6.7100000000000007E-2</v>
      </c>
      <c r="AH70" s="16">
        <v>0.26590000000000003</v>
      </c>
      <c r="AI70" s="16">
        <v>1.1200000000000001</v>
      </c>
      <c r="AJ70" s="16">
        <v>0.91369999999999996</v>
      </c>
      <c r="AK70" s="16">
        <v>0.10349999999999999</v>
      </c>
      <c r="AL70" s="16">
        <v>5.8200000000000002E-2</v>
      </c>
      <c r="AM70" s="16">
        <v>5.7200000000000001E-2</v>
      </c>
      <c r="AN70" s="16">
        <v>1.4034</v>
      </c>
      <c r="AO70" s="16">
        <v>1.0557000000000001</v>
      </c>
      <c r="AP70" s="16">
        <v>1.1871</v>
      </c>
      <c r="AQ70" s="16">
        <v>0.84719999999999995</v>
      </c>
      <c r="AR70" s="16">
        <v>0.25919999999999999</v>
      </c>
      <c r="AS70" s="16">
        <v>0.21579999999999999</v>
      </c>
      <c r="AT70" s="16">
        <v>0.1981</v>
      </c>
      <c r="AU70" s="16">
        <v>0.46910000000000002</v>
      </c>
      <c r="AV70" s="16">
        <v>0.31559999999999999</v>
      </c>
      <c r="AW70" s="16">
        <v>0.23300000000000001</v>
      </c>
      <c r="AX70" s="16">
        <v>4.9000000000000002E-2</v>
      </c>
    </row>
    <row r="71" spans="1:50" x14ac:dyDescent="0.25">
      <c r="A71" s="8" t="s">
        <v>128</v>
      </c>
      <c r="B71" s="10" t="s">
        <v>57</v>
      </c>
      <c r="C71" s="16">
        <v>0.59140000000000004</v>
      </c>
      <c r="D71" s="16">
        <v>0.54869999999999997</v>
      </c>
      <c r="E71" s="16">
        <v>4.7E-2</v>
      </c>
      <c r="F71" s="16">
        <v>0.1283</v>
      </c>
      <c r="G71" s="16">
        <v>4.7E-2</v>
      </c>
      <c r="H71" s="16">
        <v>6.4399999999999999E-2</v>
      </c>
      <c r="I71" s="16">
        <v>0.1109</v>
      </c>
      <c r="J71" s="16">
        <v>4.7E-2</v>
      </c>
      <c r="K71" s="16">
        <v>0.1051</v>
      </c>
      <c r="L71" s="16">
        <v>7.0199999999999999E-2</v>
      </c>
      <c r="M71" s="16">
        <v>4.7E-2</v>
      </c>
      <c r="N71" s="16">
        <v>0.14399999999999999</v>
      </c>
      <c r="O71" s="16">
        <v>4.7E-2</v>
      </c>
      <c r="P71" s="16">
        <v>6.4399999999999999E-2</v>
      </c>
      <c r="Q71" s="16">
        <v>0.1109</v>
      </c>
      <c r="R71" s="16">
        <v>4.7E-2</v>
      </c>
      <c r="S71" s="16">
        <v>0.1283</v>
      </c>
      <c r="T71" s="16">
        <v>4.7E-2</v>
      </c>
      <c r="U71" s="16">
        <v>6.1199999999999997E-2</v>
      </c>
      <c r="V71" s="16">
        <v>0.32890000000000003</v>
      </c>
      <c r="W71" s="16">
        <v>0.25230000000000002</v>
      </c>
      <c r="X71" s="16">
        <v>9.8799999999999999E-2</v>
      </c>
      <c r="Y71" s="16">
        <v>0.94469999999999998</v>
      </c>
      <c r="Z71" s="16">
        <v>0.115</v>
      </c>
      <c r="AA71" s="16">
        <v>1.4616</v>
      </c>
      <c r="AB71" s="16">
        <v>0.1225</v>
      </c>
      <c r="AC71" s="16">
        <v>4.7E-2</v>
      </c>
      <c r="AD71" s="16">
        <v>7.5999999999999998E-2</v>
      </c>
      <c r="AE71" s="16">
        <v>0.2276</v>
      </c>
      <c r="AF71" s="16">
        <v>0.11260000000000001</v>
      </c>
      <c r="AG71" s="16">
        <v>0.14249999999999999</v>
      </c>
      <c r="AH71" s="16">
        <v>0.123</v>
      </c>
      <c r="AI71" s="16">
        <v>0.1414</v>
      </c>
      <c r="AJ71" s="16">
        <v>0.1353</v>
      </c>
      <c r="AK71" s="16">
        <v>9.1899999999999996E-2</v>
      </c>
      <c r="AL71" s="16">
        <v>0.30630000000000002</v>
      </c>
      <c r="AM71" s="16">
        <v>0.77470000000000006</v>
      </c>
      <c r="AN71" s="16">
        <v>0.46100000000000002</v>
      </c>
      <c r="AO71" s="16">
        <v>0.24160000000000001</v>
      </c>
      <c r="AP71" s="16">
        <v>0.17530000000000001</v>
      </c>
      <c r="AQ71" s="16">
        <v>4.7E-2</v>
      </c>
      <c r="AR71" s="16">
        <v>0.1283</v>
      </c>
      <c r="AS71" s="16">
        <v>0.29420000000000002</v>
      </c>
      <c r="AT71" s="16">
        <v>0.80059999999999998</v>
      </c>
      <c r="AU71" s="16">
        <v>0.45760000000000001</v>
      </c>
      <c r="AV71" s="16">
        <v>0.40260000000000001</v>
      </c>
      <c r="AW71" s="16">
        <v>0.27800000000000002</v>
      </c>
      <c r="AX71" s="16">
        <v>0.1283</v>
      </c>
    </row>
    <row r="72" spans="1:50" x14ac:dyDescent="0.25">
      <c r="A72" s="8" t="s">
        <v>130</v>
      </c>
      <c r="B72" s="10" t="s">
        <v>57</v>
      </c>
      <c r="C72" s="16">
        <v>9.7600000000000006E-2</v>
      </c>
      <c r="D72" s="16">
        <v>7.8200000000000006E-2</v>
      </c>
      <c r="E72" s="16">
        <v>9.3700000000000006E-2</v>
      </c>
      <c r="F72" s="16">
        <v>5.0999999999999997E-2</v>
      </c>
      <c r="G72" s="16">
        <v>5.0999999999999997E-2</v>
      </c>
      <c r="H72" s="16">
        <v>5.0999999999999997E-2</v>
      </c>
      <c r="I72" s="16">
        <v>0.12089999999999999</v>
      </c>
      <c r="J72" s="16">
        <v>5.0999999999999997E-2</v>
      </c>
      <c r="K72" s="16">
        <v>5.0999999999999997E-2</v>
      </c>
      <c r="L72" s="16">
        <v>5.0999999999999997E-2</v>
      </c>
      <c r="M72" s="16">
        <v>9.3700000000000006E-2</v>
      </c>
      <c r="N72" s="16">
        <v>7.8200000000000006E-2</v>
      </c>
      <c r="O72" s="16">
        <v>5.0999999999999997E-2</v>
      </c>
      <c r="P72" s="16">
        <v>0.12089999999999999</v>
      </c>
      <c r="Q72" s="16">
        <v>5.0999999999999997E-2</v>
      </c>
      <c r="R72" s="16">
        <v>7.7399999999999997E-2</v>
      </c>
      <c r="S72" s="16">
        <v>9.9400000000000002E-2</v>
      </c>
      <c r="T72" s="16">
        <v>9.3899999999999997E-2</v>
      </c>
      <c r="U72" s="16">
        <v>0.9849</v>
      </c>
      <c r="V72" s="16">
        <v>5.5199999999999999E-2</v>
      </c>
      <c r="W72" s="16">
        <v>6.6699999999999995E-2</v>
      </c>
      <c r="X72" s="16">
        <v>0.36349999999999999</v>
      </c>
      <c r="Y72" s="16">
        <v>1.4397</v>
      </c>
      <c r="Z72" s="16">
        <v>0.23150000000000001</v>
      </c>
      <c r="AA72" s="16">
        <v>0.45090000000000002</v>
      </c>
      <c r="AB72" s="16">
        <v>1.8620000000000001</v>
      </c>
      <c r="AC72" s="16">
        <v>0.96099999999999997</v>
      </c>
      <c r="AD72" s="16">
        <v>0.44969999999999999</v>
      </c>
      <c r="AE72" s="16">
        <v>0.40210000000000001</v>
      </c>
      <c r="AF72" s="16">
        <v>0.51849999999999996</v>
      </c>
      <c r="AG72" s="16">
        <v>0.62609999999999999</v>
      </c>
      <c r="AH72" s="16">
        <v>0.31459999999999999</v>
      </c>
      <c r="AI72" s="16">
        <v>0.27960000000000002</v>
      </c>
      <c r="AJ72" s="16">
        <v>0.3427</v>
      </c>
      <c r="AK72" s="16">
        <v>0.439</v>
      </c>
      <c r="AL72" s="16">
        <v>0.90749999999999997</v>
      </c>
      <c r="AM72" s="16">
        <v>0.53249999999999997</v>
      </c>
      <c r="AN72" s="16">
        <v>0.57050000000000001</v>
      </c>
      <c r="AO72" s="16">
        <v>0.18379999999999999</v>
      </c>
      <c r="AP72" s="16">
        <v>0.56759999999999999</v>
      </c>
      <c r="AQ72" s="16">
        <v>0.4355</v>
      </c>
      <c r="AR72" s="16">
        <v>0.68520000000000003</v>
      </c>
      <c r="AS72" s="16">
        <v>0.70199999999999996</v>
      </c>
      <c r="AT72" s="16">
        <v>0.62029999999999996</v>
      </c>
      <c r="AU72" s="16">
        <v>0.74490000000000001</v>
      </c>
      <c r="AV72" s="16">
        <v>0.46910000000000002</v>
      </c>
      <c r="AW72" s="16">
        <v>0.56679999999999997</v>
      </c>
      <c r="AX72" s="16">
        <v>0.18210000000000001</v>
      </c>
    </row>
    <row r="73" spans="1:50" x14ac:dyDescent="0.25">
      <c r="A73" s="17" t="s">
        <v>281</v>
      </c>
      <c r="B73" s="13" t="s">
        <v>222</v>
      </c>
      <c r="C73" s="18">
        <v>5.3999999999999999E-2</v>
      </c>
      <c r="D73" s="18">
        <v>0.1719</v>
      </c>
      <c r="E73" s="18">
        <v>7.8600000000000003E-2</v>
      </c>
      <c r="F73" s="18">
        <v>8.2199999999999995E-2</v>
      </c>
      <c r="G73" s="18">
        <v>8.9200000000000002E-2</v>
      </c>
      <c r="H73" s="18">
        <v>5.3999999999999999E-2</v>
      </c>
      <c r="I73" s="18">
        <v>5.3999999999999999E-2</v>
      </c>
      <c r="J73" s="18">
        <v>0.1173</v>
      </c>
      <c r="K73" s="18">
        <v>5.3999999999999999E-2</v>
      </c>
      <c r="L73" s="18">
        <v>5.3999999999999999E-2</v>
      </c>
      <c r="M73" s="18">
        <v>0.1173</v>
      </c>
      <c r="N73" s="18">
        <v>5.3999999999999999E-2</v>
      </c>
      <c r="O73" s="18">
        <v>8.5699999999999998E-2</v>
      </c>
      <c r="P73" s="18">
        <v>8.5699999999999998E-2</v>
      </c>
      <c r="Q73" s="18">
        <v>5.3999999999999999E-2</v>
      </c>
      <c r="R73" s="18">
        <v>0.1173</v>
      </c>
      <c r="S73" s="18">
        <v>0.30580000000000002</v>
      </c>
      <c r="T73" s="18">
        <v>0.30280000000000001</v>
      </c>
      <c r="U73" s="18">
        <v>6.6900000000000001E-2</v>
      </c>
      <c r="V73" s="18">
        <v>0.3347</v>
      </c>
      <c r="W73" s="18">
        <v>0.20399999999999999</v>
      </c>
      <c r="X73" s="18">
        <v>5.3999999999999999E-2</v>
      </c>
      <c r="Y73" s="18">
        <v>5.3999999999999999E-2</v>
      </c>
      <c r="Z73" s="18">
        <v>0.1138</v>
      </c>
      <c r="AA73" s="18">
        <v>5.7500000000000002E-2</v>
      </c>
      <c r="AB73" s="18">
        <v>5.3999999999999999E-2</v>
      </c>
      <c r="AC73" s="18">
        <v>9.9699999999999997E-2</v>
      </c>
      <c r="AD73" s="18">
        <v>7.1599999999999997E-2</v>
      </c>
      <c r="AE73" s="18">
        <v>0.1033</v>
      </c>
      <c r="AF73" s="18">
        <v>6.8099999999999994E-2</v>
      </c>
      <c r="AG73" s="18">
        <v>0.1173</v>
      </c>
      <c r="AH73" s="18">
        <v>0.1193</v>
      </c>
      <c r="AI73" s="18">
        <v>0.2397</v>
      </c>
      <c r="AJ73" s="18">
        <v>2.8576999999999999</v>
      </c>
      <c r="AK73" s="18">
        <v>0.434</v>
      </c>
      <c r="AL73" s="18">
        <v>0.20380000000000001</v>
      </c>
      <c r="AM73" s="18">
        <v>0.27239999999999998</v>
      </c>
      <c r="AN73" s="18">
        <v>0.27860000000000001</v>
      </c>
      <c r="AO73" s="18">
        <v>0.44769999999999999</v>
      </c>
      <c r="AP73" s="18">
        <v>0.4133</v>
      </c>
      <c r="AQ73" s="18">
        <v>0.47170000000000001</v>
      </c>
      <c r="AR73" s="18">
        <v>0.90949999999999998</v>
      </c>
      <c r="AS73" s="18">
        <v>1.2033</v>
      </c>
      <c r="AT73" s="18">
        <v>0.43269999999999997</v>
      </c>
      <c r="AU73" s="18">
        <v>0.44169999999999998</v>
      </c>
      <c r="AV73" s="18">
        <v>0.34760000000000002</v>
      </c>
      <c r="AW73" s="18">
        <v>8.2199999999999995E-2</v>
      </c>
      <c r="AX73" s="18">
        <v>8.9200000000000002E-2</v>
      </c>
    </row>
    <row r="74" spans="1:50" x14ac:dyDescent="0.25">
      <c r="A74" s="17" t="s">
        <v>283</v>
      </c>
      <c r="B74" s="13" t="s">
        <v>222</v>
      </c>
      <c r="C74" s="18">
        <v>0.59940000000000004</v>
      </c>
      <c r="D74" s="18">
        <v>0.54420000000000002</v>
      </c>
      <c r="E74" s="18">
        <v>0.54749999999999999</v>
      </c>
      <c r="F74" s="18">
        <v>0.65629999999999999</v>
      </c>
      <c r="G74" s="18">
        <v>0.33389999999999997</v>
      </c>
      <c r="H74" s="18">
        <v>9.6000000000000002E-2</v>
      </c>
      <c r="I74" s="18">
        <v>4.4999999999999998E-2</v>
      </c>
      <c r="J74" s="18">
        <v>0.1867</v>
      </c>
      <c r="K74" s="18">
        <v>0.1313</v>
      </c>
      <c r="L74" s="18">
        <v>0.1673</v>
      </c>
      <c r="M74" s="18">
        <v>6.4299999999999996E-2</v>
      </c>
      <c r="N74" s="18">
        <v>5.79E-2</v>
      </c>
      <c r="O74" s="18">
        <v>0.17380000000000001</v>
      </c>
      <c r="P74" s="18">
        <v>9.7699999999999995E-2</v>
      </c>
      <c r="Q74" s="18">
        <v>0.22020000000000001</v>
      </c>
      <c r="R74" s="18">
        <v>9.2899999999999996E-2</v>
      </c>
      <c r="S74" s="18">
        <v>0.16059999999999999</v>
      </c>
      <c r="T74" s="18">
        <v>0.1094</v>
      </c>
      <c r="U74" s="18">
        <v>8.2799999999999999E-2</v>
      </c>
      <c r="V74" s="18">
        <v>0.32479999999999998</v>
      </c>
      <c r="W74" s="18">
        <v>0.12870000000000001</v>
      </c>
      <c r="X74" s="18">
        <v>4.4999999999999998E-2</v>
      </c>
      <c r="Y74" s="18">
        <v>6.1699999999999998E-2</v>
      </c>
      <c r="Z74" s="18">
        <v>1.0719000000000001</v>
      </c>
      <c r="AA74" s="18">
        <v>0.20449999999999999</v>
      </c>
      <c r="AB74" s="18">
        <v>0.16109999999999999</v>
      </c>
      <c r="AC74" s="18">
        <v>0.15179999999999999</v>
      </c>
      <c r="AD74" s="18">
        <v>0.27989999999999998</v>
      </c>
      <c r="AE74" s="18">
        <v>5.5500000000000001E-2</v>
      </c>
      <c r="AF74" s="18">
        <v>0.28699999999999998</v>
      </c>
      <c r="AG74" s="18">
        <v>0.1089</v>
      </c>
      <c r="AH74" s="18">
        <v>0.17860000000000001</v>
      </c>
      <c r="AI74" s="18">
        <v>0.52400000000000002</v>
      </c>
      <c r="AJ74" s="18">
        <v>0.1265</v>
      </c>
      <c r="AK74" s="18">
        <v>0.1867</v>
      </c>
      <c r="AL74" s="18">
        <v>0.13930000000000001</v>
      </c>
      <c r="AM74" s="18">
        <v>0.1055</v>
      </c>
      <c r="AN74" s="18">
        <v>0.17130000000000001</v>
      </c>
      <c r="AO74" s="18">
        <v>0.19489999999999999</v>
      </c>
      <c r="AP74" s="18">
        <v>1.2712000000000001</v>
      </c>
      <c r="AQ74" s="18">
        <v>0.3241</v>
      </c>
      <c r="AR74" s="18">
        <v>0.45269999999999999</v>
      </c>
      <c r="AS74" s="18">
        <v>0.55149999999999999</v>
      </c>
      <c r="AT74" s="18">
        <v>0.54930000000000001</v>
      </c>
      <c r="AU74" s="18">
        <v>0.36480000000000001</v>
      </c>
      <c r="AV74" s="18">
        <v>0.36059999999999998</v>
      </c>
      <c r="AW74" s="18">
        <v>0.10249999999999999</v>
      </c>
      <c r="AX74" s="18">
        <v>7.3800000000000004E-2</v>
      </c>
    </row>
    <row r="75" spans="1:50" x14ac:dyDescent="0.25">
      <c r="A75" s="8" t="s">
        <v>132</v>
      </c>
      <c r="B75" s="10" t="s">
        <v>57</v>
      </c>
      <c r="C75" s="16">
        <v>7.1900000000000006E-2</v>
      </c>
      <c r="D75" s="16">
        <v>4.2000000000000003E-2</v>
      </c>
      <c r="E75" s="16">
        <v>4.2000000000000003E-2</v>
      </c>
      <c r="F75" s="16">
        <v>0.20619999999999999</v>
      </c>
      <c r="G75" s="16">
        <v>4.2000000000000003E-2</v>
      </c>
      <c r="H75" s="16">
        <v>8.6800000000000002E-2</v>
      </c>
      <c r="I75" s="16">
        <v>0.16139999999999999</v>
      </c>
      <c r="J75" s="16">
        <v>4.2000000000000003E-2</v>
      </c>
      <c r="K75" s="16">
        <v>4.2000000000000003E-2</v>
      </c>
      <c r="L75" s="16">
        <v>0.20619999999999999</v>
      </c>
      <c r="M75" s="16">
        <v>4.2000000000000003E-2</v>
      </c>
      <c r="N75" s="16">
        <v>7.9299999999999995E-2</v>
      </c>
      <c r="O75" s="16">
        <v>0.16889999999999999</v>
      </c>
      <c r="P75" s="16">
        <v>4.2000000000000003E-2</v>
      </c>
      <c r="Q75" s="16">
        <v>4.2000000000000003E-2</v>
      </c>
      <c r="R75" s="16">
        <v>0.1212</v>
      </c>
      <c r="S75" s="16">
        <v>0.2172</v>
      </c>
      <c r="T75" s="16">
        <v>4.41E-2</v>
      </c>
      <c r="U75" s="16">
        <v>0.9284</v>
      </c>
      <c r="V75" s="16">
        <v>0.29930000000000001</v>
      </c>
      <c r="W75" s="16">
        <v>1.5256000000000001</v>
      </c>
      <c r="X75" s="16">
        <v>2.1318000000000001</v>
      </c>
      <c r="Y75" s="16">
        <v>2.6132</v>
      </c>
      <c r="Z75" s="16">
        <v>0.73260000000000003</v>
      </c>
      <c r="AA75" s="16">
        <v>0.23949999999999999</v>
      </c>
      <c r="AB75" s="16">
        <v>0.53310000000000002</v>
      </c>
      <c r="AC75" s="16">
        <v>4.1265000000000001</v>
      </c>
      <c r="AD75" s="16">
        <v>2.5312000000000001</v>
      </c>
      <c r="AE75" s="16">
        <v>0.37269999999999998</v>
      </c>
      <c r="AF75" s="16">
        <v>0.38850000000000001</v>
      </c>
      <c r="AG75" s="16">
        <v>3.9087000000000001</v>
      </c>
      <c r="AH75" s="16">
        <v>2.8208000000000002</v>
      </c>
      <c r="AI75" s="16">
        <v>0.55500000000000005</v>
      </c>
      <c r="AJ75" s="16">
        <v>0.5504</v>
      </c>
      <c r="AK75" s="16">
        <v>1.3130999999999999</v>
      </c>
      <c r="AL75" s="16">
        <v>0.61760000000000004</v>
      </c>
      <c r="AM75" s="16">
        <v>0.10100000000000001</v>
      </c>
      <c r="AN75" s="16">
        <v>0.20619999999999999</v>
      </c>
      <c r="AO75" s="16">
        <v>0.1007</v>
      </c>
      <c r="AP75" s="16">
        <v>0.3896</v>
      </c>
      <c r="AQ75" s="16">
        <v>0.36720000000000003</v>
      </c>
      <c r="AR75" s="16">
        <v>0.3629</v>
      </c>
      <c r="AS75" s="16">
        <v>0.1615</v>
      </c>
      <c r="AT75" s="16">
        <v>0.40360000000000001</v>
      </c>
      <c r="AU75" s="16">
        <v>0.36909999999999998</v>
      </c>
      <c r="AV75" s="16">
        <v>0.30120000000000002</v>
      </c>
      <c r="AW75" s="16">
        <v>0.45810000000000001</v>
      </c>
      <c r="AX75" s="16">
        <v>0.10920000000000001</v>
      </c>
    </row>
    <row r="76" spans="1:50" x14ac:dyDescent="0.25">
      <c r="A76" s="17" t="s">
        <v>285</v>
      </c>
      <c r="B76" s="13" t="s">
        <v>222</v>
      </c>
      <c r="C76" s="18">
        <v>0.1444</v>
      </c>
      <c r="D76" s="18">
        <v>0.2298</v>
      </c>
      <c r="E76" s="18">
        <v>0.16109999999999999</v>
      </c>
      <c r="F76" s="18">
        <v>0.153</v>
      </c>
      <c r="G76" s="18">
        <v>9.6299999999999997E-2</v>
      </c>
      <c r="H76" s="18">
        <v>0.30359999999999998</v>
      </c>
      <c r="I76" s="18">
        <v>9.4E-2</v>
      </c>
      <c r="J76" s="18">
        <v>0.183</v>
      </c>
      <c r="K76" s="18">
        <v>0.19059999999999999</v>
      </c>
      <c r="L76" s="18">
        <v>0.2472</v>
      </c>
      <c r="M76" s="18">
        <v>0.1842</v>
      </c>
      <c r="N76" s="18">
        <v>0.19339999999999999</v>
      </c>
      <c r="O76" s="18">
        <v>0.1515</v>
      </c>
      <c r="P76" s="18">
        <v>0.21260000000000001</v>
      </c>
      <c r="Q76" s="18">
        <v>0.3054</v>
      </c>
      <c r="R76" s="18">
        <v>0.23419999999999999</v>
      </c>
      <c r="S76" s="18">
        <v>0.36480000000000001</v>
      </c>
      <c r="T76" s="18">
        <v>8.4199999999999997E-2</v>
      </c>
      <c r="U76" s="18">
        <v>9.5799999999999996E-2</v>
      </c>
      <c r="V76" s="18">
        <v>0.22239999999999999</v>
      </c>
      <c r="W76" s="18">
        <v>0.2155</v>
      </c>
      <c r="X76" s="18">
        <v>0.14760000000000001</v>
      </c>
      <c r="Y76" s="18">
        <v>0.29020000000000001</v>
      </c>
      <c r="Z76" s="18">
        <v>7.0400000000000004E-2</v>
      </c>
      <c r="AA76" s="18">
        <v>0.13150000000000001</v>
      </c>
      <c r="AB76" s="18">
        <v>0.253</v>
      </c>
      <c r="AC76" s="18">
        <v>0.1565</v>
      </c>
      <c r="AD76" s="18">
        <v>0.9093</v>
      </c>
      <c r="AE76" s="18">
        <v>0.4148</v>
      </c>
      <c r="AF76" s="18">
        <v>0.71240000000000003</v>
      </c>
      <c r="AG76" s="18">
        <v>0.1774</v>
      </c>
      <c r="AH76" s="18">
        <v>0.16689999999999999</v>
      </c>
      <c r="AI76" s="18">
        <v>0.63</v>
      </c>
      <c r="AJ76" s="18">
        <v>0.16320000000000001</v>
      </c>
      <c r="AK76" s="18">
        <v>0.33550000000000002</v>
      </c>
      <c r="AL76" s="18">
        <v>0.55559999999999998</v>
      </c>
      <c r="AM76" s="18">
        <v>0.124</v>
      </c>
      <c r="AN76" s="18">
        <v>0.25950000000000001</v>
      </c>
      <c r="AO76" s="18">
        <v>0.28489999999999999</v>
      </c>
      <c r="AP76" s="18">
        <v>0.43309999999999998</v>
      </c>
      <c r="AQ76" s="18">
        <v>0.52910000000000001</v>
      </c>
      <c r="AR76" s="18">
        <v>0.42099999999999999</v>
      </c>
      <c r="AS76" s="18">
        <v>0.4536</v>
      </c>
      <c r="AT76" s="18">
        <v>0.41899999999999998</v>
      </c>
      <c r="AU76" s="18">
        <v>0.43809999999999999</v>
      </c>
      <c r="AV76" s="18">
        <v>0.27539999999999998</v>
      </c>
      <c r="AW76" s="18">
        <v>0.20130000000000001</v>
      </c>
      <c r="AX76" s="18">
        <v>0.14940000000000001</v>
      </c>
    </row>
    <row r="77" spans="1:50" x14ac:dyDescent="0.25">
      <c r="A77" s="17" t="s">
        <v>287</v>
      </c>
      <c r="B77" s="13" t="s">
        <v>222</v>
      </c>
      <c r="C77" s="18">
        <v>0.1651</v>
      </c>
      <c r="D77" s="18">
        <v>4.7E-2</v>
      </c>
      <c r="E77" s="18">
        <v>0.22070000000000001</v>
      </c>
      <c r="F77" s="18">
        <v>0.1215</v>
      </c>
      <c r="G77" s="18">
        <v>8.2500000000000004E-2</v>
      </c>
      <c r="H77" s="18">
        <v>9.1300000000000006E-2</v>
      </c>
      <c r="I77" s="18">
        <v>0.19239999999999999</v>
      </c>
      <c r="J77" s="18">
        <v>8.3299999999999999E-2</v>
      </c>
      <c r="K77" s="18">
        <v>0.20530000000000001</v>
      </c>
      <c r="L77" s="18">
        <v>0.1235</v>
      </c>
      <c r="M77" s="18">
        <v>0.1268</v>
      </c>
      <c r="N77" s="18">
        <v>0.2198</v>
      </c>
      <c r="O77" s="18">
        <v>0.12230000000000001</v>
      </c>
      <c r="P77" s="18">
        <v>0.10059999999999999</v>
      </c>
      <c r="Q77" s="18">
        <v>0.29830000000000001</v>
      </c>
      <c r="R77" s="18">
        <v>0.1835</v>
      </c>
      <c r="S77" s="18">
        <v>0.84760000000000002</v>
      </c>
      <c r="T77" s="18">
        <v>0.13800000000000001</v>
      </c>
      <c r="U77" s="18">
        <v>0.1268</v>
      </c>
      <c r="V77" s="18">
        <v>4.7E-2</v>
      </c>
      <c r="W77" s="18">
        <v>0.59350000000000003</v>
      </c>
      <c r="X77" s="18">
        <v>0.2266</v>
      </c>
      <c r="Y77" s="18">
        <v>0.2853</v>
      </c>
      <c r="Z77" s="18">
        <v>0.1769</v>
      </c>
      <c r="AA77" s="18">
        <v>0.1268</v>
      </c>
      <c r="AB77" s="18">
        <v>0.21540000000000001</v>
      </c>
      <c r="AC77" s="18">
        <v>8.2500000000000004E-2</v>
      </c>
      <c r="AD77" s="18">
        <v>9.1300000000000006E-2</v>
      </c>
      <c r="AE77" s="18">
        <v>0.21540000000000001</v>
      </c>
      <c r="AF77" s="18">
        <v>0.1268</v>
      </c>
      <c r="AG77" s="18">
        <v>4.7E-2</v>
      </c>
      <c r="AH77" s="18">
        <v>4.7E-2</v>
      </c>
      <c r="AI77" s="18">
        <v>0.27300000000000002</v>
      </c>
      <c r="AJ77" s="18">
        <v>6.9199999999999998E-2</v>
      </c>
      <c r="AK77" s="18">
        <v>0.18959999999999999</v>
      </c>
      <c r="AL77" s="18">
        <v>0.15260000000000001</v>
      </c>
      <c r="AM77" s="18">
        <v>4.7E-2</v>
      </c>
      <c r="AN77" s="18">
        <v>0.1268</v>
      </c>
      <c r="AO77" s="18">
        <v>0.16950000000000001</v>
      </c>
      <c r="AP77" s="18">
        <v>0.13800000000000001</v>
      </c>
      <c r="AQ77" s="18">
        <v>0.1096</v>
      </c>
      <c r="AR77" s="18">
        <v>0.36940000000000001</v>
      </c>
      <c r="AS77" s="18">
        <v>0.2127</v>
      </c>
      <c r="AT77" s="18">
        <v>0.36909999999999998</v>
      </c>
      <c r="AU77" s="18">
        <v>5.9200000000000003E-2</v>
      </c>
      <c r="AV77" s="18">
        <v>0.1817</v>
      </c>
      <c r="AW77" s="18">
        <v>1.5382</v>
      </c>
      <c r="AX77" s="18">
        <v>1.4055</v>
      </c>
    </row>
    <row r="78" spans="1:50" x14ac:dyDescent="0.25">
      <c r="A78" s="8" t="s">
        <v>134</v>
      </c>
      <c r="B78" s="10" t="s">
        <v>57</v>
      </c>
      <c r="C78" s="16">
        <v>0.16039999999999999</v>
      </c>
      <c r="D78" s="16">
        <v>5.5E-2</v>
      </c>
      <c r="E78" s="16">
        <v>5.5E-2</v>
      </c>
      <c r="F78" s="16">
        <v>0.1118</v>
      </c>
      <c r="G78" s="16">
        <v>0.17660000000000001</v>
      </c>
      <c r="H78" s="16">
        <v>5.5E-2</v>
      </c>
      <c r="I78" s="16">
        <v>0.2334</v>
      </c>
      <c r="J78" s="16">
        <v>5.5E-2</v>
      </c>
      <c r="K78" s="16">
        <v>0.65629999999999999</v>
      </c>
      <c r="L78" s="16">
        <v>0.91469999999999996</v>
      </c>
      <c r="M78" s="16">
        <v>0.47220000000000001</v>
      </c>
      <c r="N78" s="16">
        <v>5.5E-2</v>
      </c>
      <c r="O78" s="16">
        <v>0.1847</v>
      </c>
      <c r="P78" s="16">
        <v>0.23530000000000001</v>
      </c>
      <c r="Q78" s="16">
        <v>5.5E-2</v>
      </c>
      <c r="R78" s="16">
        <v>0.2334</v>
      </c>
      <c r="S78" s="16">
        <v>5.5E-2</v>
      </c>
      <c r="T78" s="16">
        <v>0.1036</v>
      </c>
      <c r="U78" s="16">
        <v>0.51090000000000002</v>
      </c>
      <c r="V78" s="16">
        <v>1.4865999999999999</v>
      </c>
      <c r="W78" s="16">
        <v>1.7703</v>
      </c>
      <c r="X78" s="16">
        <v>2.1890999999999998</v>
      </c>
      <c r="Y78" s="16">
        <v>2.5585</v>
      </c>
      <c r="Z78" s="16">
        <v>1.9797</v>
      </c>
      <c r="AA78" s="16">
        <v>0.1361</v>
      </c>
      <c r="AB78" s="16">
        <v>5.5E-2</v>
      </c>
      <c r="AC78" s="16">
        <v>5.5E-2</v>
      </c>
      <c r="AD78" s="16">
        <v>0.16800000000000001</v>
      </c>
      <c r="AE78" s="16">
        <v>0.8155</v>
      </c>
      <c r="AF78" s="16">
        <v>5.5E-2</v>
      </c>
      <c r="AG78" s="16">
        <v>0.11990000000000001</v>
      </c>
      <c r="AH78" s="16">
        <v>1.6688000000000001</v>
      </c>
      <c r="AI78" s="16">
        <v>0.49480000000000002</v>
      </c>
      <c r="AJ78" s="16">
        <v>0.72750000000000004</v>
      </c>
      <c r="AK78" s="16">
        <v>0.27650000000000002</v>
      </c>
      <c r="AL78" s="16">
        <v>0.2253</v>
      </c>
      <c r="AM78" s="16">
        <v>7.17E-2</v>
      </c>
      <c r="AN78" s="16">
        <v>0.41070000000000001</v>
      </c>
      <c r="AO78" s="16">
        <v>0.6492</v>
      </c>
      <c r="AP78" s="16">
        <v>0.86260000000000003</v>
      </c>
      <c r="AQ78" s="16">
        <v>0.92679999999999996</v>
      </c>
      <c r="AR78" s="16">
        <v>2.4161999999999999</v>
      </c>
      <c r="AS78" s="16">
        <v>2.2719</v>
      </c>
      <c r="AT78" s="16">
        <v>1.1693</v>
      </c>
      <c r="AU78" s="16">
        <v>0.95609999999999995</v>
      </c>
      <c r="AV78" s="16">
        <v>1.0327999999999999</v>
      </c>
      <c r="AW78" s="16">
        <v>0.16039999999999999</v>
      </c>
      <c r="AX78" s="16">
        <v>0.128</v>
      </c>
    </row>
    <row r="79" spans="1:50" x14ac:dyDescent="0.25">
      <c r="A79" s="8" t="s">
        <v>136</v>
      </c>
      <c r="B79" s="10" t="s">
        <v>57</v>
      </c>
      <c r="C79" s="16">
        <v>0.5998</v>
      </c>
      <c r="D79" s="16">
        <v>0.22789999999999999</v>
      </c>
      <c r="E79" s="16">
        <v>5.6000000000000001E-2</v>
      </c>
      <c r="F79" s="16">
        <v>5.6000000000000001E-2</v>
      </c>
      <c r="G79" s="16">
        <v>7.9399999999999998E-2</v>
      </c>
      <c r="H79" s="16">
        <v>0.2044</v>
      </c>
      <c r="I79" s="16">
        <v>5.6000000000000001E-2</v>
      </c>
      <c r="J79" s="16">
        <v>0.22009999999999999</v>
      </c>
      <c r="K79" s="16">
        <v>6.3799999999999996E-2</v>
      </c>
      <c r="L79" s="16">
        <v>7.9399999999999998E-2</v>
      </c>
      <c r="M79" s="16">
        <v>0.2044</v>
      </c>
      <c r="N79" s="16">
        <v>5.6000000000000001E-2</v>
      </c>
      <c r="O79" s="16">
        <v>0.1263</v>
      </c>
      <c r="P79" s="16">
        <v>0.15759999999999999</v>
      </c>
      <c r="Q79" s="16">
        <v>5.6000000000000001E-2</v>
      </c>
      <c r="R79" s="16">
        <v>0.1956</v>
      </c>
      <c r="S79" s="16">
        <v>0.25469999999999998</v>
      </c>
      <c r="T79" s="16">
        <v>0.18099999999999999</v>
      </c>
      <c r="U79" s="16">
        <v>0.2263</v>
      </c>
      <c r="V79" s="16">
        <v>0.2576</v>
      </c>
      <c r="W79" s="16">
        <v>0.21340000000000001</v>
      </c>
      <c r="X79" s="16">
        <v>0.40629999999999999</v>
      </c>
      <c r="Y79" s="16">
        <v>0.37509999999999999</v>
      </c>
      <c r="Z79" s="16">
        <v>0.3846</v>
      </c>
      <c r="AA79" s="16">
        <v>0.60160000000000002</v>
      </c>
      <c r="AB79" s="16">
        <v>0.51280000000000003</v>
      </c>
      <c r="AC79" s="16">
        <v>0.50429999999999997</v>
      </c>
      <c r="AD79" s="16">
        <v>0.26769999999999999</v>
      </c>
      <c r="AE79" s="16">
        <v>1.107</v>
      </c>
      <c r="AF79" s="16">
        <v>1.8169999999999999</v>
      </c>
      <c r="AG79" s="16">
        <v>2.3479999999999999</v>
      </c>
      <c r="AH79" s="16">
        <v>0.17050000000000001</v>
      </c>
      <c r="AI79" s="16">
        <v>0.1825</v>
      </c>
      <c r="AJ79" s="16">
        <v>0.48449999999999999</v>
      </c>
      <c r="AK79" s="16">
        <v>5.6000000000000001E-2</v>
      </c>
      <c r="AL79" s="16">
        <v>0.12820000000000001</v>
      </c>
      <c r="AM79" s="16">
        <v>0.37640000000000001</v>
      </c>
      <c r="AN79" s="16">
        <v>0.12239999999999999</v>
      </c>
      <c r="AO79" s="16">
        <v>1.6757</v>
      </c>
      <c r="AP79" s="16">
        <v>1.4086000000000001</v>
      </c>
      <c r="AQ79" s="16">
        <v>1.375</v>
      </c>
      <c r="AR79" s="16">
        <v>0.4526</v>
      </c>
      <c r="AS79" s="16">
        <v>0.25509999999999999</v>
      </c>
      <c r="AT79" s="16">
        <v>0.46750000000000003</v>
      </c>
      <c r="AU79" s="16">
        <v>0.26190000000000002</v>
      </c>
      <c r="AV79" s="16">
        <v>0.24310000000000001</v>
      </c>
      <c r="AW79" s="16">
        <v>8.7300000000000003E-2</v>
      </c>
      <c r="AX79" s="16">
        <v>0.1966</v>
      </c>
    </row>
    <row r="80" spans="1:50" x14ac:dyDescent="0.25">
      <c r="A80" s="17" t="s">
        <v>289</v>
      </c>
      <c r="B80" s="13" t="s">
        <v>222</v>
      </c>
      <c r="C80" s="18">
        <v>0.13139999999999999</v>
      </c>
      <c r="D80" s="18">
        <v>5.5E-2</v>
      </c>
      <c r="E80" s="18">
        <v>8.6800000000000002E-2</v>
      </c>
      <c r="F80" s="18">
        <v>0.1633</v>
      </c>
      <c r="G80" s="18">
        <v>5.5E-2</v>
      </c>
      <c r="H80" s="18">
        <v>5.5E-2</v>
      </c>
      <c r="I80" s="18">
        <v>0.1951</v>
      </c>
      <c r="J80" s="18">
        <v>5.5E-2</v>
      </c>
      <c r="K80" s="18">
        <v>0.1187</v>
      </c>
      <c r="L80" s="18">
        <v>0.13139999999999999</v>
      </c>
      <c r="M80" s="18">
        <v>6.7699999999999996E-2</v>
      </c>
      <c r="N80" s="18">
        <v>0.18240000000000001</v>
      </c>
      <c r="O80" s="18">
        <v>5.5E-2</v>
      </c>
      <c r="P80" s="18">
        <v>0.23949999999999999</v>
      </c>
      <c r="Q80" s="18">
        <v>1.9225000000000001</v>
      </c>
      <c r="R80" s="18">
        <v>0.97540000000000004</v>
      </c>
      <c r="S80" s="18">
        <v>1.3232999999999999</v>
      </c>
      <c r="T80" s="18">
        <v>1.8482000000000001</v>
      </c>
      <c r="U80" s="18">
        <v>1.2958000000000001</v>
      </c>
      <c r="V80" s="18">
        <v>0.2631</v>
      </c>
      <c r="W80" s="18">
        <v>0.27529999999999999</v>
      </c>
      <c r="X80" s="18">
        <v>0.40260000000000001</v>
      </c>
      <c r="Y80" s="18">
        <v>0.1484</v>
      </c>
      <c r="Z80" s="18">
        <v>0.2069</v>
      </c>
      <c r="AA80" s="18">
        <v>0.5373</v>
      </c>
      <c r="AB80" s="18">
        <v>0.56769999999999998</v>
      </c>
      <c r="AC80" s="18">
        <v>0.54010000000000002</v>
      </c>
      <c r="AD80" s="18">
        <v>0.29859999999999998</v>
      </c>
      <c r="AE80" s="18">
        <v>0.45860000000000001</v>
      </c>
      <c r="AF80" s="18">
        <v>0.29530000000000001</v>
      </c>
      <c r="AG80" s="18">
        <v>0.30230000000000001</v>
      </c>
      <c r="AH80" s="18">
        <v>0.4501</v>
      </c>
      <c r="AI80" s="18">
        <v>0.22020000000000001</v>
      </c>
      <c r="AJ80" s="18">
        <v>0.35560000000000003</v>
      </c>
      <c r="AK80" s="18">
        <v>1.3429</v>
      </c>
      <c r="AL80" s="18">
        <v>0.1535</v>
      </c>
      <c r="AM80" s="18">
        <v>0.20669999999999999</v>
      </c>
      <c r="AN80" s="18">
        <v>9.6799999999999997E-2</v>
      </c>
      <c r="AO80" s="18">
        <v>0.20849999999999999</v>
      </c>
      <c r="AP80" s="18">
        <v>0.22170000000000001</v>
      </c>
      <c r="AQ80" s="18">
        <v>0.34760000000000002</v>
      </c>
      <c r="AR80" s="18">
        <v>0.52800000000000002</v>
      </c>
      <c r="AS80" s="18">
        <v>0.36659999999999998</v>
      </c>
      <c r="AT80" s="18">
        <v>0.39739999999999998</v>
      </c>
      <c r="AU80" s="18">
        <v>1.0337000000000001</v>
      </c>
      <c r="AV80" s="18">
        <v>0.30530000000000002</v>
      </c>
      <c r="AW80" s="18">
        <v>0.50580000000000003</v>
      </c>
      <c r="AX80" s="18">
        <v>0.17100000000000001</v>
      </c>
    </row>
    <row r="81" spans="1:50" x14ac:dyDescent="0.25">
      <c r="A81" s="17" t="s">
        <v>291</v>
      </c>
      <c r="B81" s="13" t="s">
        <v>222</v>
      </c>
      <c r="C81" s="18">
        <v>0.14849999999999999</v>
      </c>
      <c r="D81" s="18">
        <v>0.1704</v>
      </c>
      <c r="E81" s="18">
        <v>0.2205</v>
      </c>
      <c r="F81" s="18">
        <v>0.1769</v>
      </c>
      <c r="G81" s="18">
        <v>4.8000000000000001E-2</v>
      </c>
      <c r="H81" s="18">
        <v>0.2205</v>
      </c>
      <c r="I81" s="18">
        <v>0.1769</v>
      </c>
      <c r="J81" s="18">
        <v>0.13420000000000001</v>
      </c>
      <c r="K81" s="18">
        <v>0.25019999999999998</v>
      </c>
      <c r="L81" s="18">
        <v>6.0900000000000003E-2</v>
      </c>
      <c r="M81" s="18">
        <v>0.2205</v>
      </c>
      <c r="N81" s="18">
        <v>0.106</v>
      </c>
      <c r="O81" s="18">
        <v>0.24429999999999999</v>
      </c>
      <c r="P81" s="18">
        <v>9.5000000000000001E-2</v>
      </c>
      <c r="Q81" s="18">
        <v>0.1769</v>
      </c>
      <c r="R81" s="18">
        <v>0.2205</v>
      </c>
      <c r="S81" s="18">
        <v>0.44030000000000002</v>
      </c>
      <c r="T81" s="18">
        <v>0.25159999999999999</v>
      </c>
      <c r="U81" s="18">
        <v>0.24740000000000001</v>
      </c>
      <c r="V81" s="18">
        <v>4.8000000000000001E-2</v>
      </c>
      <c r="W81" s="18">
        <v>0.1769</v>
      </c>
      <c r="X81" s="18">
        <v>0.2205</v>
      </c>
      <c r="Y81" s="18">
        <v>0.1769</v>
      </c>
      <c r="Z81" s="18">
        <v>9.5000000000000001E-2</v>
      </c>
      <c r="AA81" s="18">
        <v>0.1734</v>
      </c>
      <c r="AB81" s="18">
        <v>5.4399999999999997E-2</v>
      </c>
      <c r="AC81" s="18">
        <v>0.24099999999999999</v>
      </c>
      <c r="AD81" s="18">
        <v>0.14990000000000001</v>
      </c>
      <c r="AE81" s="18">
        <v>0.13819999999999999</v>
      </c>
      <c r="AF81" s="18">
        <v>0.21990000000000001</v>
      </c>
      <c r="AG81" s="18">
        <v>0.1709</v>
      </c>
      <c r="AH81" s="18">
        <v>0.17929999999999999</v>
      </c>
      <c r="AI81" s="18">
        <v>0.3705</v>
      </c>
      <c r="AJ81" s="18">
        <v>0.14099999999999999</v>
      </c>
      <c r="AK81" s="18">
        <v>0.41370000000000001</v>
      </c>
      <c r="AL81" s="18">
        <v>0.42049999999999998</v>
      </c>
      <c r="AM81" s="18">
        <v>0.43509999999999999</v>
      </c>
      <c r="AN81" s="18">
        <v>0.39879999999999999</v>
      </c>
      <c r="AO81" s="18">
        <v>0.54459999999999997</v>
      </c>
      <c r="AP81" s="18">
        <v>0.59899999999999998</v>
      </c>
      <c r="AQ81" s="18">
        <v>0.58309999999999995</v>
      </c>
      <c r="AR81" s="18">
        <v>0.80449999999999999</v>
      </c>
      <c r="AS81" s="18">
        <v>0.62229999999999996</v>
      </c>
      <c r="AT81" s="18">
        <v>0.80149999999999999</v>
      </c>
      <c r="AU81" s="18">
        <v>0.90010000000000001</v>
      </c>
      <c r="AV81" s="18">
        <v>0.76180000000000003</v>
      </c>
      <c r="AW81" s="18">
        <v>0.57999999999999996</v>
      </c>
      <c r="AX81" s="18">
        <v>0.99139999999999995</v>
      </c>
    </row>
    <row r="82" spans="1:50" x14ac:dyDescent="0.25">
      <c r="A82" s="8" t="s">
        <v>138</v>
      </c>
      <c r="B82" s="10" t="s">
        <v>57</v>
      </c>
      <c r="C82" s="16">
        <v>4.8000000000000001E-2</v>
      </c>
      <c r="D82" s="16">
        <v>9.0999999999999998E-2</v>
      </c>
      <c r="E82" s="16">
        <v>0.1628</v>
      </c>
      <c r="F82" s="16">
        <v>0.12590000000000001</v>
      </c>
      <c r="G82" s="16">
        <v>0.20580000000000001</v>
      </c>
      <c r="H82" s="16">
        <v>0.12590000000000001</v>
      </c>
      <c r="I82" s="16">
        <v>4.8000000000000001E-2</v>
      </c>
      <c r="J82" s="16">
        <v>0.26640000000000003</v>
      </c>
      <c r="K82" s="16">
        <v>6.5299999999999997E-2</v>
      </c>
      <c r="L82" s="16">
        <v>0.15459999999999999</v>
      </c>
      <c r="M82" s="16">
        <v>0.17710000000000001</v>
      </c>
      <c r="N82" s="16">
        <v>0.12590000000000001</v>
      </c>
      <c r="O82" s="16">
        <v>0.20580000000000001</v>
      </c>
      <c r="P82" s="16">
        <v>0.12590000000000001</v>
      </c>
      <c r="Q82" s="16">
        <v>0.1197</v>
      </c>
      <c r="R82" s="16">
        <v>0.16839999999999999</v>
      </c>
      <c r="S82" s="16">
        <v>0.1076</v>
      </c>
      <c r="T82" s="16">
        <v>0.10979999999999999</v>
      </c>
      <c r="U82" s="16">
        <v>0.2147</v>
      </c>
      <c r="V82" s="16">
        <v>0.1671</v>
      </c>
      <c r="W82" s="16">
        <v>0.2203</v>
      </c>
      <c r="X82" s="16">
        <v>0.1114</v>
      </c>
      <c r="Y82" s="16">
        <v>9.1300000000000006E-2</v>
      </c>
      <c r="Z82" s="16">
        <v>8.2600000000000007E-2</v>
      </c>
      <c r="AA82" s="16">
        <v>0.2707</v>
      </c>
      <c r="AB82" s="16">
        <v>6.0999999999999999E-2</v>
      </c>
      <c r="AC82" s="16">
        <v>0.12590000000000001</v>
      </c>
      <c r="AD82" s="16">
        <v>0.20580000000000001</v>
      </c>
      <c r="AE82" s="16">
        <v>0.23649999999999999</v>
      </c>
      <c r="AF82" s="16">
        <v>0.37919999999999998</v>
      </c>
      <c r="AG82" s="16">
        <v>0.33019999999999999</v>
      </c>
      <c r="AH82" s="16">
        <v>5.67E-2</v>
      </c>
      <c r="AI82" s="16">
        <v>0.33860000000000001</v>
      </c>
      <c r="AJ82" s="16">
        <v>0.20150000000000001</v>
      </c>
      <c r="AK82" s="16">
        <v>0.2571</v>
      </c>
      <c r="AL82" s="16">
        <v>0.18479999999999999</v>
      </c>
      <c r="AM82" s="16">
        <v>0.36520000000000002</v>
      </c>
      <c r="AN82" s="16">
        <v>0.24160000000000001</v>
      </c>
      <c r="AO82" s="16">
        <v>0.15210000000000001</v>
      </c>
      <c r="AP82" s="16">
        <v>0.54600000000000004</v>
      </c>
      <c r="AQ82" s="16">
        <v>0.32290000000000002</v>
      </c>
      <c r="AR82" s="16">
        <v>4.8000000000000001E-2</v>
      </c>
      <c r="AS82" s="16">
        <v>0.28370000000000001</v>
      </c>
      <c r="AT82" s="16">
        <v>4.8000000000000001E-2</v>
      </c>
      <c r="AU82" s="16">
        <v>9.5600000000000004E-2</v>
      </c>
      <c r="AV82" s="16">
        <v>0.2361</v>
      </c>
      <c r="AW82" s="16">
        <v>4.8000000000000001E-2</v>
      </c>
      <c r="AX82" s="16">
        <v>0.2334</v>
      </c>
    </row>
    <row r="83" spans="1:50" x14ac:dyDescent="0.25">
      <c r="A83" s="17" t="s">
        <v>293</v>
      </c>
      <c r="B83" s="13" t="s">
        <v>222</v>
      </c>
      <c r="C83" s="18">
        <v>0.14910000000000001</v>
      </c>
      <c r="D83" s="18">
        <v>0.1391</v>
      </c>
      <c r="E83" s="18">
        <v>8.3000000000000004E-2</v>
      </c>
      <c r="F83" s="18">
        <v>3.4000000000000002E-2</v>
      </c>
      <c r="G83" s="18">
        <v>0.19109999999999999</v>
      </c>
      <c r="H83" s="18">
        <v>0.14610000000000001</v>
      </c>
      <c r="I83" s="18">
        <v>3.4000000000000002E-2</v>
      </c>
      <c r="J83" s="18">
        <v>0.18809999999999999</v>
      </c>
      <c r="K83" s="18">
        <v>0.10299999999999999</v>
      </c>
      <c r="L83" s="18">
        <v>0.08</v>
      </c>
      <c r="M83" s="18">
        <v>0.18809999999999999</v>
      </c>
      <c r="N83" s="18">
        <v>0.14910000000000001</v>
      </c>
      <c r="O83" s="18">
        <v>9.7000000000000003E-2</v>
      </c>
      <c r="P83" s="18">
        <v>0.12509999999999999</v>
      </c>
      <c r="Q83" s="18">
        <v>0.2994</v>
      </c>
      <c r="R83" s="18">
        <v>0.47370000000000001</v>
      </c>
      <c r="S83" s="18">
        <v>0.23830000000000001</v>
      </c>
      <c r="T83" s="18">
        <v>0.59740000000000004</v>
      </c>
      <c r="U83" s="18">
        <v>4.1000000000000002E-2</v>
      </c>
      <c r="V83" s="18">
        <v>7.4300000000000005E-2</v>
      </c>
      <c r="W83" s="18">
        <v>0.20680000000000001</v>
      </c>
      <c r="X83" s="18">
        <v>0.09</v>
      </c>
      <c r="Y83" s="18">
        <v>6.08E-2</v>
      </c>
      <c r="Z83" s="18">
        <v>0.27639999999999998</v>
      </c>
      <c r="AA83" s="18">
        <v>3.4000000000000002E-2</v>
      </c>
      <c r="AB83" s="18">
        <v>0.14910000000000001</v>
      </c>
      <c r="AC83" s="18">
        <v>0.1706</v>
      </c>
      <c r="AD83" s="18">
        <v>0.53759999999999997</v>
      </c>
      <c r="AE83" s="18">
        <v>0.45660000000000001</v>
      </c>
      <c r="AF83" s="18">
        <v>0.34910000000000002</v>
      </c>
      <c r="AG83" s="18">
        <v>0.36230000000000001</v>
      </c>
      <c r="AH83" s="18">
        <v>0.35899999999999999</v>
      </c>
      <c r="AI83" s="18">
        <v>0.43369999999999997</v>
      </c>
      <c r="AJ83" s="18">
        <v>0.18779999999999999</v>
      </c>
      <c r="AK83" s="18">
        <v>0.88200000000000001</v>
      </c>
      <c r="AL83" s="18">
        <v>1.9298999999999999</v>
      </c>
      <c r="AM83" s="18">
        <v>0.46139999999999998</v>
      </c>
      <c r="AN83" s="18">
        <v>0.2341</v>
      </c>
      <c r="AO83" s="18">
        <v>1.177</v>
      </c>
      <c r="AP83" s="18">
        <v>0.76080000000000003</v>
      </c>
      <c r="AQ83" s="18">
        <v>0.68089999999999995</v>
      </c>
      <c r="AR83" s="18">
        <v>0.77680000000000005</v>
      </c>
      <c r="AS83" s="18">
        <v>0.98050000000000004</v>
      </c>
      <c r="AT83" s="18">
        <v>0.70120000000000005</v>
      </c>
      <c r="AU83" s="18">
        <v>0.76029999999999998</v>
      </c>
      <c r="AV83" s="18">
        <v>0.89270000000000005</v>
      </c>
      <c r="AW83" s="18">
        <v>0.98619999999999997</v>
      </c>
      <c r="AX83" s="18">
        <v>0.67669999999999997</v>
      </c>
    </row>
    <row r="84" spans="1:50" x14ac:dyDescent="0.25">
      <c r="A84" s="8" t="s">
        <v>140</v>
      </c>
      <c r="B84" s="10" t="s">
        <v>57</v>
      </c>
      <c r="C84" s="16">
        <v>0.14990000000000001</v>
      </c>
      <c r="D84" s="16">
        <v>0.05</v>
      </c>
      <c r="E84" s="16">
        <v>0.05</v>
      </c>
      <c r="F84" s="16">
        <v>0.10489999999999999</v>
      </c>
      <c r="G84" s="16">
        <v>9.5000000000000001E-2</v>
      </c>
      <c r="H84" s="16">
        <v>0.05</v>
      </c>
      <c r="I84" s="16">
        <v>0.13489999999999999</v>
      </c>
      <c r="J84" s="16">
        <v>6.5000000000000002E-2</v>
      </c>
      <c r="K84" s="16">
        <v>0.05</v>
      </c>
      <c r="L84" s="16">
        <v>0.05</v>
      </c>
      <c r="M84" s="16">
        <v>5.5E-2</v>
      </c>
      <c r="N84" s="16">
        <v>0.1449</v>
      </c>
      <c r="O84" s="16">
        <v>0.05</v>
      </c>
      <c r="P84" s="16">
        <v>0.05</v>
      </c>
      <c r="Q84" s="16">
        <v>0.05</v>
      </c>
      <c r="R84" s="16">
        <v>6.1600000000000002E-2</v>
      </c>
      <c r="S84" s="16">
        <v>8.6800000000000002E-2</v>
      </c>
      <c r="T84" s="16">
        <v>0.1096</v>
      </c>
      <c r="U84" s="16">
        <v>0.1595</v>
      </c>
      <c r="V84" s="16">
        <v>6.3600000000000004E-2</v>
      </c>
      <c r="W84" s="16">
        <v>0.14990000000000001</v>
      </c>
      <c r="X84" s="16">
        <v>0.05</v>
      </c>
      <c r="Y84" s="16">
        <v>0.14990000000000001</v>
      </c>
      <c r="Z84" s="16">
        <v>0.05</v>
      </c>
      <c r="AA84" s="16">
        <v>9.5000000000000001E-2</v>
      </c>
      <c r="AB84" s="16">
        <v>0.10489999999999999</v>
      </c>
      <c r="AC84" s="16">
        <v>0.05</v>
      </c>
      <c r="AD84" s="16">
        <v>0.1991</v>
      </c>
      <c r="AE84" s="16">
        <v>0.125</v>
      </c>
      <c r="AF84" s="16">
        <v>0.22589999999999999</v>
      </c>
      <c r="AG84" s="16">
        <v>0.32800000000000001</v>
      </c>
      <c r="AH84" s="16">
        <v>0.1593</v>
      </c>
      <c r="AI84" s="16">
        <v>0.2107</v>
      </c>
      <c r="AJ84" s="16">
        <v>0.27460000000000001</v>
      </c>
      <c r="AK84" s="16">
        <v>0.15890000000000001</v>
      </c>
      <c r="AL84" s="16">
        <v>0.13650000000000001</v>
      </c>
      <c r="AM84" s="16">
        <v>0.1903</v>
      </c>
      <c r="AN84" s="16">
        <v>0.27489999999999998</v>
      </c>
      <c r="AO84" s="16">
        <v>0.23069999999999999</v>
      </c>
      <c r="AP84" s="16">
        <v>1.6831</v>
      </c>
      <c r="AQ84" s="16">
        <v>0.29089999999999999</v>
      </c>
      <c r="AR84" s="16">
        <v>0.30659999999999998</v>
      </c>
      <c r="AS84" s="16">
        <v>0.28220000000000001</v>
      </c>
      <c r="AT84" s="16">
        <v>0.37040000000000001</v>
      </c>
      <c r="AU84" s="16">
        <v>0.30819999999999997</v>
      </c>
      <c r="AV84" s="16">
        <v>0.94879999999999998</v>
      </c>
      <c r="AW84" s="16">
        <v>0.81679999999999997</v>
      </c>
      <c r="AX84" s="16">
        <v>0.2389</v>
      </c>
    </row>
    <row r="85" spans="1:50" x14ac:dyDescent="0.25">
      <c r="A85" s="17" t="s">
        <v>295</v>
      </c>
      <c r="B85" s="13" t="s">
        <v>222</v>
      </c>
      <c r="C85" s="18">
        <v>5.2999999999999999E-2</v>
      </c>
      <c r="D85" s="18">
        <v>5.2999999999999999E-2</v>
      </c>
      <c r="E85" s="18">
        <v>0.16059999999999999</v>
      </c>
      <c r="F85" s="18">
        <v>5.2999999999999999E-2</v>
      </c>
      <c r="G85" s="18">
        <v>0.1452</v>
      </c>
      <c r="H85" s="18">
        <v>6.8400000000000002E-2</v>
      </c>
      <c r="I85" s="18">
        <v>5.2999999999999999E-2</v>
      </c>
      <c r="J85" s="18">
        <v>0.15290000000000001</v>
      </c>
      <c r="K85" s="18">
        <v>6.0699999999999997E-2</v>
      </c>
      <c r="L85" s="18">
        <v>5.2999999999999999E-2</v>
      </c>
      <c r="M85" s="18">
        <v>0.16059999999999999</v>
      </c>
      <c r="N85" s="18">
        <v>5.2999999999999999E-2</v>
      </c>
      <c r="O85" s="18">
        <v>9.9099999999999994E-2</v>
      </c>
      <c r="P85" s="18">
        <v>0.1145</v>
      </c>
      <c r="Q85" s="18">
        <v>5.2999999999999999E-2</v>
      </c>
      <c r="R85" s="18">
        <v>0.16059999999999999</v>
      </c>
      <c r="S85" s="18">
        <v>5.2999999999999999E-2</v>
      </c>
      <c r="T85" s="18">
        <v>5.3699999999999998E-2</v>
      </c>
      <c r="U85" s="18">
        <v>0.16339999999999999</v>
      </c>
      <c r="V85" s="18">
        <v>0.23019999999999999</v>
      </c>
      <c r="W85" s="18">
        <v>0.30630000000000002</v>
      </c>
      <c r="X85" s="18">
        <v>0.1736</v>
      </c>
      <c r="Y85" s="18">
        <v>0.56289999999999996</v>
      </c>
      <c r="Z85" s="18">
        <v>0.99790000000000001</v>
      </c>
      <c r="AA85" s="18">
        <v>6.7500000000000004E-2</v>
      </c>
      <c r="AB85" s="18">
        <v>0.1057</v>
      </c>
      <c r="AC85" s="18">
        <v>0.14069999999999999</v>
      </c>
      <c r="AD85" s="18">
        <v>8.7800000000000003E-2</v>
      </c>
      <c r="AE85" s="18">
        <v>0.97199999999999998</v>
      </c>
      <c r="AF85" s="18">
        <v>0.1265</v>
      </c>
      <c r="AG85" s="18">
        <v>0.1479</v>
      </c>
      <c r="AH85" s="18">
        <v>7.6100000000000001E-2</v>
      </c>
      <c r="AI85" s="18">
        <v>0.13750000000000001</v>
      </c>
      <c r="AJ85" s="18">
        <v>5.2999999999999999E-2</v>
      </c>
      <c r="AK85" s="18">
        <v>5.2999999999999999E-2</v>
      </c>
      <c r="AL85" s="18">
        <v>0.18790000000000001</v>
      </c>
      <c r="AM85" s="18">
        <v>0.34989999999999999</v>
      </c>
      <c r="AN85" s="18">
        <v>1.1288</v>
      </c>
      <c r="AO85" s="18">
        <v>0.59809999999999997</v>
      </c>
      <c r="AP85" s="18">
        <v>0.2402</v>
      </c>
      <c r="AQ85" s="18">
        <v>5.2999999999999999E-2</v>
      </c>
      <c r="AR85" s="18">
        <v>5.2999999999999999E-2</v>
      </c>
      <c r="AS85" s="18">
        <v>0.16059999999999999</v>
      </c>
      <c r="AT85" s="18">
        <v>5.2999999999999999E-2</v>
      </c>
      <c r="AU85" s="18">
        <v>0.16059999999999999</v>
      </c>
      <c r="AV85" s="18">
        <v>5.2999999999999999E-2</v>
      </c>
      <c r="AW85" s="18">
        <v>6.0699999999999997E-2</v>
      </c>
      <c r="AX85" s="18">
        <v>0.15290000000000001</v>
      </c>
    </row>
    <row r="86" spans="1:50" x14ac:dyDescent="0.25">
      <c r="A86" s="17" t="s">
        <v>297</v>
      </c>
      <c r="B86" s="13" t="s">
        <v>222</v>
      </c>
      <c r="C86" s="18">
        <v>0.14779999999999999</v>
      </c>
      <c r="D86" s="18">
        <v>0.10589999999999999</v>
      </c>
      <c r="E86" s="18">
        <v>0.05</v>
      </c>
      <c r="F86" s="18">
        <v>0.05</v>
      </c>
      <c r="G86" s="18">
        <v>0.20369999999999999</v>
      </c>
      <c r="H86" s="18">
        <v>0.05</v>
      </c>
      <c r="I86" s="18">
        <v>0.12690000000000001</v>
      </c>
      <c r="J86" s="18">
        <v>0.12690000000000001</v>
      </c>
      <c r="K86" s="18">
        <v>0.05</v>
      </c>
      <c r="L86" s="18">
        <v>0.20369999999999999</v>
      </c>
      <c r="M86" s="18">
        <v>0.05</v>
      </c>
      <c r="N86" s="18">
        <v>0.20369999999999999</v>
      </c>
      <c r="O86" s="18">
        <v>0.05</v>
      </c>
      <c r="P86" s="18">
        <v>0.11990000000000001</v>
      </c>
      <c r="Q86" s="18">
        <v>0.1338</v>
      </c>
      <c r="R86" s="18">
        <v>5.4300000000000001E-2</v>
      </c>
      <c r="S86" s="18">
        <v>0.24429999999999999</v>
      </c>
      <c r="T86" s="18">
        <v>0.16139999999999999</v>
      </c>
      <c r="U86" s="18">
        <v>0.223</v>
      </c>
      <c r="V86" s="18">
        <v>0.32090000000000002</v>
      </c>
      <c r="W86" s="18">
        <v>0.1951</v>
      </c>
      <c r="X86" s="18">
        <v>0.3382</v>
      </c>
      <c r="Y86" s="18">
        <v>0.22900000000000001</v>
      </c>
      <c r="Z86" s="18">
        <v>1.3619000000000001</v>
      </c>
      <c r="AA86" s="18">
        <v>0.26500000000000001</v>
      </c>
      <c r="AB86" s="18">
        <v>0.1515</v>
      </c>
      <c r="AC86" s="18">
        <v>0.20369999999999999</v>
      </c>
      <c r="AD86" s="18">
        <v>0.05</v>
      </c>
      <c r="AE86" s="18">
        <v>0.1467</v>
      </c>
      <c r="AF86" s="18">
        <v>0.30940000000000001</v>
      </c>
      <c r="AG86" s="18">
        <v>1.2589999999999999</v>
      </c>
      <c r="AH86" s="18">
        <v>0.22869999999999999</v>
      </c>
      <c r="AI86" s="18">
        <v>9.8400000000000001E-2</v>
      </c>
      <c r="AJ86" s="18">
        <v>0.16769999999999999</v>
      </c>
      <c r="AK86" s="18">
        <v>0.24859999999999999</v>
      </c>
      <c r="AL86" s="18">
        <v>0.1656</v>
      </c>
      <c r="AM86" s="18">
        <v>0.23810000000000001</v>
      </c>
      <c r="AN86" s="18">
        <v>0.14879999999999999</v>
      </c>
      <c r="AO86" s="18">
        <v>0.16200000000000001</v>
      </c>
      <c r="AP86" s="18">
        <v>0.35439999999999999</v>
      </c>
      <c r="AQ86" s="18">
        <v>1.2101999999999999</v>
      </c>
      <c r="AR86" s="18">
        <v>0.2354</v>
      </c>
      <c r="AS86" s="18">
        <v>0.7016</v>
      </c>
      <c r="AT86" s="18">
        <v>0.44290000000000002</v>
      </c>
      <c r="AU86" s="18">
        <v>0.3211</v>
      </c>
      <c r="AV86" s="18">
        <v>0.19869999999999999</v>
      </c>
      <c r="AW86" s="18">
        <v>0.2223</v>
      </c>
      <c r="AX86" s="18">
        <v>0.57240000000000002</v>
      </c>
    </row>
    <row r="87" spans="1:50" x14ac:dyDescent="0.25">
      <c r="A87" s="8" t="s">
        <v>142</v>
      </c>
      <c r="B87" s="10" t="s">
        <v>57</v>
      </c>
      <c r="C87" s="16">
        <v>0.1096</v>
      </c>
      <c r="D87" s="16">
        <v>5.1999999999999998E-2</v>
      </c>
      <c r="E87" s="16">
        <v>0.16800000000000001</v>
      </c>
      <c r="F87" s="16">
        <v>0.1108</v>
      </c>
      <c r="G87" s="16">
        <v>9.5799999999999996E-2</v>
      </c>
      <c r="H87" s="16">
        <v>0.1399</v>
      </c>
      <c r="I87" s="16">
        <v>9.5100000000000004E-2</v>
      </c>
      <c r="J87" s="16">
        <v>0.1197</v>
      </c>
      <c r="K87" s="16">
        <v>4.8000000000000001E-2</v>
      </c>
      <c r="L87" s="16">
        <v>0.1197</v>
      </c>
      <c r="M87" s="16">
        <v>0.18310000000000001</v>
      </c>
      <c r="N87" s="16">
        <v>9.98E-2</v>
      </c>
      <c r="O87" s="16">
        <v>0.1739</v>
      </c>
      <c r="P87" s="16">
        <v>0.109</v>
      </c>
      <c r="Q87" s="16">
        <v>4.8000000000000001E-2</v>
      </c>
      <c r="R87" s="16">
        <v>0.2349</v>
      </c>
      <c r="S87" s="16">
        <v>4.8000000000000001E-2</v>
      </c>
      <c r="T87" s="16">
        <v>0.12130000000000001</v>
      </c>
      <c r="U87" s="16">
        <v>0.16159999999999999</v>
      </c>
      <c r="V87" s="16">
        <v>4.8000000000000001E-2</v>
      </c>
      <c r="W87" s="16">
        <v>0.15629999999999999</v>
      </c>
      <c r="X87" s="16">
        <v>0.1265</v>
      </c>
      <c r="Y87" s="16">
        <v>0.1077</v>
      </c>
      <c r="Z87" s="16">
        <v>0.15939999999999999</v>
      </c>
      <c r="AA87" s="16">
        <v>6.3700000000000007E-2</v>
      </c>
      <c r="AB87" s="16">
        <v>0.11609999999999999</v>
      </c>
      <c r="AC87" s="16">
        <v>9.5100000000000004E-2</v>
      </c>
      <c r="AD87" s="16">
        <v>0.1157</v>
      </c>
      <c r="AE87" s="16">
        <v>0.22339999999999999</v>
      </c>
      <c r="AF87" s="16">
        <v>0.17199999999999999</v>
      </c>
      <c r="AG87" s="16">
        <v>4.8000000000000001E-2</v>
      </c>
      <c r="AH87" s="16">
        <v>0.16320000000000001</v>
      </c>
      <c r="AI87" s="16">
        <v>0.1197</v>
      </c>
      <c r="AJ87" s="16">
        <v>0.1527</v>
      </c>
      <c r="AK87" s="16">
        <v>0.32950000000000002</v>
      </c>
      <c r="AL87" s="16">
        <v>0.2339</v>
      </c>
      <c r="AM87" s="16">
        <v>0.45419999999999999</v>
      </c>
      <c r="AN87" s="16">
        <v>0.50800000000000001</v>
      </c>
      <c r="AO87" s="16">
        <v>0.34079999999999999</v>
      </c>
      <c r="AP87" s="16">
        <v>0.54249999999999998</v>
      </c>
      <c r="AQ87" s="16">
        <v>0.57850000000000001</v>
      </c>
      <c r="AR87" s="16">
        <v>0.50600000000000001</v>
      </c>
      <c r="AS87" s="16">
        <v>0.1318</v>
      </c>
      <c r="AT87" s="16">
        <v>7.5899999999999995E-2</v>
      </c>
      <c r="AU87" s="16">
        <v>0.29649999999999999</v>
      </c>
      <c r="AV87" s="16">
        <v>0.34189999999999998</v>
      </c>
      <c r="AW87" s="16">
        <v>0.39419999999999999</v>
      </c>
      <c r="AX87" s="16">
        <v>0.17929999999999999</v>
      </c>
    </row>
    <row r="88" spans="1:50" x14ac:dyDescent="0.25">
      <c r="A88" s="8" t="s">
        <v>144</v>
      </c>
      <c r="B88" s="10" t="s">
        <v>57</v>
      </c>
      <c r="C88" s="16">
        <v>0.22639999999999999</v>
      </c>
      <c r="D88" s="16">
        <v>5.1999999999999998E-2</v>
      </c>
      <c r="E88" s="16">
        <v>0.1512</v>
      </c>
      <c r="F88" s="16">
        <v>5.1999999999999998E-2</v>
      </c>
      <c r="G88" s="16">
        <v>7.6799999999999993E-2</v>
      </c>
      <c r="H88" s="16">
        <v>0.21149999999999999</v>
      </c>
      <c r="I88" s="16">
        <v>5.1999999999999998E-2</v>
      </c>
      <c r="J88" s="16">
        <v>0.2316</v>
      </c>
      <c r="K88" s="16">
        <v>5.67E-2</v>
      </c>
      <c r="L88" s="16">
        <v>0.1512</v>
      </c>
      <c r="M88" s="16">
        <v>7.0900000000000005E-2</v>
      </c>
      <c r="N88" s="16">
        <v>0.1182</v>
      </c>
      <c r="O88" s="16">
        <v>0.1512</v>
      </c>
      <c r="P88" s="16">
        <v>5.1999999999999998E-2</v>
      </c>
      <c r="Q88" s="16">
        <v>0.1958</v>
      </c>
      <c r="R88" s="16">
        <v>0.26719999999999999</v>
      </c>
      <c r="S88" s="16">
        <v>0.15409999999999999</v>
      </c>
      <c r="T88" s="16">
        <v>0.15909999999999999</v>
      </c>
      <c r="U88" s="16">
        <v>0.15490000000000001</v>
      </c>
      <c r="V88" s="16">
        <v>8.6699999999999999E-2</v>
      </c>
      <c r="W88" s="16">
        <v>0.26989999999999997</v>
      </c>
      <c r="X88" s="16">
        <v>0.1512</v>
      </c>
      <c r="Y88" s="16">
        <v>0.1371</v>
      </c>
      <c r="Z88" s="16">
        <v>7.6799999999999993E-2</v>
      </c>
      <c r="AA88" s="16">
        <v>0.12640000000000001</v>
      </c>
      <c r="AB88" s="16">
        <v>0.1371</v>
      </c>
      <c r="AC88" s="16">
        <v>6.1899999999999997E-2</v>
      </c>
      <c r="AD88" s="16">
        <v>0.1933</v>
      </c>
      <c r="AE88" s="16">
        <v>8.5099999999999995E-2</v>
      </c>
      <c r="AF88" s="16">
        <v>5.1999999999999998E-2</v>
      </c>
      <c r="AG88" s="16">
        <v>0.12640000000000001</v>
      </c>
      <c r="AH88" s="16">
        <v>7.6799999999999993E-2</v>
      </c>
      <c r="AI88" s="16">
        <v>5.7000000000000002E-2</v>
      </c>
      <c r="AJ88" s="16">
        <v>0.25330000000000003</v>
      </c>
      <c r="AK88" s="16">
        <v>7.2999999999999995E-2</v>
      </c>
      <c r="AL88" s="16">
        <v>0.10639999999999999</v>
      </c>
      <c r="AM88" s="16">
        <v>0.20330000000000001</v>
      </c>
      <c r="AN88" s="16">
        <v>5.1999999999999998E-2</v>
      </c>
      <c r="AO88" s="16">
        <v>0.14130000000000001</v>
      </c>
      <c r="AP88" s="16">
        <v>0.1045</v>
      </c>
      <c r="AQ88" s="16">
        <v>0.20269999999999999</v>
      </c>
      <c r="AR88" s="16">
        <v>1.3042</v>
      </c>
      <c r="AS88" s="16">
        <v>0.48699999999999999</v>
      </c>
      <c r="AT88" s="16">
        <v>0.51600000000000001</v>
      </c>
      <c r="AU88" s="16">
        <v>0.63019999999999998</v>
      </c>
      <c r="AV88" s="16">
        <v>0.62050000000000005</v>
      </c>
      <c r="AW88" s="16">
        <v>0.60699999999999998</v>
      </c>
      <c r="AX88" s="16">
        <v>0.25109999999999999</v>
      </c>
    </row>
    <row r="89" spans="1:50" x14ac:dyDescent="0.25">
      <c r="A89" s="17" t="s">
        <v>299</v>
      </c>
      <c r="B89" s="13" t="s">
        <v>222</v>
      </c>
      <c r="C89" s="18">
        <v>8.1000000000000003E-2</v>
      </c>
      <c r="D89" s="18">
        <v>0.27960000000000002</v>
      </c>
      <c r="E89" s="18">
        <v>4.9000000000000002E-2</v>
      </c>
      <c r="F89" s="18">
        <v>0.2026</v>
      </c>
      <c r="G89" s="18">
        <v>0.15790000000000001</v>
      </c>
      <c r="H89" s="18">
        <v>4.9000000000000002E-2</v>
      </c>
      <c r="I89" s="18">
        <v>0.1356</v>
      </c>
      <c r="J89" s="18">
        <v>0.20100000000000001</v>
      </c>
      <c r="K89" s="18">
        <v>7.2999999999999995E-2</v>
      </c>
      <c r="L89" s="18">
        <v>0.19789999999999999</v>
      </c>
      <c r="M89" s="18">
        <v>0.16259999999999999</v>
      </c>
      <c r="N89" s="18">
        <v>0.1323</v>
      </c>
      <c r="O89" s="18">
        <v>0.22819999999999999</v>
      </c>
      <c r="P89" s="18">
        <v>4.9000000000000002E-2</v>
      </c>
      <c r="Q89" s="18">
        <v>0.22500000000000001</v>
      </c>
      <c r="R89" s="18">
        <v>4.9000000000000002E-2</v>
      </c>
      <c r="S89" s="18">
        <v>4.9000000000000002E-2</v>
      </c>
      <c r="T89" s="18">
        <v>0.2283</v>
      </c>
      <c r="U89" s="18">
        <v>0.13220000000000001</v>
      </c>
      <c r="V89" s="18">
        <v>4.9000000000000002E-2</v>
      </c>
      <c r="W89" s="18">
        <v>0.12590000000000001</v>
      </c>
      <c r="X89" s="18">
        <v>0.2346</v>
      </c>
      <c r="Y89" s="18">
        <v>4.9000000000000002E-2</v>
      </c>
      <c r="Z89" s="18">
        <v>0.24909999999999999</v>
      </c>
      <c r="AA89" s="18">
        <v>0.1114</v>
      </c>
      <c r="AB89" s="18">
        <v>0.16270000000000001</v>
      </c>
      <c r="AC89" s="18">
        <v>0.19789999999999999</v>
      </c>
      <c r="AD89" s="18">
        <v>4.9000000000000002E-2</v>
      </c>
      <c r="AE89" s="18">
        <v>0.27789999999999998</v>
      </c>
      <c r="AF89" s="18">
        <v>8.2699999999999996E-2</v>
      </c>
      <c r="AG89" s="18">
        <v>0.1308</v>
      </c>
      <c r="AH89" s="18">
        <v>0.2298</v>
      </c>
      <c r="AI89" s="18">
        <v>4.9000000000000002E-2</v>
      </c>
      <c r="AJ89" s="18">
        <v>4.9000000000000002E-2</v>
      </c>
      <c r="AK89" s="18">
        <v>0.1308</v>
      </c>
      <c r="AL89" s="18">
        <v>0.2298</v>
      </c>
      <c r="AM89" s="18">
        <v>0.15210000000000001</v>
      </c>
      <c r="AN89" s="18">
        <v>0.20899999999999999</v>
      </c>
      <c r="AO89" s="18">
        <v>6.5000000000000002E-2</v>
      </c>
      <c r="AP89" s="18">
        <v>9.06E-2</v>
      </c>
      <c r="AQ89" s="18">
        <v>0.27</v>
      </c>
      <c r="AR89" s="18">
        <v>4.9000000000000002E-2</v>
      </c>
      <c r="AS89" s="18">
        <v>0.31159999999999999</v>
      </c>
      <c r="AT89" s="18">
        <v>4.9000000000000002E-2</v>
      </c>
      <c r="AU89" s="18">
        <v>0.17699999999999999</v>
      </c>
      <c r="AV89" s="18">
        <v>9.7000000000000003E-2</v>
      </c>
      <c r="AW89" s="18">
        <v>8.1000000000000003E-2</v>
      </c>
      <c r="AX89" s="18">
        <v>0.193</v>
      </c>
    </row>
    <row r="90" spans="1:50" x14ac:dyDescent="0.25">
      <c r="A90" s="8" t="s">
        <v>146</v>
      </c>
      <c r="B90" s="10" t="s">
        <v>57</v>
      </c>
      <c r="C90" s="16">
        <v>0.33479999999999999</v>
      </c>
      <c r="D90" s="16">
        <v>1.2986</v>
      </c>
      <c r="E90" s="16">
        <v>0.4244</v>
      </c>
      <c r="F90" s="16">
        <v>0.1076</v>
      </c>
      <c r="G90" s="16">
        <v>0.12889999999999999</v>
      </c>
      <c r="H90" s="16">
        <v>0.19350000000000001</v>
      </c>
      <c r="I90" s="16">
        <v>4.2999999999999997E-2</v>
      </c>
      <c r="J90" s="16">
        <v>0.18360000000000001</v>
      </c>
      <c r="K90" s="16">
        <v>0.12089999999999999</v>
      </c>
      <c r="L90" s="16">
        <v>6.88E-2</v>
      </c>
      <c r="M90" s="16">
        <v>0.20699999999999999</v>
      </c>
      <c r="N90" s="16">
        <v>0.1076</v>
      </c>
      <c r="O90" s="16">
        <v>0.21490000000000001</v>
      </c>
      <c r="P90" s="16">
        <v>4.2999999999999997E-2</v>
      </c>
      <c r="Q90" s="16">
        <v>0.1074</v>
      </c>
      <c r="R90" s="16">
        <v>0.33600000000000002</v>
      </c>
      <c r="S90" s="16">
        <v>0.1331</v>
      </c>
      <c r="T90" s="16">
        <v>0.3342</v>
      </c>
      <c r="U90" s="16">
        <v>0.21440000000000001</v>
      </c>
      <c r="V90" s="16">
        <v>0.1326</v>
      </c>
      <c r="W90" s="16">
        <v>0.1076</v>
      </c>
      <c r="X90" s="16">
        <v>0.1055</v>
      </c>
      <c r="Y90" s="16">
        <v>0.156</v>
      </c>
      <c r="Z90" s="16">
        <v>0.1159</v>
      </c>
      <c r="AA90" s="16">
        <v>0.40960000000000002</v>
      </c>
      <c r="AB90" s="16">
        <v>0.14710000000000001</v>
      </c>
      <c r="AC90" s="16">
        <v>5.9700000000000003E-2</v>
      </c>
      <c r="AD90" s="16">
        <v>0.19700000000000001</v>
      </c>
      <c r="AE90" s="16">
        <v>0.20849999999999999</v>
      </c>
      <c r="AF90" s="16">
        <v>0.2727</v>
      </c>
      <c r="AG90" s="16">
        <v>8.2100000000000006E-2</v>
      </c>
      <c r="AH90" s="16">
        <v>0.1076</v>
      </c>
      <c r="AI90" s="16">
        <v>0.1211</v>
      </c>
      <c r="AJ90" s="16">
        <v>0.13669999999999999</v>
      </c>
      <c r="AK90" s="16">
        <v>0.1076</v>
      </c>
      <c r="AL90" s="16">
        <v>0.21490000000000001</v>
      </c>
      <c r="AM90" s="16">
        <v>5.74E-2</v>
      </c>
      <c r="AN90" s="16">
        <v>0.2651</v>
      </c>
      <c r="AO90" s="16">
        <v>0.10150000000000001</v>
      </c>
      <c r="AP90" s="16">
        <v>0.31809999999999999</v>
      </c>
      <c r="AQ90" s="16">
        <v>0.50590000000000002</v>
      </c>
      <c r="AR90" s="16">
        <v>0.4299</v>
      </c>
      <c r="AS90" s="16">
        <v>0.48749999999999999</v>
      </c>
      <c r="AT90" s="16">
        <v>0.32069999999999999</v>
      </c>
      <c r="AU90" s="16">
        <v>0.6321</v>
      </c>
      <c r="AV90" s="16">
        <v>0.45019999999999999</v>
      </c>
      <c r="AW90" s="16">
        <v>0.46279999999999999</v>
      </c>
      <c r="AX90" s="16">
        <v>0.2833</v>
      </c>
    </row>
    <row r="91" spans="1:50" x14ac:dyDescent="0.25">
      <c r="A91" s="8" t="s">
        <v>148</v>
      </c>
      <c r="B91" s="10" t="s">
        <v>57</v>
      </c>
      <c r="C91" s="16">
        <v>5.3999999999999999E-2</v>
      </c>
      <c r="D91" s="16">
        <v>5.3999999999999999E-2</v>
      </c>
      <c r="E91" s="16">
        <v>0.22919999999999999</v>
      </c>
      <c r="F91" s="16">
        <v>5.3999999999999999E-2</v>
      </c>
      <c r="G91" s="16">
        <v>0.20530000000000001</v>
      </c>
      <c r="H91" s="16">
        <v>7.7899999999999997E-2</v>
      </c>
      <c r="I91" s="16">
        <v>5.3999999999999999E-2</v>
      </c>
      <c r="J91" s="16">
        <v>0.22919999999999999</v>
      </c>
      <c r="K91" s="16">
        <v>5.3999999999999999E-2</v>
      </c>
      <c r="L91" s="16">
        <v>0.17349999999999999</v>
      </c>
      <c r="M91" s="16">
        <v>0.10979999999999999</v>
      </c>
      <c r="N91" s="16">
        <v>5.3999999999999999E-2</v>
      </c>
      <c r="O91" s="16">
        <v>0.22919999999999999</v>
      </c>
      <c r="P91" s="16">
        <v>5.3999999999999999E-2</v>
      </c>
      <c r="Q91" s="16">
        <v>0.25559999999999999</v>
      </c>
      <c r="R91" s="16">
        <v>0.34200000000000003</v>
      </c>
      <c r="S91" s="16">
        <v>0.21529999999999999</v>
      </c>
      <c r="T91" s="16">
        <v>0.33100000000000002</v>
      </c>
      <c r="U91" s="16">
        <v>0.29249999999999998</v>
      </c>
      <c r="V91" s="16">
        <v>0.24249999999999999</v>
      </c>
      <c r="W91" s="16">
        <v>0.39850000000000002</v>
      </c>
      <c r="X91" s="16">
        <v>0.11169999999999999</v>
      </c>
      <c r="Y91" s="16">
        <v>0.16669999999999999</v>
      </c>
      <c r="Z91" s="16">
        <v>0.1686</v>
      </c>
      <c r="AA91" s="16">
        <v>5.3999999999999999E-2</v>
      </c>
      <c r="AB91" s="16">
        <v>0.1416</v>
      </c>
      <c r="AC91" s="16">
        <v>0.1416</v>
      </c>
      <c r="AD91" s="16">
        <v>5.7500000000000002E-2</v>
      </c>
      <c r="AE91" s="16">
        <v>0.18940000000000001</v>
      </c>
      <c r="AF91" s="16">
        <v>9.3799999999999994E-2</v>
      </c>
      <c r="AG91" s="16">
        <v>9.4899999999999998E-2</v>
      </c>
      <c r="AH91" s="16">
        <v>0.3019</v>
      </c>
      <c r="AI91" s="16">
        <v>0.14699999999999999</v>
      </c>
      <c r="AJ91" s="16">
        <v>0.29799999999999999</v>
      </c>
      <c r="AK91" s="16">
        <v>0.1404</v>
      </c>
      <c r="AL91" s="16">
        <v>0.13700000000000001</v>
      </c>
      <c r="AM91" s="16">
        <v>0.2954</v>
      </c>
      <c r="AN91" s="16">
        <v>0.11600000000000001</v>
      </c>
      <c r="AO91" s="16">
        <v>0.33850000000000002</v>
      </c>
      <c r="AP91" s="16">
        <v>0.35649999999999998</v>
      </c>
      <c r="AQ91" s="16">
        <v>0.39900000000000002</v>
      </c>
      <c r="AR91" s="16">
        <v>0.58240000000000003</v>
      </c>
      <c r="AS91" s="16">
        <v>0.63959999999999995</v>
      </c>
      <c r="AT91" s="16">
        <v>0.53969999999999996</v>
      </c>
      <c r="AU91" s="16">
        <v>0.6129</v>
      </c>
      <c r="AV91" s="16">
        <v>0.39750000000000002</v>
      </c>
      <c r="AW91" s="16">
        <v>0.42859999999999998</v>
      </c>
      <c r="AX91" s="16">
        <v>9.3799999999999994E-2</v>
      </c>
    </row>
    <row r="92" spans="1:50" x14ac:dyDescent="0.25">
      <c r="A92" s="17" t="s">
        <v>301</v>
      </c>
      <c r="B92" s="13" t="s">
        <v>222</v>
      </c>
      <c r="C92" s="18">
        <v>0.06</v>
      </c>
      <c r="D92" s="18">
        <v>0.24279999999999999</v>
      </c>
      <c r="E92" s="18">
        <v>0.152</v>
      </c>
      <c r="F92" s="18">
        <v>0.19020000000000001</v>
      </c>
      <c r="G92" s="18">
        <v>0.18490000000000001</v>
      </c>
      <c r="H92" s="18">
        <v>0.2099</v>
      </c>
      <c r="I92" s="18">
        <v>0.06</v>
      </c>
      <c r="J92" s="18">
        <v>0.33479999999999999</v>
      </c>
      <c r="K92" s="18">
        <v>0.06</v>
      </c>
      <c r="L92" s="18">
        <v>0.19040000000000001</v>
      </c>
      <c r="M92" s="18">
        <v>0.2044</v>
      </c>
      <c r="N92" s="18">
        <v>0.06</v>
      </c>
      <c r="O92" s="18">
        <v>0.33479999999999999</v>
      </c>
      <c r="P92" s="18">
        <v>0.06</v>
      </c>
      <c r="Q92" s="18">
        <v>0.28889999999999999</v>
      </c>
      <c r="R92" s="18">
        <v>0.10589999999999999</v>
      </c>
      <c r="S92" s="18">
        <v>0.1386</v>
      </c>
      <c r="T92" s="18">
        <v>0.25619999999999998</v>
      </c>
      <c r="U92" s="18">
        <v>0.06</v>
      </c>
      <c r="V92" s="18">
        <v>8.6300000000000002E-2</v>
      </c>
      <c r="W92" s="18">
        <v>0.27600000000000002</v>
      </c>
      <c r="X92" s="18">
        <v>9.2499999999999999E-2</v>
      </c>
      <c r="Y92" s="18">
        <v>0.152</v>
      </c>
      <c r="Z92" s="18">
        <v>0.11260000000000001</v>
      </c>
      <c r="AA92" s="18">
        <v>0.06</v>
      </c>
      <c r="AB92" s="18">
        <v>0.2046</v>
      </c>
      <c r="AC92" s="18">
        <v>0.19020000000000001</v>
      </c>
      <c r="AD92" s="18">
        <v>0.41710000000000003</v>
      </c>
      <c r="AE92" s="18">
        <v>0.20760000000000001</v>
      </c>
      <c r="AF92" s="18">
        <v>0.23980000000000001</v>
      </c>
      <c r="AG92" s="18">
        <v>0.12570000000000001</v>
      </c>
      <c r="AH92" s="18">
        <v>0.1186</v>
      </c>
      <c r="AI92" s="18">
        <v>0.1908</v>
      </c>
      <c r="AJ92" s="18">
        <v>0.17799999999999999</v>
      </c>
      <c r="AK92" s="18">
        <v>0.1774</v>
      </c>
      <c r="AL92" s="18">
        <v>0.29630000000000001</v>
      </c>
      <c r="AM92" s="18">
        <v>0.35149999999999998</v>
      </c>
      <c r="AN92" s="18">
        <v>0.2009</v>
      </c>
      <c r="AO92" s="18">
        <v>0.64939999999999998</v>
      </c>
      <c r="AP92" s="18">
        <v>0.66869999999999996</v>
      </c>
      <c r="AQ92" s="18">
        <v>1.3503000000000001</v>
      </c>
      <c r="AR92" s="18">
        <v>1.3382000000000001</v>
      </c>
      <c r="AS92" s="18">
        <v>0.7974</v>
      </c>
      <c r="AT92" s="18">
        <v>1.0016</v>
      </c>
      <c r="AU92" s="18">
        <v>1.3008999999999999</v>
      </c>
      <c r="AV92" s="18">
        <v>1.0223</v>
      </c>
      <c r="AW92" s="18">
        <v>0.875</v>
      </c>
      <c r="AX92" s="18">
        <v>0.52159999999999995</v>
      </c>
    </row>
    <row r="93" spans="1:50" x14ac:dyDescent="0.25">
      <c r="A93" s="8" t="s">
        <v>150</v>
      </c>
      <c r="B93" s="10" t="s">
        <v>57</v>
      </c>
      <c r="C93" s="16">
        <v>0.18329999999999999</v>
      </c>
      <c r="D93" s="16">
        <v>0.15909999999999999</v>
      </c>
      <c r="E93" s="16">
        <v>3.6999999999999998E-2</v>
      </c>
      <c r="F93" s="16">
        <v>0.1394</v>
      </c>
      <c r="G93" s="16">
        <v>0.20300000000000001</v>
      </c>
      <c r="H93" s="16">
        <v>5.4100000000000002E-2</v>
      </c>
      <c r="I93" s="16">
        <v>0.20760000000000001</v>
      </c>
      <c r="J93" s="16">
        <v>3.6999999999999998E-2</v>
      </c>
      <c r="K93" s="16">
        <v>0.15690000000000001</v>
      </c>
      <c r="L93" s="16">
        <v>0.20780000000000001</v>
      </c>
      <c r="M93" s="16">
        <v>6.1699999999999998E-2</v>
      </c>
      <c r="N93" s="16">
        <v>0.1774</v>
      </c>
      <c r="O93" s="16">
        <v>0.1694</v>
      </c>
      <c r="P93" s="16">
        <v>0.1132</v>
      </c>
      <c r="Q93" s="16">
        <v>0.25290000000000001</v>
      </c>
      <c r="R93" s="16">
        <v>4.9000000000000002E-2</v>
      </c>
      <c r="S93" s="16">
        <v>0.2049</v>
      </c>
      <c r="T93" s="16">
        <v>0.1613</v>
      </c>
      <c r="U93" s="16">
        <v>0.1043</v>
      </c>
      <c r="V93" s="16">
        <v>0.24460000000000001</v>
      </c>
      <c r="W93" s="16">
        <v>0.1608</v>
      </c>
      <c r="X93" s="16">
        <v>0.27450000000000002</v>
      </c>
      <c r="Y93" s="16">
        <v>0.33989999999999998</v>
      </c>
      <c r="Z93" s="16">
        <v>0.98709999999999998</v>
      </c>
      <c r="AA93" s="16">
        <v>0.29160000000000003</v>
      </c>
      <c r="AB93" s="16">
        <v>0.2177</v>
      </c>
      <c r="AC93" s="16">
        <v>0.18190000000000001</v>
      </c>
      <c r="AD93" s="16">
        <v>0.19320000000000001</v>
      </c>
      <c r="AE93" s="16">
        <v>0.31530000000000002</v>
      </c>
      <c r="AF93" s="16">
        <v>1.7102999999999999</v>
      </c>
      <c r="AG93" s="16">
        <v>0.81030000000000002</v>
      </c>
      <c r="AH93" s="16">
        <v>0.26150000000000001</v>
      </c>
      <c r="AI93" s="16">
        <v>1.2081</v>
      </c>
      <c r="AJ93" s="16">
        <v>0.83199999999999996</v>
      </c>
      <c r="AK93" s="16">
        <v>0.30759999999999998</v>
      </c>
      <c r="AL93" s="16">
        <v>0.21110000000000001</v>
      </c>
      <c r="AM93" s="16">
        <v>0.2316</v>
      </c>
      <c r="AN93" s="16">
        <v>0.45169999999999999</v>
      </c>
      <c r="AO93" s="16">
        <v>0.31190000000000001</v>
      </c>
      <c r="AP93" s="16">
        <v>0.52110000000000001</v>
      </c>
      <c r="AQ93" s="16">
        <v>0.82609999999999995</v>
      </c>
      <c r="AR93" s="16">
        <v>1.4494</v>
      </c>
      <c r="AS93" s="16">
        <v>0.44</v>
      </c>
      <c r="AT93" s="16">
        <v>0.32869999999999999</v>
      </c>
      <c r="AU93" s="16">
        <v>0.1474</v>
      </c>
      <c r="AV93" s="16">
        <v>0.44009999999999999</v>
      </c>
      <c r="AW93" s="16">
        <v>0.26879999999999998</v>
      </c>
      <c r="AX93" s="16">
        <v>0.29599999999999999</v>
      </c>
    </row>
    <row r="94" spans="1:50" x14ac:dyDescent="0.25">
      <c r="A94" s="8" t="s">
        <v>152</v>
      </c>
      <c r="B94" s="10" t="s">
        <v>57</v>
      </c>
      <c r="C94" s="16">
        <v>4.1000000000000002E-2</v>
      </c>
      <c r="D94" s="16">
        <v>0.112</v>
      </c>
      <c r="E94" s="16">
        <v>4.1000000000000002E-2</v>
      </c>
      <c r="F94" s="16">
        <v>0.112</v>
      </c>
      <c r="G94" s="16">
        <v>4.1000000000000002E-2</v>
      </c>
      <c r="H94" s="16">
        <v>0.112</v>
      </c>
      <c r="I94" s="16">
        <v>4.1000000000000002E-2</v>
      </c>
      <c r="J94" s="16">
        <v>4.1000000000000002E-2</v>
      </c>
      <c r="K94" s="16">
        <v>4.1000000000000002E-2</v>
      </c>
      <c r="L94" s="16">
        <v>4.1000000000000002E-2</v>
      </c>
      <c r="M94" s="16">
        <v>8.0399999999999999E-2</v>
      </c>
      <c r="N94" s="16">
        <v>7.2499999999999995E-2</v>
      </c>
      <c r="O94" s="16">
        <v>1.3923000000000001</v>
      </c>
      <c r="P94" s="16">
        <v>0.2898</v>
      </c>
      <c r="Q94" s="16">
        <v>4.8300000000000003E-2</v>
      </c>
      <c r="R94" s="16">
        <v>9.2299999999999993E-2</v>
      </c>
      <c r="S94" s="16">
        <v>6.4799999999999996E-2</v>
      </c>
      <c r="T94" s="16">
        <v>4.1000000000000002E-2</v>
      </c>
      <c r="U94" s="16">
        <v>0.112</v>
      </c>
      <c r="V94" s="16">
        <v>4.1000000000000002E-2</v>
      </c>
      <c r="W94" s="16">
        <v>4.1000000000000002E-2</v>
      </c>
      <c r="X94" s="16">
        <v>0.112</v>
      </c>
      <c r="Y94" s="16">
        <v>4.1000000000000002E-2</v>
      </c>
      <c r="Z94" s="16">
        <v>4.1000000000000002E-2</v>
      </c>
      <c r="AA94" s="16">
        <v>4.2000000000000003E-2</v>
      </c>
      <c r="AB94" s="16">
        <v>0.10340000000000001</v>
      </c>
      <c r="AC94" s="16">
        <v>0.21099999999999999</v>
      </c>
      <c r="AD94" s="16">
        <v>0.36420000000000002</v>
      </c>
      <c r="AE94" s="16">
        <v>0.2427</v>
      </c>
      <c r="AF94" s="16">
        <v>0.34849999999999998</v>
      </c>
      <c r="AG94" s="16">
        <v>0.2646</v>
      </c>
      <c r="AH94" s="16">
        <v>0.39240000000000003</v>
      </c>
      <c r="AI94" s="16">
        <v>0.41830000000000001</v>
      </c>
      <c r="AJ94" s="16">
        <v>0.21809999999999999</v>
      </c>
      <c r="AK94" s="16">
        <v>0.27879999999999999</v>
      </c>
      <c r="AL94" s="16">
        <v>0.3901</v>
      </c>
      <c r="AM94" s="16">
        <v>1.3274999999999999</v>
      </c>
      <c r="AN94" s="16">
        <v>1.8434999999999999</v>
      </c>
      <c r="AO94" s="16">
        <v>0.73099999999999998</v>
      </c>
      <c r="AP94" s="16">
        <v>0.25259999999999999</v>
      </c>
      <c r="AQ94" s="16">
        <v>0.37990000000000002</v>
      </c>
      <c r="AR94" s="16">
        <v>0.37</v>
      </c>
      <c r="AS94" s="16">
        <v>0.3221</v>
      </c>
      <c r="AT94" s="16">
        <v>0.3614</v>
      </c>
      <c r="AU94" s="16">
        <v>0.19359999999999999</v>
      </c>
      <c r="AV94" s="16">
        <v>4.1000000000000002E-2</v>
      </c>
      <c r="AW94" s="16">
        <v>0.112</v>
      </c>
      <c r="AX94" s="16">
        <v>4.1000000000000002E-2</v>
      </c>
    </row>
    <row r="95" spans="1:50" x14ac:dyDescent="0.25">
      <c r="A95" s="8" t="s">
        <v>154</v>
      </c>
      <c r="B95" s="10" t="s">
        <v>57</v>
      </c>
      <c r="C95" s="16">
        <v>5.1999999999999998E-2</v>
      </c>
      <c r="D95" s="16">
        <v>0.1186</v>
      </c>
      <c r="E95" s="16">
        <v>0.1613</v>
      </c>
      <c r="F95" s="16">
        <v>5.1999999999999998E-2</v>
      </c>
      <c r="G95" s="16">
        <v>0.22789999999999999</v>
      </c>
      <c r="H95" s="16">
        <v>5.1999999999999998E-2</v>
      </c>
      <c r="I95" s="16">
        <v>0.1186</v>
      </c>
      <c r="J95" s="16">
        <v>0.1613</v>
      </c>
      <c r="K95" s="16">
        <v>5.1999999999999998E-2</v>
      </c>
      <c r="L95" s="16">
        <v>5.1999999999999998E-2</v>
      </c>
      <c r="M95" s="16">
        <v>0.11210000000000001</v>
      </c>
      <c r="N95" s="16">
        <v>0.1012</v>
      </c>
      <c r="O95" s="16">
        <v>0.1678</v>
      </c>
      <c r="P95" s="16">
        <v>0.11210000000000001</v>
      </c>
      <c r="Q95" s="16">
        <v>0.27729999999999999</v>
      </c>
      <c r="R95" s="16">
        <v>0.31130000000000002</v>
      </c>
      <c r="S95" s="16">
        <v>0.53420000000000001</v>
      </c>
      <c r="T95" s="16">
        <v>0.39179999999999998</v>
      </c>
      <c r="U95" s="16">
        <v>0.30890000000000001</v>
      </c>
      <c r="V95" s="16">
        <v>0.24399999999999999</v>
      </c>
      <c r="W95" s="16">
        <v>5.1999999999999998E-2</v>
      </c>
      <c r="X95" s="16">
        <v>5.1999999999999998E-2</v>
      </c>
      <c r="Y95" s="16">
        <v>6.6799999999999998E-2</v>
      </c>
      <c r="Z95" s="16">
        <v>0.1038</v>
      </c>
      <c r="AA95" s="16">
        <v>0.1613</v>
      </c>
      <c r="AB95" s="16">
        <v>0.1186</v>
      </c>
      <c r="AC95" s="16">
        <v>0.1613</v>
      </c>
      <c r="AD95" s="16">
        <v>5.1999999999999998E-2</v>
      </c>
      <c r="AE95" s="16">
        <v>9.2700000000000005E-2</v>
      </c>
      <c r="AF95" s="16">
        <v>0.13250000000000001</v>
      </c>
      <c r="AG95" s="16">
        <v>0.114</v>
      </c>
      <c r="AH95" s="16">
        <v>0.1658</v>
      </c>
      <c r="AI95" s="16">
        <v>0.1066</v>
      </c>
      <c r="AJ95" s="16">
        <v>0.1186</v>
      </c>
      <c r="AK95" s="16">
        <v>0.1613</v>
      </c>
      <c r="AL95" s="16">
        <v>0.1186</v>
      </c>
      <c r="AM95" s="16">
        <v>0.15579999999999999</v>
      </c>
      <c r="AN95" s="16">
        <v>5.7500000000000002E-2</v>
      </c>
      <c r="AO95" s="16">
        <v>5.1999999999999998E-2</v>
      </c>
      <c r="AP95" s="16">
        <v>0.21690000000000001</v>
      </c>
      <c r="AQ95" s="16">
        <v>6.2899999999999998E-2</v>
      </c>
      <c r="AR95" s="16">
        <v>0.38319999999999999</v>
      </c>
      <c r="AS95" s="16">
        <v>0.495</v>
      </c>
      <c r="AT95" s="16">
        <v>0.45269999999999999</v>
      </c>
      <c r="AU95" s="16">
        <v>0.24979999999999999</v>
      </c>
      <c r="AV95" s="16">
        <v>0.21310000000000001</v>
      </c>
      <c r="AW95" s="16">
        <v>6.6799999999999998E-2</v>
      </c>
      <c r="AX95" s="16">
        <v>7.0499999999999993E-2</v>
      </c>
    </row>
    <row r="96" spans="1:50" x14ac:dyDescent="0.25">
      <c r="A96" s="8" t="s">
        <v>156</v>
      </c>
      <c r="B96" s="10" t="s">
        <v>57</v>
      </c>
      <c r="C96" s="16">
        <v>4.1000000000000002E-2</v>
      </c>
      <c r="D96" s="16">
        <v>0.18770000000000001</v>
      </c>
      <c r="E96" s="16">
        <v>0.2482</v>
      </c>
      <c r="F96" s="16">
        <v>4.1000000000000002E-2</v>
      </c>
      <c r="G96" s="16">
        <v>0.25419999999999998</v>
      </c>
      <c r="H96" s="16">
        <v>0.1817</v>
      </c>
      <c r="I96" s="16">
        <v>6.5500000000000003E-2</v>
      </c>
      <c r="J96" s="16">
        <v>0.15290000000000001</v>
      </c>
      <c r="K96" s="16">
        <v>0.1817</v>
      </c>
      <c r="L96" s="16">
        <v>0.1633</v>
      </c>
      <c r="M96" s="16">
        <v>0.1178</v>
      </c>
      <c r="N96" s="16">
        <v>0.31809999999999999</v>
      </c>
      <c r="O96" s="16">
        <v>4.1000000000000002E-2</v>
      </c>
      <c r="P96" s="16">
        <v>0.27010000000000001</v>
      </c>
      <c r="Q96" s="16">
        <v>0.1658</v>
      </c>
      <c r="R96" s="16">
        <v>7.6600000000000001E-2</v>
      </c>
      <c r="S96" s="16">
        <v>0.40360000000000001</v>
      </c>
      <c r="T96" s="16">
        <v>0.31809999999999999</v>
      </c>
      <c r="U96" s="16">
        <v>0.1043</v>
      </c>
      <c r="V96" s="16">
        <v>0.71289999999999998</v>
      </c>
      <c r="W96" s="16">
        <v>1.8022</v>
      </c>
      <c r="X96" s="16">
        <v>0.87749999999999995</v>
      </c>
      <c r="Y96" s="16">
        <v>0.4</v>
      </c>
      <c r="Z96" s="16">
        <v>0.2339</v>
      </c>
      <c r="AA96" s="16">
        <v>0.33090000000000003</v>
      </c>
      <c r="AB96" s="16">
        <v>4.1000000000000002E-2</v>
      </c>
      <c r="AC96" s="16">
        <v>0.1958</v>
      </c>
      <c r="AD96" s="16">
        <v>0.1633</v>
      </c>
      <c r="AE96" s="16">
        <v>9.7299999999999998E-2</v>
      </c>
      <c r="AF96" s="16">
        <v>0.13950000000000001</v>
      </c>
      <c r="AG96" s="16">
        <v>0.19120000000000001</v>
      </c>
      <c r="AH96" s="16">
        <v>0.2447</v>
      </c>
      <c r="AI96" s="16">
        <v>4.1000000000000002E-2</v>
      </c>
      <c r="AJ96" s="16">
        <v>0.2697</v>
      </c>
      <c r="AK96" s="16">
        <v>0.1103</v>
      </c>
      <c r="AL96" s="16">
        <v>0.13489999999999999</v>
      </c>
      <c r="AM96" s="16">
        <v>0.32669999999999999</v>
      </c>
      <c r="AN96" s="16">
        <v>0.28010000000000002</v>
      </c>
      <c r="AO96" s="16">
        <v>0.3054</v>
      </c>
      <c r="AP96" s="16">
        <v>0.2802</v>
      </c>
      <c r="AQ96" s="16">
        <v>0.46779999999999999</v>
      </c>
      <c r="AR96" s="16">
        <v>0.61570000000000003</v>
      </c>
      <c r="AS96" s="16">
        <v>0.35439999999999999</v>
      </c>
      <c r="AT96" s="16">
        <v>0.24829999999999999</v>
      </c>
      <c r="AU96" s="16">
        <v>0.13300000000000001</v>
      </c>
      <c r="AV96" s="16">
        <v>0.3226</v>
      </c>
      <c r="AW96" s="16">
        <v>0.1133</v>
      </c>
      <c r="AX96" s="16">
        <v>0.20580000000000001</v>
      </c>
    </row>
    <row r="97" spans="1:50" x14ac:dyDescent="0.25">
      <c r="A97" s="17" t="s">
        <v>303</v>
      </c>
      <c r="B97" s="13" t="s">
        <v>222</v>
      </c>
      <c r="C97" s="18">
        <v>5.2999999999999999E-2</v>
      </c>
      <c r="D97" s="18">
        <v>5.2999999999999999E-2</v>
      </c>
      <c r="E97" s="18">
        <v>5.2999999999999999E-2</v>
      </c>
      <c r="F97" s="18">
        <v>5.2999999999999999E-2</v>
      </c>
      <c r="G97" s="18">
        <v>5.2999999999999999E-2</v>
      </c>
      <c r="H97" s="18">
        <v>5.2999999999999999E-2</v>
      </c>
      <c r="I97" s="18">
        <v>5.2999999999999999E-2</v>
      </c>
      <c r="J97" s="18">
        <v>5.2999999999999999E-2</v>
      </c>
      <c r="K97" s="18">
        <v>5.2999999999999999E-2</v>
      </c>
      <c r="L97" s="18">
        <v>5.2999999999999999E-2</v>
      </c>
      <c r="M97" s="18">
        <v>5.2999999999999999E-2</v>
      </c>
      <c r="N97" s="18">
        <v>5.5199999999999999E-2</v>
      </c>
      <c r="O97" s="18">
        <v>0.128</v>
      </c>
      <c r="P97" s="18">
        <v>0.18</v>
      </c>
      <c r="Q97" s="18">
        <v>0.1399</v>
      </c>
      <c r="R97" s="18">
        <v>0.20180000000000001</v>
      </c>
      <c r="S97" s="18">
        <v>0.15920000000000001</v>
      </c>
      <c r="T97" s="18">
        <v>5.2999999999999999E-2</v>
      </c>
      <c r="U97" s="18">
        <v>0.14949999999999999</v>
      </c>
      <c r="V97" s="18">
        <v>0.23619999999999999</v>
      </c>
      <c r="W97" s="18">
        <v>0.1711</v>
      </c>
      <c r="X97" s="18">
        <v>9.2999999999999999E-2</v>
      </c>
      <c r="Y97" s="18">
        <v>1.3663000000000001</v>
      </c>
      <c r="Z97" s="18">
        <v>0.17849999999999999</v>
      </c>
      <c r="AA97" s="18">
        <v>0.247</v>
      </c>
      <c r="AB97" s="18">
        <v>9.98E-2</v>
      </c>
      <c r="AC97" s="18">
        <v>5.2999999999999999E-2</v>
      </c>
      <c r="AD97" s="18">
        <v>5.2999999999999999E-2</v>
      </c>
      <c r="AE97" s="18">
        <v>5.2999999999999999E-2</v>
      </c>
      <c r="AF97" s="18">
        <v>5.2999999999999999E-2</v>
      </c>
      <c r="AG97" s="18">
        <v>5.2999999999999999E-2</v>
      </c>
      <c r="AH97" s="18">
        <v>5.2999999999999999E-2</v>
      </c>
      <c r="AI97" s="18">
        <v>5.2999999999999999E-2</v>
      </c>
      <c r="AJ97" s="18">
        <v>5.2999999999999999E-2</v>
      </c>
      <c r="AK97" s="18">
        <v>5.2999999999999999E-2</v>
      </c>
      <c r="AL97" s="18">
        <v>5.2999999999999999E-2</v>
      </c>
      <c r="AM97" s="18">
        <v>9.3799999999999994E-2</v>
      </c>
      <c r="AN97" s="18">
        <v>0.1275</v>
      </c>
      <c r="AO97" s="18">
        <v>0.1115</v>
      </c>
      <c r="AP97" s="18">
        <v>0.46560000000000001</v>
      </c>
      <c r="AQ97" s="18">
        <v>0.2979</v>
      </c>
      <c r="AR97" s="18">
        <v>0.10009999999999999</v>
      </c>
      <c r="AS97" s="18">
        <v>5.2999999999999999E-2</v>
      </c>
      <c r="AT97" s="18">
        <v>5.2999999999999999E-2</v>
      </c>
      <c r="AU97" s="18">
        <v>0.48570000000000002</v>
      </c>
      <c r="AV97" s="18">
        <v>0.4521</v>
      </c>
      <c r="AW97" s="18">
        <v>0.71260000000000001</v>
      </c>
      <c r="AX97" s="18">
        <v>0.16089999999999999</v>
      </c>
    </row>
    <row r="98" spans="1:50" x14ac:dyDescent="0.25">
      <c r="A98" s="17" t="s">
        <v>305</v>
      </c>
      <c r="B98" s="13" t="s">
        <v>222</v>
      </c>
      <c r="C98" s="18">
        <v>5.8999999999999997E-2</v>
      </c>
      <c r="D98" s="18">
        <v>0.14749999999999999</v>
      </c>
      <c r="E98" s="18">
        <v>0.1203</v>
      </c>
      <c r="F98" s="18">
        <v>7.9399999999999998E-2</v>
      </c>
      <c r="G98" s="18">
        <v>0.18840000000000001</v>
      </c>
      <c r="H98" s="18">
        <v>5.8999999999999997E-2</v>
      </c>
      <c r="I98" s="18">
        <v>5.8999999999999997E-2</v>
      </c>
      <c r="J98" s="18">
        <v>0.20880000000000001</v>
      </c>
      <c r="K98" s="18">
        <v>5.8999999999999997E-2</v>
      </c>
      <c r="L98" s="18">
        <v>8.6199999999999999E-2</v>
      </c>
      <c r="M98" s="18">
        <v>0.18160000000000001</v>
      </c>
      <c r="N98" s="18">
        <v>5.8999999999999997E-2</v>
      </c>
      <c r="O98" s="18">
        <v>5.8999999999999997E-2</v>
      </c>
      <c r="P98" s="18">
        <v>0.20880000000000001</v>
      </c>
      <c r="Q98" s="18">
        <v>5.8999999999999997E-2</v>
      </c>
      <c r="R98" s="18">
        <v>0.20200000000000001</v>
      </c>
      <c r="S98" s="18">
        <v>0.1988</v>
      </c>
      <c r="T98" s="18">
        <v>0.49809999999999999</v>
      </c>
      <c r="U98" s="18">
        <v>0.2341</v>
      </c>
      <c r="V98" s="18">
        <v>0.31190000000000001</v>
      </c>
      <c r="W98" s="18">
        <v>0.55420000000000003</v>
      </c>
      <c r="X98" s="18">
        <v>0.47249999999999998</v>
      </c>
      <c r="Y98" s="18">
        <v>0.2271</v>
      </c>
      <c r="Z98" s="18">
        <v>0.38869999999999999</v>
      </c>
      <c r="AA98" s="18">
        <v>1.5262</v>
      </c>
      <c r="AB98" s="18">
        <v>0.31330000000000002</v>
      </c>
      <c r="AC98" s="18">
        <v>0.46139999999999998</v>
      </c>
      <c r="AD98" s="18">
        <v>0.46389999999999998</v>
      </c>
      <c r="AE98" s="18">
        <v>0.1002</v>
      </c>
      <c r="AF98" s="18">
        <v>0.1913</v>
      </c>
      <c r="AG98" s="18">
        <v>0.50629999999999997</v>
      </c>
      <c r="AH98" s="18">
        <v>0.74870000000000003</v>
      </c>
      <c r="AI98" s="18">
        <v>0.68730000000000002</v>
      </c>
      <c r="AJ98" s="18">
        <v>0.81879999999999997</v>
      </c>
      <c r="AK98" s="18">
        <v>0.33710000000000001</v>
      </c>
      <c r="AL98" s="18">
        <v>0.30869999999999997</v>
      </c>
      <c r="AM98" s="18">
        <v>0.45879999999999999</v>
      </c>
      <c r="AN98" s="18">
        <v>1.7736000000000001</v>
      </c>
      <c r="AO98" s="18">
        <v>0.3947</v>
      </c>
      <c r="AP98" s="18">
        <v>0.48370000000000002</v>
      </c>
      <c r="AQ98" s="18">
        <v>1.6739999999999999</v>
      </c>
      <c r="AR98" s="18">
        <v>0.53739999999999999</v>
      </c>
      <c r="AS98" s="18">
        <v>0.66080000000000005</v>
      </c>
      <c r="AT98" s="18">
        <v>0.99050000000000005</v>
      </c>
      <c r="AU98" s="18">
        <v>1.746</v>
      </c>
      <c r="AV98" s="18">
        <v>1.6349</v>
      </c>
      <c r="AW98" s="18">
        <v>0.76019999999999999</v>
      </c>
      <c r="AX98" s="18">
        <v>7.2599999999999998E-2</v>
      </c>
    </row>
    <row r="99" spans="1:50" x14ac:dyDescent="0.25">
      <c r="A99" s="17" t="s">
        <v>307</v>
      </c>
      <c r="B99" s="13" t="s">
        <v>222</v>
      </c>
      <c r="C99" s="18">
        <v>0.1105</v>
      </c>
      <c r="D99" s="18">
        <v>0.1409</v>
      </c>
      <c r="E99" s="18">
        <v>3.5999999999999997E-2</v>
      </c>
      <c r="F99" s="18">
        <v>6.5799999999999997E-2</v>
      </c>
      <c r="G99" s="18">
        <v>0.17019999999999999</v>
      </c>
      <c r="H99" s="18">
        <v>3.5999999999999997E-2</v>
      </c>
      <c r="I99" s="18">
        <v>0.2</v>
      </c>
      <c r="J99" s="18">
        <v>3.5999999999999997E-2</v>
      </c>
      <c r="K99" s="18">
        <v>3.5999999999999997E-2</v>
      </c>
      <c r="L99" s="18">
        <v>0.2</v>
      </c>
      <c r="M99" s="18">
        <v>3.5999999999999997E-2</v>
      </c>
      <c r="N99" s="18">
        <v>3.5999999999999997E-2</v>
      </c>
      <c r="O99" s="18">
        <v>0.2</v>
      </c>
      <c r="P99" s="18">
        <v>3.5999999999999997E-2</v>
      </c>
      <c r="Q99" s="18">
        <v>4.3499999999999997E-2</v>
      </c>
      <c r="R99" s="18">
        <v>0.215</v>
      </c>
      <c r="S99" s="18">
        <v>4.3499999999999997E-2</v>
      </c>
      <c r="T99" s="18">
        <v>4.8500000000000001E-2</v>
      </c>
      <c r="U99" s="18">
        <v>0.20449999999999999</v>
      </c>
      <c r="V99" s="18">
        <v>3.5999999999999997E-2</v>
      </c>
      <c r="W99" s="18">
        <v>5.0900000000000001E-2</v>
      </c>
      <c r="X99" s="18">
        <v>0.18509999999999999</v>
      </c>
      <c r="Y99" s="18">
        <v>3.5999999999999997E-2</v>
      </c>
      <c r="Z99" s="18">
        <v>8.0699999999999994E-2</v>
      </c>
      <c r="AA99" s="18">
        <v>0.1552</v>
      </c>
      <c r="AB99" s="18">
        <v>3.5999999999999997E-2</v>
      </c>
      <c r="AC99" s="18">
        <v>3.5999999999999997E-2</v>
      </c>
      <c r="AD99" s="18">
        <v>0.2026</v>
      </c>
      <c r="AE99" s="18">
        <v>0.3019</v>
      </c>
      <c r="AF99" s="18">
        <v>1.2070000000000001</v>
      </c>
      <c r="AG99" s="18">
        <v>9.0899999999999995E-2</v>
      </c>
      <c r="AH99" s="18">
        <v>0.12620000000000001</v>
      </c>
      <c r="AI99" s="18">
        <v>0.14299999999999999</v>
      </c>
      <c r="AJ99" s="18">
        <v>6.2700000000000006E-2</v>
      </c>
      <c r="AK99" s="18">
        <v>0.23830000000000001</v>
      </c>
      <c r="AL99" s="18">
        <v>6.1499999999999999E-2</v>
      </c>
      <c r="AM99" s="18">
        <v>0.04</v>
      </c>
      <c r="AN99" s="18">
        <v>0.1454</v>
      </c>
      <c r="AO99" s="18">
        <v>0.24010000000000001</v>
      </c>
      <c r="AP99" s="18">
        <v>0.27100000000000002</v>
      </c>
      <c r="AQ99" s="18">
        <v>0.40079999999999999</v>
      </c>
      <c r="AR99" s="18">
        <v>0.39500000000000002</v>
      </c>
      <c r="AS99" s="18">
        <v>0.57140000000000002</v>
      </c>
      <c r="AT99" s="18">
        <v>0.59319999999999995</v>
      </c>
      <c r="AU99" s="18">
        <v>0.42230000000000001</v>
      </c>
      <c r="AV99" s="18">
        <v>0.43809999999999999</v>
      </c>
      <c r="AW99" s="18">
        <v>0.30570000000000003</v>
      </c>
      <c r="AX99" s="18">
        <v>0.30499999999999999</v>
      </c>
    </row>
    <row r="100" spans="1:50" x14ac:dyDescent="0.25">
      <c r="A100" s="17" t="s">
        <v>309</v>
      </c>
      <c r="B100" s="13" t="s">
        <v>222</v>
      </c>
      <c r="C100" s="18">
        <v>0.49890000000000001</v>
      </c>
      <c r="D100" s="18">
        <v>0.62129999999999996</v>
      </c>
      <c r="E100" s="18">
        <v>0.26790000000000003</v>
      </c>
      <c r="F100" s="18">
        <v>0.17649999999999999</v>
      </c>
      <c r="G100" s="18">
        <v>0.18659999999999999</v>
      </c>
      <c r="H100" s="18">
        <v>0.27210000000000001</v>
      </c>
      <c r="I100" s="18">
        <v>0.1794</v>
      </c>
      <c r="J100" s="18">
        <v>0.255</v>
      </c>
      <c r="K100" s="18">
        <v>0.15359999999999999</v>
      </c>
      <c r="L100" s="18">
        <v>0.17230000000000001</v>
      </c>
      <c r="M100" s="18">
        <v>0.16889999999999999</v>
      </c>
      <c r="N100" s="18">
        <v>0.28360000000000002</v>
      </c>
      <c r="O100" s="18">
        <v>0.12509999999999999</v>
      </c>
      <c r="P100" s="18">
        <v>0.14369999999999999</v>
      </c>
      <c r="Q100" s="18">
        <v>0.25890000000000002</v>
      </c>
      <c r="R100" s="18">
        <v>0.2321</v>
      </c>
      <c r="S100" s="18">
        <v>5.8000000000000003E-2</v>
      </c>
      <c r="T100" s="18">
        <v>0.21179999999999999</v>
      </c>
      <c r="U100" s="18">
        <v>0.22470000000000001</v>
      </c>
      <c r="V100" s="18">
        <v>0.2344</v>
      </c>
      <c r="W100" s="18">
        <v>0.14369999999999999</v>
      </c>
      <c r="X100" s="18">
        <v>0.20250000000000001</v>
      </c>
      <c r="Y100" s="18">
        <v>1.8257000000000001</v>
      </c>
      <c r="Z100" s="18">
        <v>2.081</v>
      </c>
      <c r="AA100" s="18">
        <v>0.64049999999999996</v>
      </c>
      <c r="AB100" s="18">
        <v>0.4047</v>
      </c>
      <c r="AC100" s="18">
        <v>0.38069999999999998</v>
      </c>
      <c r="AD100" s="18">
        <v>0.67159999999999997</v>
      </c>
      <c r="AE100" s="18">
        <v>0.1033</v>
      </c>
      <c r="AF100" s="18">
        <v>0.28510000000000002</v>
      </c>
      <c r="AG100" s="18">
        <v>0.2021</v>
      </c>
      <c r="AH100" s="18">
        <v>7.2300000000000003E-2</v>
      </c>
      <c r="AI100" s="18">
        <v>0.40350000000000003</v>
      </c>
      <c r="AJ100" s="18">
        <v>6.9400000000000003E-2</v>
      </c>
      <c r="AK100" s="18">
        <v>0.24079999999999999</v>
      </c>
      <c r="AL100" s="18">
        <v>0.2465</v>
      </c>
      <c r="AM100" s="18">
        <v>9.0999999999999998E-2</v>
      </c>
      <c r="AN100" s="18">
        <v>0.34279999999999999</v>
      </c>
      <c r="AO100" s="18">
        <v>0.59950000000000003</v>
      </c>
      <c r="AP100" s="18">
        <v>0.90539999999999998</v>
      </c>
      <c r="AQ100" s="18">
        <v>0.52549999999999997</v>
      </c>
      <c r="AR100" s="18">
        <v>0.96579999999999999</v>
      </c>
      <c r="AS100" s="18">
        <v>0.8125</v>
      </c>
      <c r="AT100" s="18">
        <v>0.72170000000000001</v>
      </c>
      <c r="AU100" s="18">
        <v>0.85929999999999995</v>
      </c>
      <c r="AV100" s="18">
        <v>0.92059999999999997</v>
      </c>
      <c r="AW100" s="18">
        <v>0.82199999999999995</v>
      </c>
      <c r="AX100" s="18">
        <v>0.23599999999999999</v>
      </c>
    </row>
    <row r="101" spans="1:50" x14ac:dyDescent="0.25">
      <c r="A101" s="17" t="s">
        <v>311</v>
      </c>
      <c r="B101" s="13" t="s">
        <v>222</v>
      </c>
      <c r="C101" s="18">
        <v>0.15210000000000001</v>
      </c>
      <c r="D101" s="18">
        <v>4.1000000000000002E-2</v>
      </c>
      <c r="E101" s="18">
        <v>0.24310000000000001</v>
      </c>
      <c r="F101" s="18">
        <v>4.1000000000000002E-2</v>
      </c>
      <c r="G101" s="18">
        <v>4.1000000000000002E-2</v>
      </c>
      <c r="H101" s="18">
        <v>0.21340000000000001</v>
      </c>
      <c r="I101" s="18">
        <v>7.0699999999999999E-2</v>
      </c>
      <c r="J101" s="18">
        <v>5.28E-2</v>
      </c>
      <c r="K101" s="18">
        <v>0.1754</v>
      </c>
      <c r="L101" s="18">
        <v>9.69E-2</v>
      </c>
      <c r="M101" s="18">
        <v>9.0399999999999994E-2</v>
      </c>
      <c r="N101" s="18">
        <v>0.19370000000000001</v>
      </c>
      <c r="O101" s="18">
        <v>4.1000000000000002E-2</v>
      </c>
      <c r="P101" s="18">
        <v>0.24310000000000001</v>
      </c>
      <c r="Q101" s="18">
        <v>4.1000000000000002E-2</v>
      </c>
      <c r="R101" s="18">
        <v>0.1188</v>
      </c>
      <c r="S101" s="18">
        <v>0.1653</v>
      </c>
      <c r="T101" s="18">
        <v>0.1129</v>
      </c>
      <c r="U101" s="18">
        <v>1.9726999999999999</v>
      </c>
      <c r="V101" s="18">
        <v>0.46660000000000001</v>
      </c>
      <c r="W101" s="18">
        <v>0.39960000000000001</v>
      </c>
      <c r="X101" s="18">
        <v>0.47370000000000001</v>
      </c>
      <c r="Y101" s="18">
        <v>0.1089</v>
      </c>
      <c r="Z101" s="18">
        <v>4.1000000000000002E-2</v>
      </c>
      <c r="AA101" s="18">
        <v>4.1000000000000002E-2</v>
      </c>
      <c r="AB101" s="18">
        <v>4.1000000000000002E-2</v>
      </c>
      <c r="AC101" s="18">
        <v>0.17119999999999999</v>
      </c>
      <c r="AD101" s="18">
        <v>5.7000000000000002E-2</v>
      </c>
      <c r="AE101" s="18">
        <v>0.12640000000000001</v>
      </c>
      <c r="AF101" s="18">
        <v>0.2626</v>
      </c>
      <c r="AG101" s="18">
        <v>0.20349999999999999</v>
      </c>
      <c r="AH101" s="18">
        <v>0.13059999999999999</v>
      </c>
      <c r="AI101" s="18">
        <v>9.7500000000000003E-2</v>
      </c>
      <c r="AJ101" s="18">
        <v>0.2341</v>
      </c>
      <c r="AK101" s="18">
        <v>0.14410000000000001</v>
      </c>
      <c r="AL101" s="18">
        <v>0.19650000000000001</v>
      </c>
      <c r="AM101" s="18">
        <v>0.29959999999999998</v>
      </c>
      <c r="AN101" s="18">
        <v>0.45750000000000002</v>
      </c>
      <c r="AO101" s="18">
        <v>0.27589999999999998</v>
      </c>
      <c r="AP101" s="18">
        <v>0.49430000000000002</v>
      </c>
      <c r="AQ101" s="18">
        <v>4.1000000000000002E-2</v>
      </c>
      <c r="AR101" s="18">
        <v>0.13569999999999999</v>
      </c>
      <c r="AS101" s="18">
        <v>0.41360000000000002</v>
      </c>
      <c r="AT101" s="18">
        <v>0.30230000000000001</v>
      </c>
      <c r="AU101" s="18">
        <v>0.57550000000000001</v>
      </c>
      <c r="AV101" s="18">
        <v>0.6764</v>
      </c>
      <c r="AW101" s="18">
        <v>0.44090000000000001</v>
      </c>
      <c r="AX101" s="18">
        <v>0.47260000000000002</v>
      </c>
    </row>
    <row r="102" spans="1:50" x14ac:dyDescent="0.25">
      <c r="A102" s="17" t="s">
        <v>313</v>
      </c>
      <c r="B102" s="13" t="s">
        <v>222</v>
      </c>
      <c r="C102" s="18">
        <v>5.5E-2</v>
      </c>
      <c r="D102" s="18">
        <v>0.31990000000000002</v>
      </c>
      <c r="E102" s="18">
        <v>6.1699999999999998E-2</v>
      </c>
      <c r="F102" s="18">
        <v>0.12590000000000001</v>
      </c>
      <c r="G102" s="18">
        <v>0.35149999999999998</v>
      </c>
      <c r="H102" s="18">
        <v>0.28029999999999999</v>
      </c>
      <c r="I102" s="18">
        <v>0.37269999999999998</v>
      </c>
      <c r="J102" s="18">
        <v>1.3461000000000001</v>
      </c>
      <c r="K102" s="18">
        <v>5.0500000000000003E-2</v>
      </c>
      <c r="L102" s="18">
        <v>0.1046</v>
      </c>
      <c r="M102" s="18">
        <v>3.6999999999999998E-2</v>
      </c>
      <c r="N102" s="18">
        <v>3.6999999999999998E-2</v>
      </c>
      <c r="O102" s="18">
        <v>0.1181</v>
      </c>
      <c r="P102" s="18">
        <v>3.6999999999999998E-2</v>
      </c>
      <c r="Q102" s="18">
        <v>0.1181</v>
      </c>
      <c r="R102" s="18">
        <v>0.1474</v>
      </c>
      <c r="S102" s="18">
        <v>0.3387</v>
      </c>
      <c r="T102" s="18">
        <v>0.1699</v>
      </c>
      <c r="U102" s="18">
        <v>1.7919</v>
      </c>
      <c r="V102" s="18">
        <v>0.97109999999999996</v>
      </c>
      <c r="W102" s="18">
        <v>0.31979999999999997</v>
      </c>
      <c r="X102" s="18">
        <v>9.0200000000000002E-2</v>
      </c>
      <c r="Y102" s="18">
        <v>0.1181</v>
      </c>
      <c r="Z102" s="18">
        <v>3.6999999999999998E-2</v>
      </c>
      <c r="AA102" s="18">
        <v>8.2000000000000003E-2</v>
      </c>
      <c r="AB102" s="18">
        <v>0.11119999999999999</v>
      </c>
      <c r="AC102" s="18">
        <v>0.25240000000000001</v>
      </c>
      <c r="AD102" s="18">
        <v>8.2799999999999999E-2</v>
      </c>
      <c r="AE102" s="18">
        <v>1.4080999999999999</v>
      </c>
      <c r="AF102" s="18">
        <v>0.31859999999999999</v>
      </c>
      <c r="AG102" s="18">
        <v>0.38440000000000002</v>
      </c>
      <c r="AH102" s="18">
        <v>3.6999999999999998E-2</v>
      </c>
      <c r="AI102" s="18">
        <v>0.46870000000000001</v>
      </c>
      <c r="AJ102" s="18">
        <v>0.24440000000000001</v>
      </c>
      <c r="AK102" s="18">
        <v>0.2364</v>
      </c>
      <c r="AL102" s="18">
        <v>0.18540000000000001</v>
      </c>
      <c r="AM102" s="18">
        <v>0.1782</v>
      </c>
      <c r="AN102" s="18">
        <v>0.14369999999999999</v>
      </c>
      <c r="AO102" s="18">
        <v>0.2281</v>
      </c>
      <c r="AP102" s="18">
        <v>0.39800000000000002</v>
      </c>
      <c r="AQ102" s="18">
        <v>0.6401</v>
      </c>
      <c r="AR102" s="18">
        <v>0.71860000000000002</v>
      </c>
      <c r="AS102" s="18">
        <v>0.48680000000000001</v>
      </c>
      <c r="AT102" s="18">
        <v>0.74219999999999997</v>
      </c>
      <c r="AU102" s="18">
        <v>1.3567</v>
      </c>
      <c r="AV102" s="18">
        <v>2.1454</v>
      </c>
      <c r="AW102" s="18">
        <v>0.84499999999999997</v>
      </c>
      <c r="AX102" s="18">
        <v>0.63890000000000002</v>
      </c>
    </row>
    <row r="103" spans="1:50" x14ac:dyDescent="0.25">
      <c r="A103" s="8" t="s">
        <v>158</v>
      </c>
      <c r="B103" s="10" t="s">
        <v>57</v>
      </c>
      <c r="C103" s="16">
        <v>4.2999999999999997E-2</v>
      </c>
      <c r="D103" s="16">
        <v>4.2999999999999997E-2</v>
      </c>
      <c r="E103" s="16">
        <v>0.39150000000000001</v>
      </c>
      <c r="F103" s="16">
        <v>0.21920000000000001</v>
      </c>
      <c r="G103" s="16">
        <v>0.22459999999999999</v>
      </c>
      <c r="H103" s="16">
        <v>0.1182</v>
      </c>
      <c r="I103" s="16">
        <v>4.2999999999999997E-2</v>
      </c>
      <c r="J103" s="16">
        <v>4.2999999999999997E-2</v>
      </c>
      <c r="K103" s="16">
        <v>0.1182</v>
      </c>
      <c r="L103" s="16">
        <v>4.2999999999999997E-2</v>
      </c>
      <c r="M103" s="16">
        <v>8.48E-2</v>
      </c>
      <c r="N103" s="16">
        <v>7.6399999999999996E-2</v>
      </c>
      <c r="O103" s="16">
        <v>4.2999999999999997E-2</v>
      </c>
      <c r="P103" s="16">
        <v>0.1182</v>
      </c>
      <c r="Q103" s="16">
        <v>4.2999999999999997E-2</v>
      </c>
      <c r="R103" s="16">
        <v>9.7299999999999998E-2</v>
      </c>
      <c r="S103" s="16">
        <v>6.3899999999999998E-2</v>
      </c>
      <c r="T103" s="16">
        <v>0.15659999999999999</v>
      </c>
      <c r="U103" s="16">
        <v>0.97030000000000005</v>
      </c>
      <c r="V103" s="16">
        <v>0.2427</v>
      </c>
      <c r="W103" s="16">
        <v>0.18729999999999999</v>
      </c>
      <c r="X103" s="16">
        <v>0.26729999999999998</v>
      </c>
      <c r="Y103" s="16">
        <v>0.33410000000000001</v>
      </c>
      <c r="Z103" s="16">
        <v>1.0895999999999999</v>
      </c>
      <c r="AA103" s="16">
        <v>0.44569999999999999</v>
      </c>
      <c r="AB103" s="16">
        <v>0.67259999999999998</v>
      </c>
      <c r="AC103" s="16">
        <v>1.4895</v>
      </c>
      <c r="AD103" s="16">
        <v>2.0190999999999999</v>
      </c>
      <c r="AE103" s="16">
        <v>3.3654000000000002</v>
      </c>
      <c r="AF103" s="16">
        <v>1.9333</v>
      </c>
      <c r="AG103" s="16">
        <v>7.6399999999999996E-2</v>
      </c>
      <c r="AH103" s="16">
        <v>4.8500000000000001E-2</v>
      </c>
      <c r="AI103" s="16">
        <v>0.2104</v>
      </c>
      <c r="AJ103" s="16">
        <v>0.13930000000000001</v>
      </c>
      <c r="AK103" s="16">
        <v>0.2109</v>
      </c>
      <c r="AL103" s="16">
        <v>0.74160000000000004</v>
      </c>
      <c r="AM103" s="16">
        <v>1.9542999999999999</v>
      </c>
      <c r="AN103" s="16">
        <v>0.37959999999999999</v>
      </c>
      <c r="AO103" s="16">
        <v>0.1343</v>
      </c>
      <c r="AP103" s="16">
        <v>1.1383000000000001</v>
      </c>
      <c r="AQ103" s="16">
        <v>0.2346</v>
      </c>
      <c r="AR103" s="16">
        <v>0.27360000000000001</v>
      </c>
      <c r="AS103" s="16">
        <v>0.39350000000000002</v>
      </c>
      <c r="AT103" s="16">
        <v>0.41649999999999998</v>
      </c>
      <c r="AU103" s="16">
        <v>0.3473</v>
      </c>
      <c r="AV103" s="16">
        <v>0.1182</v>
      </c>
      <c r="AW103" s="16">
        <v>4.2999999999999997E-2</v>
      </c>
      <c r="AX103" s="16">
        <v>4.2999999999999997E-2</v>
      </c>
    </row>
    <row r="104" spans="1:50" x14ac:dyDescent="0.25">
      <c r="A104" s="17" t="s">
        <v>315</v>
      </c>
      <c r="B104" s="13" t="s">
        <v>222</v>
      </c>
      <c r="C104" s="18">
        <v>0.1489</v>
      </c>
      <c r="D104" s="18">
        <v>8.2100000000000006E-2</v>
      </c>
      <c r="E104" s="18">
        <v>4.2000000000000003E-2</v>
      </c>
      <c r="F104" s="18">
        <v>0.189</v>
      </c>
      <c r="G104" s="18">
        <v>4.2000000000000003E-2</v>
      </c>
      <c r="H104" s="18">
        <v>4.2000000000000003E-2</v>
      </c>
      <c r="I104" s="18">
        <v>0.1222</v>
      </c>
      <c r="J104" s="18">
        <v>0.10879999999999999</v>
      </c>
      <c r="K104" s="18">
        <v>6.8699999999999997E-2</v>
      </c>
      <c r="L104" s="18">
        <v>0.1623</v>
      </c>
      <c r="M104" s="18">
        <v>4.2000000000000003E-2</v>
      </c>
      <c r="N104" s="18">
        <v>0.1489</v>
      </c>
      <c r="O104" s="18">
        <v>8.2100000000000006E-2</v>
      </c>
      <c r="P104" s="18">
        <v>0.1394</v>
      </c>
      <c r="Q104" s="18">
        <v>0.1757</v>
      </c>
      <c r="R104" s="18">
        <v>0.1111</v>
      </c>
      <c r="S104" s="18">
        <v>0.1686</v>
      </c>
      <c r="T104" s="18">
        <v>0.1389</v>
      </c>
      <c r="U104" s="18">
        <v>4.2000000000000003E-2</v>
      </c>
      <c r="V104" s="18">
        <v>0.189</v>
      </c>
      <c r="W104" s="18">
        <v>4.2000000000000003E-2</v>
      </c>
      <c r="X104" s="18">
        <v>0.10879999999999999</v>
      </c>
      <c r="Y104" s="18">
        <v>0.1222</v>
      </c>
      <c r="Z104" s="18">
        <v>4.2000000000000003E-2</v>
      </c>
      <c r="AA104" s="18">
        <v>4.2000000000000003E-2</v>
      </c>
      <c r="AB104" s="18">
        <v>0.18240000000000001</v>
      </c>
      <c r="AC104" s="18">
        <v>5.5399999999999998E-2</v>
      </c>
      <c r="AD104" s="18">
        <v>0.17150000000000001</v>
      </c>
      <c r="AE104" s="18">
        <v>0.13619999999999999</v>
      </c>
      <c r="AF104" s="18">
        <v>4.2000000000000003E-2</v>
      </c>
      <c r="AG104" s="18">
        <v>1.7142999999999999</v>
      </c>
      <c r="AH104" s="18">
        <v>6.2100000000000002E-2</v>
      </c>
      <c r="AI104" s="18">
        <v>0.13730000000000001</v>
      </c>
      <c r="AJ104" s="18">
        <v>0.31290000000000001</v>
      </c>
      <c r="AK104" s="18">
        <v>0.4083</v>
      </c>
      <c r="AL104" s="18">
        <v>0.38129999999999997</v>
      </c>
      <c r="AM104" s="18">
        <v>0.43219999999999997</v>
      </c>
      <c r="AN104" s="18">
        <v>1.6579999999999999</v>
      </c>
      <c r="AO104" s="18">
        <v>0.15559999999999999</v>
      </c>
      <c r="AP104" s="18">
        <v>7.5399999999999995E-2</v>
      </c>
      <c r="AQ104" s="18">
        <v>0.22259999999999999</v>
      </c>
      <c r="AR104" s="18">
        <v>0.55969999999999998</v>
      </c>
      <c r="AS104" s="18">
        <v>0.42830000000000001</v>
      </c>
      <c r="AT104" s="18">
        <v>0.50770000000000004</v>
      </c>
      <c r="AU104" s="18">
        <v>0.69359999999999999</v>
      </c>
      <c r="AV104" s="18">
        <v>1.3586</v>
      </c>
      <c r="AW104" s="18">
        <v>0.32079999999999997</v>
      </c>
      <c r="AX104" s="18">
        <v>0.16900000000000001</v>
      </c>
    </row>
    <row r="105" spans="1:50" x14ac:dyDescent="0.25">
      <c r="A105" s="8" t="s">
        <v>160</v>
      </c>
      <c r="B105" s="10" t="s">
        <v>57</v>
      </c>
      <c r="C105" s="16">
        <v>4.9000000000000002E-2</v>
      </c>
      <c r="D105" s="16">
        <v>0.22270000000000001</v>
      </c>
      <c r="E105" s="16">
        <v>4.9000000000000002E-2</v>
      </c>
      <c r="F105" s="16">
        <v>4.9000000000000002E-2</v>
      </c>
      <c r="G105" s="16">
        <v>0.22270000000000001</v>
      </c>
      <c r="H105" s="16">
        <v>4.9000000000000002E-2</v>
      </c>
      <c r="I105" s="16">
        <v>4.9000000000000002E-2</v>
      </c>
      <c r="J105" s="16">
        <v>0.19109999999999999</v>
      </c>
      <c r="K105" s="16">
        <v>8.0600000000000005E-2</v>
      </c>
      <c r="L105" s="16">
        <v>8.8499999999999995E-2</v>
      </c>
      <c r="M105" s="16">
        <v>0.1832</v>
      </c>
      <c r="N105" s="16">
        <v>4.9000000000000002E-2</v>
      </c>
      <c r="O105" s="16">
        <v>0.15160000000000001</v>
      </c>
      <c r="P105" s="16">
        <v>0.1201</v>
      </c>
      <c r="Q105" s="16">
        <v>4.9000000000000002E-2</v>
      </c>
      <c r="R105" s="16">
        <v>0.22270000000000001</v>
      </c>
      <c r="S105" s="16">
        <v>4.9000000000000002E-2</v>
      </c>
      <c r="T105" s="16">
        <v>5.6899999999999999E-2</v>
      </c>
      <c r="U105" s="16">
        <v>0.1641</v>
      </c>
      <c r="V105" s="16">
        <v>0.1847</v>
      </c>
      <c r="W105" s="16">
        <v>0.66220000000000001</v>
      </c>
      <c r="X105" s="16">
        <v>0.49220000000000003</v>
      </c>
      <c r="Y105" s="16">
        <v>1.9595</v>
      </c>
      <c r="Z105" s="16">
        <v>3.0177</v>
      </c>
      <c r="AA105" s="16">
        <v>1.6081000000000001</v>
      </c>
      <c r="AB105" s="16">
        <v>4.9000000000000002E-2</v>
      </c>
      <c r="AC105" s="16">
        <v>0.2762</v>
      </c>
      <c r="AD105" s="16">
        <v>0.19109999999999999</v>
      </c>
      <c r="AE105" s="16">
        <v>5.0200000000000002E-2</v>
      </c>
      <c r="AF105" s="16">
        <v>7.1099999999999997E-2</v>
      </c>
      <c r="AG105" s="16">
        <v>0.24479999999999999</v>
      </c>
      <c r="AH105" s="16">
        <v>5.5599999999999997E-2</v>
      </c>
      <c r="AI105" s="16">
        <v>0.29260000000000003</v>
      </c>
      <c r="AJ105" s="16">
        <v>0.38469999999999999</v>
      </c>
      <c r="AK105" s="16">
        <v>0.36559999999999998</v>
      </c>
      <c r="AL105" s="16">
        <v>0.39889999999999998</v>
      </c>
      <c r="AM105" s="16">
        <v>0.43120000000000003</v>
      </c>
      <c r="AN105" s="16">
        <v>0.27910000000000001</v>
      </c>
      <c r="AO105" s="16">
        <v>0.24199999999999999</v>
      </c>
      <c r="AP105" s="16">
        <v>1.3524</v>
      </c>
      <c r="AQ105" s="16">
        <v>1.2675000000000001</v>
      </c>
      <c r="AR105" s="16">
        <v>0.46089999999999998</v>
      </c>
      <c r="AS105" s="16">
        <v>0.71919999999999995</v>
      </c>
      <c r="AT105" s="16">
        <v>0.49980000000000002</v>
      </c>
      <c r="AU105" s="16">
        <v>0.46610000000000001</v>
      </c>
      <c r="AV105" s="16">
        <v>0.30059999999999998</v>
      </c>
      <c r="AW105" s="16">
        <v>0.30430000000000001</v>
      </c>
      <c r="AX105" s="16">
        <v>0.48330000000000001</v>
      </c>
    </row>
    <row r="106" spans="1:50" x14ac:dyDescent="0.25">
      <c r="A106" s="17" t="s">
        <v>317</v>
      </c>
      <c r="B106" s="13" t="s">
        <v>222</v>
      </c>
      <c r="C106" s="18">
        <v>7.8700000000000006E-2</v>
      </c>
      <c r="D106" s="18">
        <v>0.1963</v>
      </c>
      <c r="E106" s="18">
        <v>0.1371</v>
      </c>
      <c r="F106" s="18">
        <v>0.18479999999999999</v>
      </c>
      <c r="G106" s="18">
        <v>0.1772</v>
      </c>
      <c r="H106" s="18">
        <v>6.1499999999999999E-2</v>
      </c>
      <c r="I106" s="18">
        <v>0.25369999999999998</v>
      </c>
      <c r="J106" s="18">
        <v>9.69E-2</v>
      </c>
      <c r="K106" s="18">
        <v>0.05</v>
      </c>
      <c r="L106" s="18">
        <v>0.15890000000000001</v>
      </c>
      <c r="M106" s="18">
        <v>0.2031</v>
      </c>
      <c r="N106" s="18">
        <v>0.05</v>
      </c>
      <c r="O106" s="18">
        <v>0.21149999999999999</v>
      </c>
      <c r="P106" s="18">
        <v>0.15040000000000001</v>
      </c>
      <c r="Q106" s="18">
        <v>7.3899999999999993E-2</v>
      </c>
      <c r="R106" s="18">
        <v>0.28810000000000002</v>
      </c>
      <c r="S106" s="18">
        <v>0.05</v>
      </c>
      <c r="T106" s="18">
        <v>0.21260000000000001</v>
      </c>
      <c r="U106" s="18">
        <v>0.36309999999999998</v>
      </c>
      <c r="V106" s="18">
        <v>0.2712</v>
      </c>
      <c r="W106" s="18">
        <v>0.30349999999999999</v>
      </c>
      <c r="X106" s="18">
        <v>0.23710000000000001</v>
      </c>
      <c r="Y106" s="18">
        <v>0.1525</v>
      </c>
      <c r="Z106" s="18">
        <v>0.1784</v>
      </c>
      <c r="AA106" s="18">
        <v>0.16089999999999999</v>
      </c>
      <c r="AB106" s="18">
        <v>0.2485</v>
      </c>
      <c r="AC106" s="18">
        <v>0.30030000000000001</v>
      </c>
      <c r="AD106" s="18">
        <v>0.88100000000000001</v>
      </c>
      <c r="AE106" s="18">
        <v>0.1837</v>
      </c>
      <c r="AF106" s="18">
        <v>0.31929999999999997</v>
      </c>
      <c r="AG106" s="18">
        <v>0.27660000000000001</v>
      </c>
      <c r="AH106" s="18">
        <v>0.46810000000000002</v>
      </c>
      <c r="AI106" s="18">
        <v>0.29530000000000001</v>
      </c>
      <c r="AJ106" s="18">
        <v>1.0640000000000001</v>
      </c>
      <c r="AK106" s="18">
        <v>0.34379999999999999</v>
      </c>
      <c r="AL106" s="18">
        <v>0.2757</v>
      </c>
      <c r="AM106" s="18">
        <v>0.35449999999999998</v>
      </c>
      <c r="AN106" s="18">
        <v>0.23219999999999999</v>
      </c>
      <c r="AO106" s="18">
        <v>0.158</v>
      </c>
      <c r="AP106" s="18">
        <v>0.43809999999999999</v>
      </c>
      <c r="AQ106" s="18">
        <v>0.33200000000000002</v>
      </c>
      <c r="AR106" s="18">
        <v>0.39629999999999999</v>
      </c>
      <c r="AS106" s="18">
        <v>0.48580000000000001</v>
      </c>
      <c r="AT106" s="18">
        <v>0.49459999999999998</v>
      </c>
      <c r="AU106" s="18">
        <v>0.62319999999999998</v>
      </c>
      <c r="AV106" s="18">
        <v>0.87570000000000003</v>
      </c>
      <c r="AW106" s="18">
        <v>0.55179999999999996</v>
      </c>
      <c r="AX106" s="18">
        <v>0.79449999999999998</v>
      </c>
    </row>
    <row r="107" spans="1:50" x14ac:dyDescent="0.25">
      <c r="A107" s="8" t="s">
        <v>162</v>
      </c>
      <c r="B107" s="10" t="s">
        <v>57</v>
      </c>
      <c r="C107" s="16">
        <v>0.13789999999999999</v>
      </c>
      <c r="D107" s="16">
        <v>7.9100000000000004E-2</v>
      </c>
      <c r="E107" s="16">
        <v>5.7000000000000002E-2</v>
      </c>
      <c r="F107" s="16">
        <v>0.15989999999999999</v>
      </c>
      <c r="G107" s="16">
        <v>5.7000000000000002E-2</v>
      </c>
      <c r="H107" s="16">
        <v>7.9100000000000004E-2</v>
      </c>
      <c r="I107" s="16">
        <v>0.13789999999999999</v>
      </c>
      <c r="J107" s="16">
        <v>5.7000000000000002E-2</v>
      </c>
      <c r="K107" s="16">
        <v>5.7000000000000002E-2</v>
      </c>
      <c r="L107" s="16">
        <v>0.15989999999999999</v>
      </c>
      <c r="M107" s="16">
        <v>5.7000000000000002E-2</v>
      </c>
      <c r="N107" s="16">
        <v>5.7000000000000002E-2</v>
      </c>
      <c r="O107" s="16">
        <v>0.15260000000000001</v>
      </c>
      <c r="P107" s="16">
        <v>6.4399999999999999E-2</v>
      </c>
      <c r="Q107" s="16">
        <v>5.7000000000000002E-2</v>
      </c>
      <c r="R107" s="16">
        <v>0.15989999999999999</v>
      </c>
      <c r="S107" s="16">
        <v>5.7000000000000002E-2</v>
      </c>
      <c r="T107" s="16">
        <v>0.31240000000000001</v>
      </c>
      <c r="U107" s="16">
        <v>2.2585000000000002</v>
      </c>
      <c r="V107" s="16">
        <v>2.9767999999999999</v>
      </c>
      <c r="W107" s="16">
        <v>0.96719999999999995</v>
      </c>
      <c r="X107" s="16">
        <v>5.7000000000000002E-2</v>
      </c>
      <c r="Y107" s="16">
        <v>5.7000000000000002E-2</v>
      </c>
      <c r="Z107" s="16">
        <v>0.19350000000000001</v>
      </c>
      <c r="AA107" s="16">
        <v>5.7000000000000002E-2</v>
      </c>
      <c r="AB107" s="16">
        <v>5.7000000000000002E-2</v>
      </c>
      <c r="AC107" s="16">
        <v>0.18790000000000001</v>
      </c>
      <c r="AD107" s="16">
        <v>0.13289999999999999</v>
      </c>
      <c r="AE107" s="16">
        <v>9.0200000000000002E-2</v>
      </c>
      <c r="AF107" s="16">
        <v>0.31409999999999999</v>
      </c>
      <c r="AG107" s="16">
        <v>8.6400000000000005E-2</v>
      </c>
      <c r="AH107" s="16">
        <v>5.7000000000000002E-2</v>
      </c>
      <c r="AI107" s="16">
        <v>2.4580000000000002</v>
      </c>
      <c r="AJ107" s="16">
        <v>2.8761999999999999</v>
      </c>
      <c r="AK107" s="16">
        <v>0.65290000000000004</v>
      </c>
      <c r="AL107" s="16">
        <v>0.19900000000000001</v>
      </c>
      <c r="AM107" s="16">
        <v>6.7000000000000004E-2</v>
      </c>
      <c r="AN107" s="16">
        <v>6.2700000000000006E-2</v>
      </c>
      <c r="AO107" s="16">
        <v>0.29110000000000003</v>
      </c>
      <c r="AP107" s="16">
        <v>0.35880000000000001</v>
      </c>
      <c r="AQ107" s="16">
        <v>0.41370000000000001</v>
      </c>
      <c r="AR107" s="16">
        <v>0.56999999999999995</v>
      </c>
      <c r="AS107" s="16">
        <v>0.6139</v>
      </c>
      <c r="AT107" s="16">
        <v>0.52880000000000005</v>
      </c>
      <c r="AU107" s="16">
        <v>0.71430000000000005</v>
      </c>
      <c r="AV107" s="16">
        <v>0.73740000000000006</v>
      </c>
      <c r="AW107" s="16">
        <v>0.70399999999999996</v>
      </c>
      <c r="AX107" s="16">
        <v>0.1232</v>
      </c>
    </row>
    <row r="108" spans="1:50" x14ac:dyDescent="0.25">
      <c r="A108" s="17" t="s">
        <v>319</v>
      </c>
      <c r="B108" s="13" t="s">
        <v>222</v>
      </c>
      <c r="C108" s="18">
        <v>0.156</v>
      </c>
      <c r="D108" s="18">
        <v>0.24229999999999999</v>
      </c>
      <c r="E108" s="18">
        <v>5.8999999999999997E-2</v>
      </c>
      <c r="F108" s="18">
        <v>0.1837</v>
      </c>
      <c r="G108" s="18">
        <v>8.6699999999999999E-2</v>
      </c>
      <c r="H108" s="18">
        <v>0.16769999999999999</v>
      </c>
      <c r="I108" s="18">
        <v>0.16819999999999999</v>
      </c>
      <c r="J108" s="18">
        <v>0.17249999999999999</v>
      </c>
      <c r="K108" s="18">
        <v>0.1358</v>
      </c>
      <c r="L108" s="18">
        <v>0.2044</v>
      </c>
      <c r="M108" s="18">
        <v>6.59E-2</v>
      </c>
      <c r="N108" s="18">
        <v>0.123</v>
      </c>
      <c r="O108" s="18">
        <v>0.15759999999999999</v>
      </c>
      <c r="P108" s="18">
        <v>0.2215</v>
      </c>
      <c r="Q108" s="18">
        <v>0.14219999999999999</v>
      </c>
      <c r="R108" s="18">
        <v>0.48509999999999998</v>
      </c>
      <c r="S108" s="18">
        <v>7.9799999999999996E-2</v>
      </c>
      <c r="T108" s="18">
        <v>6.54E-2</v>
      </c>
      <c r="U108" s="18">
        <v>0.2429</v>
      </c>
      <c r="V108" s="18">
        <v>0.14899999999999999</v>
      </c>
      <c r="W108" s="18">
        <v>0.76900000000000002</v>
      </c>
      <c r="X108" s="18">
        <v>1.4466000000000001</v>
      </c>
      <c r="Y108" s="18">
        <v>0.187</v>
      </c>
      <c r="Z108" s="18">
        <v>0.19470000000000001</v>
      </c>
      <c r="AA108" s="18">
        <v>0.1133</v>
      </c>
      <c r="AB108" s="18">
        <v>0.16980000000000001</v>
      </c>
      <c r="AC108" s="18">
        <v>0.4289</v>
      </c>
      <c r="AD108" s="18">
        <v>0.16</v>
      </c>
      <c r="AE108" s="18">
        <v>0.1515</v>
      </c>
      <c r="AF108" s="18">
        <v>1.0742</v>
      </c>
      <c r="AG108" s="18">
        <v>0.53690000000000004</v>
      </c>
      <c r="AH108" s="18">
        <v>0.48720000000000002</v>
      </c>
      <c r="AI108" s="18">
        <v>0.61429999999999996</v>
      </c>
      <c r="AJ108" s="18">
        <v>0.50380000000000003</v>
      </c>
      <c r="AK108" s="18">
        <v>0.5101</v>
      </c>
      <c r="AL108" s="18">
        <v>2.214</v>
      </c>
      <c r="AM108" s="18">
        <v>1.4007000000000001</v>
      </c>
      <c r="AN108" s="18">
        <v>0.31840000000000002</v>
      </c>
      <c r="AO108" s="18">
        <v>0.7006</v>
      </c>
      <c r="AP108" s="18">
        <v>0.63319999999999999</v>
      </c>
      <c r="AQ108" s="18">
        <v>1.5705</v>
      </c>
      <c r="AR108" s="18">
        <v>0.38679999999999998</v>
      </c>
      <c r="AS108" s="18">
        <v>0.91059999999999997</v>
      </c>
      <c r="AT108" s="18">
        <v>0.53680000000000005</v>
      </c>
      <c r="AU108" s="18">
        <v>0.80059999999999998</v>
      </c>
      <c r="AV108" s="18">
        <v>0.35859999999999997</v>
      </c>
      <c r="AW108" s="18">
        <v>0.2631</v>
      </c>
      <c r="AX108" s="18">
        <v>0.13519999999999999</v>
      </c>
    </row>
    <row r="109" spans="1:50" x14ac:dyDescent="0.25">
      <c r="A109" s="8" t="s">
        <v>164</v>
      </c>
      <c r="B109" s="10" t="s">
        <v>57</v>
      </c>
      <c r="C109" s="16">
        <v>5.5E-2</v>
      </c>
      <c r="D109" s="16">
        <v>5.5E-2</v>
      </c>
      <c r="E109" s="16">
        <v>5.5E-2</v>
      </c>
      <c r="F109" s="16">
        <v>5.5E-2</v>
      </c>
      <c r="G109" s="16">
        <v>5.5E-2</v>
      </c>
      <c r="H109" s="16">
        <v>5.5E-2</v>
      </c>
      <c r="I109" s="16">
        <v>5.5E-2</v>
      </c>
      <c r="J109" s="16">
        <v>5.5E-2</v>
      </c>
      <c r="K109" s="16">
        <v>5.5E-2</v>
      </c>
      <c r="L109" s="16">
        <v>5.5E-2</v>
      </c>
      <c r="M109" s="16">
        <v>5.5E-2</v>
      </c>
      <c r="N109" s="16">
        <v>5.5E-2</v>
      </c>
      <c r="O109" s="16">
        <v>5.5E-2</v>
      </c>
      <c r="P109" s="16">
        <v>5.5E-2</v>
      </c>
      <c r="Q109" s="16">
        <v>5.5E-2</v>
      </c>
      <c r="R109" s="16">
        <v>5.5E-2</v>
      </c>
      <c r="S109" s="16">
        <v>5.5E-2</v>
      </c>
      <c r="T109" s="16">
        <v>5.5E-2</v>
      </c>
      <c r="U109" s="16">
        <v>5.5E-2</v>
      </c>
      <c r="V109" s="16">
        <v>5.5E-2</v>
      </c>
      <c r="W109" s="16">
        <v>0.14030000000000001</v>
      </c>
      <c r="X109" s="16">
        <v>6.83E-2</v>
      </c>
      <c r="Y109" s="16">
        <v>0.1676</v>
      </c>
      <c r="Z109" s="16">
        <v>9.5000000000000001E-2</v>
      </c>
      <c r="AA109" s="16">
        <v>6.0299999999999999E-2</v>
      </c>
      <c r="AB109" s="16">
        <v>0.24959999999999999</v>
      </c>
      <c r="AC109" s="16">
        <v>0.5504</v>
      </c>
      <c r="AD109" s="16">
        <v>1.1194999999999999</v>
      </c>
      <c r="AE109" s="16">
        <v>0.43609999999999999</v>
      </c>
      <c r="AF109" s="16">
        <v>0.32769999999999999</v>
      </c>
      <c r="AG109" s="16">
        <v>0.25750000000000001</v>
      </c>
      <c r="AH109" s="16">
        <v>0.44590000000000002</v>
      </c>
      <c r="AI109" s="16">
        <v>0.3291</v>
      </c>
      <c r="AJ109" s="16">
        <v>0.49909999999999999</v>
      </c>
      <c r="AK109" s="16">
        <v>1.1131</v>
      </c>
      <c r="AL109" s="16">
        <v>0.18179999999999999</v>
      </c>
      <c r="AM109" s="16">
        <v>1.0446</v>
      </c>
      <c r="AN109" s="16">
        <v>0.29060000000000002</v>
      </c>
      <c r="AO109" s="16">
        <v>0.5625</v>
      </c>
      <c r="AP109" s="16">
        <v>0.60729999999999995</v>
      </c>
      <c r="AQ109" s="16">
        <v>0.73260000000000003</v>
      </c>
      <c r="AR109" s="16">
        <v>0.71140000000000003</v>
      </c>
      <c r="AS109" s="16">
        <v>0.4819</v>
      </c>
      <c r="AT109" s="16">
        <v>0.81530000000000002</v>
      </c>
      <c r="AU109" s="16">
        <v>0.28910000000000002</v>
      </c>
      <c r="AV109" s="16">
        <v>5.5E-2</v>
      </c>
      <c r="AW109" s="16">
        <v>5.5E-2</v>
      </c>
      <c r="AX109" s="16">
        <v>5.5E-2</v>
      </c>
    </row>
    <row r="110" spans="1:50" x14ac:dyDescent="0.25">
      <c r="A110" s="8" t="s">
        <v>166</v>
      </c>
      <c r="B110" s="10" t="s">
        <v>57</v>
      </c>
      <c r="C110" s="16">
        <v>5.2999999999999999E-2</v>
      </c>
      <c r="D110" s="16">
        <v>5.2999999999999999E-2</v>
      </c>
      <c r="E110" s="16">
        <v>5.2999999999999999E-2</v>
      </c>
      <c r="F110" s="16">
        <v>5.2999999999999999E-2</v>
      </c>
      <c r="G110" s="16">
        <v>5.2999999999999999E-2</v>
      </c>
      <c r="H110" s="16">
        <v>5.2999999999999999E-2</v>
      </c>
      <c r="I110" s="16">
        <v>5.2999999999999999E-2</v>
      </c>
      <c r="J110" s="16">
        <v>5.2999999999999999E-2</v>
      </c>
      <c r="K110" s="16">
        <v>5.2999999999999999E-2</v>
      </c>
      <c r="L110" s="16">
        <v>5.2999999999999999E-2</v>
      </c>
      <c r="M110" s="16">
        <v>5.2999999999999999E-2</v>
      </c>
      <c r="N110" s="16">
        <v>5.2999999999999999E-2</v>
      </c>
      <c r="O110" s="16">
        <v>5.2999999999999999E-2</v>
      </c>
      <c r="P110" s="16">
        <v>5.2999999999999999E-2</v>
      </c>
      <c r="Q110" s="16">
        <v>0.10100000000000001</v>
      </c>
      <c r="R110" s="16">
        <v>0.1178</v>
      </c>
      <c r="S110" s="16">
        <v>0.1178</v>
      </c>
      <c r="T110" s="16">
        <v>0.19489999999999999</v>
      </c>
      <c r="U110" s="16">
        <v>0.21740000000000001</v>
      </c>
      <c r="V110" s="16">
        <v>0.18740000000000001</v>
      </c>
      <c r="W110" s="16">
        <v>5.2999999999999999E-2</v>
      </c>
      <c r="X110" s="16">
        <v>5.2999999999999999E-2</v>
      </c>
      <c r="Y110" s="16">
        <v>5.2999999999999999E-2</v>
      </c>
      <c r="Z110" s="16">
        <v>5.2999999999999999E-2</v>
      </c>
      <c r="AA110" s="16">
        <v>5.2999999999999999E-2</v>
      </c>
      <c r="AB110" s="16">
        <v>5.2999999999999999E-2</v>
      </c>
      <c r="AC110" s="16">
        <v>5.2999999999999999E-2</v>
      </c>
      <c r="AD110" s="16">
        <v>5.2999999999999999E-2</v>
      </c>
      <c r="AE110" s="16">
        <v>5.2999999999999999E-2</v>
      </c>
      <c r="AF110" s="16">
        <v>5.2999999999999999E-2</v>
      </c>
      <c r="AG110" s="16">
        <v>5.2999999999999999E-2</v>
      </c>
      <c r="AH110" s="16">
        <v>5.2999999999999999E-2</v>
      </c>
      <c r="AI110" s="16">
        <v>5.2999999999999999E-2</v>
      </c>
      <c r="AJ110" s="16">
        <v>5.2999999999999999E-2</v>
      </c>
      <c r="AK110" s="16">
        <v>5.2999999999999999E-2</v>
      </c>
      <c r="AL110" s="16">
        <v>5.2999999999999999E-2</v>
      </c>
      <c r="AM110" s="16">
        <v>5.2999999999999999E-2</v>
      </c>
      <c r="AN110" s="16">
        <v>5.2999999999999999E-2</v>
      </c>
      <c r="AO110" s="16">
        <v>5.2999999999999999E-2</v>
      </c>
      <c r="AP110" s="16">
        <v>5.2999999999999999E-2</v>
      </c>
      <c r="AQ110" s="16">
        <v>5.2999999999999999E-2</v>
      </c>
      <c r="AR110" s="16">
        <v>5.2999999999999999E-2</v>
      </c>
      <c r="AS110" s="16">
        <v>5.2999999999999999E-2</v>
      </c>
      <c r="AT110" s="16">
        <v>5.2999999999999999E-2</v>
      </c>
      <c r="AU110" s="16">
        <v>5.2999999999999999E-2</v>
      </c>
      <c r="AV110" s="16">
        <v>5.2999999999999999E-2</v>
      </c>
      <c r="AW110" s="16">
        <v>5.2999999999999999E-2</v>
      </c>
      <c r="AX110" s="16">
        <v>5.2999999999999999E-2</v>
      </c>
    </row>
    <row r="111" spans="1:50" x14ac:dyDescent="0.25">
      <c r="A111" s="17" t="s">
        <v>321</v>
      </c>
      <c r="B111" s="13" t="s">
        <v>222</v>
      </c>
      <c r="C111" s="18">
        <v>0.1099</v>
      </c>
      <c r="D111" s="18">
        <v>9.4899999999999998E-2</v>
      </c>
      <c r="E111" s="18">
        <v>0.21779999999999999</v>
      </c>
      <c r="F111" s="18">
        <v>7.6499999999999999E-2</v>
      </c>
      <c r="G111" s="18">
        <v>0.1132</v>
      </c>
      <c r="H111" s="18">
        <v>0.13489999999999999</v>
      </c>
      <c r="I111" s="18">
        <v>0.1716</v>
      </c>
      <c r="J111" s="18">
        <v>0.10100000000000001</v>
      </c>
      <c r="K111" s="18">
        <v>0.13489999999999999</v>
      </c>
      <c r="L111" s="18">
        <v>0.22059999999999999</v>
      </c>
      <c r="M111" s="18">
        <v>5.1999999999999998E-2</v>
      </c>
      <c r="N111" s="18">
        <v>0.1278</v>
      </c>
      <c r="O111" s="18">
        <v>0.22770000000000001</v>
      </c>
      <c r="P111" s="18">
        <v>5.1999999999999998E-2</v>
      </c>
      <c r="Q111" s="18">
        <v>0.12740000000000001</v>
      </c>
      <c r="R111" s="18">
        <v>0.1424</v>
      </c>
      <c r="S111" s="18">
        <v>0.16039999999999999</v>
      </c>
      <c r="T111" s="18">
        <v>0.19520000000000001</v>
      </c>
      <c r="U111" s="18">
        <v>7.4200000000000002E-2</v>
      </c>
      <c r="V111" s="18">
        <v>0.11940000000000001</v>
      </c>
      <c r="W111" s="18">
        <v>0.13489999999999999</v>
      </c>
      <c r="X111" s="18">
        <v>0.13489999999999999</v>
      </c>
      <c r="Y111" s="18">
        <v>0.13769999999999999</v>
      </c>
      <c r="Z111" s="18">
        <v>0.19520000000000001</v>
      </c>
      <c r="AA111" s="18">
        <v>8.4199999999999997E-2</v>
      </c>
      <c r="AB111" s="18">
        <v>0.27089999999999997</v>
      </c>
      <c r="AC111" s="18">
        <v>0.90229999999999999</v>
      </c>
      <c r="AD111" s="18">
        <v>0.20730000000000001</v>
      </c>
      <c r="AE111" s="18">
        <v>0.4138</v>
      </c>
      <c r="AF111" s="18">
        <v>6.3600000000000004E-2</v>
      </c>
      <c r="AG111" s="18">
        <v>0.13769999999999999</v>
      </c>
      <c r="AH111" s="18">
        <v>0.20269999999999999</v>
      </c>
      <c r="AI111" s="18">
        <v>6.7100000000000007E-2</v>
      </c>
      <c r="AJ111" s="18">
        <v>0.183</v>
      </c>
      <c r="AK111" s="18">
        <v>0.1726</v>
      </c>
      <c r="AL111" s="18">
        <v>0.11940000000000001</v>
      </c>
      <c r="AM111" s="18">
        <v>0.19850000000000001</v>
      </c>
      <c r="AN111" s="18">
        <v>8.9700000000000002E-2</v>
      </c>
      <c r="AO111" s="18">
        <v>0.19800000000000001</v>
      </c>
      <c r="AP111" s="18">
        <v>0.1575</v>
      </c>
      <c r="AQ111" s="18">
        <v>5.1999999999999998E-2</v>
      </c>
      <c r="AR111" s="18">
        <v>0.13769999999999999</v>
      </c>
      <c r="AS111" s="18">
        <v>0.16500000000000001</v>
      </c>
      <c r="AT111" s="18">
        <v>0.1905</v>
      </c>
      <c r="AU111" s="18">
        <v>5.1999999999999998E-2</v>
      </c>
      <c r="AV111" s="18">
        <v>0.21779999999999999</v>
      </c>
      <c r="AW111" s="18">
        <v>0.13769999999999999</v>
      </c>
      <c r="AX111" s="18">
        <v>0.20269999999999999</v>
      </c>
    </row>
    <row r="112" spans="1:50" x14ac:dyDescent="0.25">
      <c r="A112" s="8" t="s">
        <v>168</v>
      </c>
      <c r="B112" s="10" t="s">
        <v>57</v>
      </c>
      <c r="C112" s="16">
        <v>0.63890000000000002</v>
      </c>
      <c r="D112" s="16">
        <v>0.05</v>
      </c>
      <c r="E112" s="16">
        <v>0.05</v>
      </c>
      <c r="F112" s="16">
        <v>0.05</v>
      </c>
      <c r="G112" s="16">
        <v>0.05</v>
      </c>
      <c r="H112" s="16">
        <v>0.05</v>
      </c>
      <c r="I112" s="16">
        <v>0.05</v>
      </c>
      <c r="J112" s="16">
        <v>0.05</v>
      </c>
      <c r="K112" s="16">
        <v>0.05</v>
      </c>
      <c r="L112" s="16">
        <v>0.05</v>
      </c>
      <c r="M112" s="16">
        <v>0.05</v>
      </c>
      <c r="N112" s="16">
        <v>0.05</v>
      </c>
      <c r="O112" s="16">
        <v>0.05</v>
      </c>
      <c r="P112" s="16">
        <v>0.05</v>
      </c>
      <c r="Q112" s="16">
        <v>0.05</v>
      </c>
      <c r="R112" s="16">
        <v>0.05</v>
      </c>
      <c r="S112" s="16">
        <v>0.05</v>
      </c>
      <c r="T112" s="16">
        <v>0.1474</v>
      </c>
      <c r="U112" s="16">
        <v>7.4200000000000002E-2</v>
      </c>
      <c r="V112" s="16">
        <v>9.1899999999999996E-2</v>
      </c>
      <c r="W112" s="16">
        <v>0.1201</v>
      </c>
      <c r="X112" s="16">
        <v>0.31109999999999999</v>
      </c>
      <c r="Y112" s="16">
        <v>0.05</v>
      </c>
      <c r="Z112" s="16">
        <v>0.27710000000000001</v>
      </c>
      <c r="AA112" s="16">
        <v>6.9500000000000006E-2</v>
      </c>
      <c r="AB112" s="16">
        <v>5.2299999999999999E-2</v>
      </c>
      <c r="AC112" s="16">
        <v>0.05</v>
      </c>
      <c r="AD112" s="16">
        <v>0.05</v>
      </c>
      <c r="AE112" s="16">
        <v>0.05</v>
      </c>
      <c r="AF112" s="16">
        <v>0.05</v>
      </c>
      <c r="AG112" s="16">
        <v>0.05</v>
      </c>
      <c r="AH112" s="16">
        <v>5.2200000000000003E-2</v>
      </c>
      <c r="AI112" s="16">
        <v>0.32990000000000003</v>
      </c>
      <c r="AJ112" s="16">
        <v>0.2366</v>
      </c>
      <c r="AK112" s="16">
        <v>0.34560000000000002</v>
      </c>
      <c r="AL112" s="16">
        <v>6.1600000000000002E-2</v>
      </c>
      <c r="AM112" s="16">
        <v>5.1900000000000002E-2</v>
      </c>
      <c r="AN112" s="16">
        <v>0.05</v>
      </c>
      <c r="AO112" s="16">
        <v>0.05</v>
      </c>
      <c r="AP112" s="16">
        <v>0.05</v>
      </c>
      <c r="AQ112" s="16">
        <v>0.05</v>
      </c>
      <c r="AR112" s="16">
        <v>0.25729999999999997</v>
      </c>
      <c r="AS112" s="16">
        <v>0.27489999999999998</v>
      </c>
      <c r="AT112" s="16">
        <v>0.35859999999999997</v>
      </c>
      <c r="AU112" s="16">
        <v>0.05</v>
      </c>
      <c r="AV112" s="16">
        <v>0.05</v>
      </c>
      <c r="AW112" s="16">
        <v>0.05</v>
      </c>
      <c r="AX112" s="16">
        <v>0.05</v>
      </c>
    </row>
    <row r="113" spans="1:50" x14ac:dyDescent="0.25">
      <c r="A113" s="17" t="s">
        <v>323</v>
      </c>
      <c r="B113" s="13" t="s">
        <v>222</v>
      </c>
      <c r="C113" s="18">
        <v>0.127</v>
      </c>
      <c r="D113" s="18">
        <v>0.05</v>
      </c>
      <c r="E113" s="18">
        <v>0.05</v>
      </c>
      <c r="F113" s="18">
        <v>0.1578</v>
      </c>
      <c r="G113" s="18">
        <v>0.05</v>
      </c>
      <c r="H113" s="18">
        <v>0.1424</v>
      </c>
      <c r="I113" s="18">
        <v>6.54E-2</v>
      </c>
      <c r="J113" s="18">
        <v>0.05</v>
      </c>
      <c r="K113" s="18">
        <v>0.1578</v>
      </c>
      <c r="L113" s="18">
        <v>0.05</v>
      </c>
      <c r="M113" s="18">
        <v>0.1424</v>
      </c>
      <c r="N113" s="18">
        <v>0.26419999999999999</v>
      </c>
      <c r="O113" s="18">
        <v>0.05</v>
      </c>
      <c r="P113" s="18">
        <v>0.1578</v>
      </c>
      <c r="Q113" s="18">
        <v>0.05</v>
      </c>
      <c r="R113" s="18">
        <v>8.0799999999999997E-2</v>
      </c>
      <c r="S113" s="18">
        <v>0.127</v>
      </c>
      <c r="T113" s="18">
        <v>0.31709999999999999</v>
      </c>
      <c r="U113" s="18">
        <v>0.2135</v>
      </c>
      <c r="V113" s="18">
        <v>0.32</v>
      </c>
      <c r="W113" s="18">
        <v>0.19350000000000001</v>
      </c>
      <c r="X113" s="18">
        <v>0.59319999999999995</v>
      </c>
      <c r="Y113" s="18">
        <v>0.97399999999999998</v>
      </c>
      <c r="Z113" s="18">
        <v>5.8099999999999999E-2</v>
      </c>
      <c r="AA113" s="18">
        <v>1.0126999999999999</v>
      </c>
      <c r="AB113" s="18">
        <v>0.38629999999999998</v>
      </c>
      <c r="AC113" s="18">
        <v>1.8654999999999999</v>
      </c>
      <c r="AD113" s="18">
        <v>1.3415999999999999</v>
      </c>
      <c r="AE113" s="18">
        <v>1.4359999999999999</v>
      </c>
      <c r="AF113" s="18">
        <v>1.7228000000000001</v>
      </c>
      <c r="AG113" s="18">
        <v>0.49469999999999997</v>
      </c>
      <c r="AH113" s="18">
        <v>0.12659999999999999</v>
      </c>
      <c r="AI113" s="18">
        <v>0.26090000000000002</v>
      </c>
      <c r="AJ113" s="18">
        <v>1.6403000000000001</v>
      </c>
      <c r="AK113" s="18">
        <v>1.2782</v>
      </c>
      <c r="AL113" s="18">
        <v>0.29020000000000001</v>
      </c>
      <c r="AM113" s="18">
        <v>0.26979999999999998</v>
      </c>
      <c r="AN113" s="18">
        <v>0.25290000000000001</v>
      </c>
      <c r="AO113" s="18">
        <v>0.19350000000000001</v>
      </c>
      <c r="AP113" s="18">
        <v>0.19189999999999999</v>
      </c>
      <c r="AQ113" s="18">
        <v>0.61050000000000004</v>
      </c>
      <c r="AR113" s="18">
        <v>0.51500000000000001</v>
      </c>
      <c r="AS113" s="18">
        <v>0.65790000000000004</v>
      </c>
      <c r="AT113" s="18">
        <v>0.74139999999999995</v>
      </c>
      <c r="AU113" s="18">
        <v>0.05</v>
      </c>
      <c r="AV113" s="18">
        <v>0.05</v>
      </c>
      <c r="AW113" s="18">
        <v>0.05</v>
      </c>
      <c r="AX113" s="18">
        <v>0.1424</v>
      </c>
    </row>
    <row r="114" spans="1:50" x14ac:dyDescent="0.25">
      <c r="A114" s="17" t="s">
        <v>325</v>
      </c>
      <c r="B114" s="13" t="s">
        <v>222</v>
      </c>
      <c r="C114" s="18">
        <v>5.2999999999999999E-2</v>
      </c>
      <c r="D114" s="18">
        <v>5.2999999999999999E-2</v>
      </c>
      <c r="E114" s="18">
        <v>5.2999999999999999E-2</v>
      </c>
      <c r="F114" s="18">
        <v>5.2999999999999999E-2</v>
      </c>
      <c r="G114" s="18">
        <v>5.2999999999999999E-2</v>
      </c>
      <c r="H114" s="18">
        <v>5.2999999999999999E-2</v>
      </c>
      <c r="I114" s="18">
        <v>5.2999999999999999E-2</v>
      </c>
      <c r="J114" s="18">
        <v>5.2999999999999999E-2</v>
      </c>
      <c r="K114" s="18">
        <v>5.2999999999999999E-2</v>
      </c>
      <c r="L114" s="18">
        <v>5.2999999999999999E-2</v>
      </c>
      <c r="M114" s="18">
        <v>5.2999999999999999E-2</v>
      </c>
      <c r="N114" s="18">
        <v>5.2999999999999999E-2</v>
      </c>
      <c r="O114" s="18">
        <v>5.2999999999999999E-2</v>
      </c>
      <c r="P114" s="18">
        <v>5.2999999999999999E-2</v>
      </c>
      <c r="Q114" s="18">
        <v>5.2999999999999999E-2</v>
      </c>
      <c r="R114" s="18">
        <v>5.2999999999999999E-2</v>
      </c>
      <c r="S114" s="18">
        <v>5.2999999999999999E-2</v>
      </c>
      <c r="T114" s="18">
        <v>5.2999999999999999E-2</v>
      </c>
      <c r="U114" s="18">
        <v>5.2999999999999999E-2</v>
      </c>
      <c r="V114" s="18">
        <v>5.2999999999999999E-2</v>
      </c>
      <c r="W114" s="18">
        <v>5.2999999999999999E-2</v>
      </c>
      <c r="X114" s="18">
        <v>5.4600000000000003E-2</v>
      </c>
      <c r="Y114" s="18">
        <v>6.5299999999999997E-2</v>
      </c>
      <c r="Z114" s="18">
        <v>9.6799999999999997E-2</v>
      </c>
      <c r="AA114" s="18">
        <v>0.1522</v>
      </c>
      <c r="AB114" s="18">
        <v>6.2899999999999998E-2</v>
      </c>
      <c r="AC114" s="18">
        <v>0.35980000000000001</v>
      </c>
      <c r="AD114" s="18">
        <v>1.6063000000000001</v>
      </c>
      <c r="AE114" s="18">
        <v>0.21920000000000001</v>
      </c>
      <c r="AF114" s="18">
        <v>0.23139999999999999</v>
      </c>
      <c r="AG114" s="18">
        <v>0.13350000000000001</v>
      </c>
      <c r="AH114" s="18">
        <v>5.2999999999999999E-2</v>
      </c>
      <c r="AI114" s="18">
        <v>5.2999999999999999E-2</v>
      </c>
      <c r="AJ114" s="18">
        <v>5.2999999999999999E-2</v>
      </c>
      <c r="AK114" s="18">
        <v>5.2999999999999999E-2</v>
      </c>
      <c r="AL114" s="18">
        <v>5.2999999999999999E-2</v>
      </c>
      <c r="AM114" s="18">
        <v>5.2999999999999999E-2</v>
      </c>
      <c r="AN114" s="18">
        <v>5.2999999999999999E-2</v>
      </c>
      <c r="AO114" s="18">
        <v>0.33760000000000001</v>
      </c>
      <c r="AP114" s="18">
        <v>0.44869999999999999</v>
      </c>
      <c r="AQ114" s="18">
        <v>0.45910000000000001</v>
      </c>
      <c r="AR114" s="18">
        <v>0.44159999999999999</v>
      </c>
      <c r="AS114" s="18">
        <v>0.73660000000000003</v>
      </c>
      <c r="AT114" s="18">
        <v>0.34499999999999997</v>
      </c>
      <c r="AU114" s="18">
        <v>0.29799999999999999</v>
      </c>
      <c r="AV114" s="18">
        <v>0.34749999999999998</v>
      </c>
      <c r="AW114" s="18">
        <v>5.2999999999999999E-2</v>
      </c>
      <c r="AX114" s="18">
        <v>6.2700000000000006E-2</v>
      </c>
    </row>
    <row r="115" spans="1:50" x14ac:dyDescent="0.25">
      <c r="A115" s="8" t="s">
        <v>170</v>
      </c>
      <c r="B115" s="10" t="s">
        <v>57</v>
      </c>
      <c r="C115" s="16">
        <v>1.5069999999999999</v>
      </c>
      <c r="D115" s="16">
        <v>0.2281</v>
      </c>
      <c r="E115" s="16">
        <v>0.1389</v>
      </c>
      <c r="F115" s="16">
        <v>0.15720000000000001</v>
      </c>
      <c r="G115" s="16">
        <v>0.318</v>
      </c>
      <c r="H115" s="16">
        <v>0.14419999999999999</v>
      </c>
      <c r="I115" s="16">
        <v>5.5E-2</v>
      </c>
      <c r="J115" s="16">
        <v>0.30780000000000002</v>
      </c>
      <c r="K115" s="16">
        <v>7.8200000000000006E-2</v>
      </c>
      <c r="L115" s="16">
        <v>5.5E-2</v>
      </c>
      <c r="M115" s="16">
        <v>0.2477</v>
      </c>
      <c r="N115" s="16">
        <v>0.22750000000000001</v>
      </c>
      <c r="O115" s="16">
        <v>0.22289999999999999</v>
      </c>
      <c r="P115" s="16">
        <v>5.5E-2</v>
      </c>
      <c r="Q115" s="16">
        <v>0.1618</v>
      </c>
      <c r="R115" s="16">
        <v>0.22409999999999999</v>
      </c>
      <c r="S115" s="16">
        <v>0.16289999999999999</v>
      </c>
      <c r="T115" s="16">
        <v>0.52</v>
      </c>
      <c r="U115" s="16">
        <v>0.28010000000000002</v>
      </c>
      <c r="V115" s="16">
        <v>0.73560000000000003</v>
      </c>
      <c r="W115" s="16">
        <v>0.58020000000000005</v>
      </c>
      <c r="X115" s="16">
        <v>0.2341</v>
      </c>
      <c r="Y115" s="16">
        <v>0.17580000000000001</v>
      </c>
      <c r="Z115" s="16">
        <v>0.2394</v>
      </c>
      <c r="AA115" s="16">
        <v>0.14419999999999999</v>
      </c>
      <c r="AB115" s="16">
        <v>0.1847</v>
      </c>
      <c r="AC115" s="16">
        <v>0.29039999999999999</v>
      </c>
      <c r="AD115" s="16">
        <v>5.5E-2</v>
      </c>
      <c r="AE115" s="16">
        <v>0.3342</v>
      </c>
      <c r="AF115" s="16">
        <v>0.14099999999999999</v>
      </c>
      <c r="AG115" s="16">
        <v>5.5E-2</v>
      </c>
      <c r="AH115" s="16">
        <v>0.1779</v>
      </c>
      <c r="AI115" s="16">
        <v>0.24379999999999999</v>
      </c>
      <c r="AJ115" s="16">
        <v>0.1183</v>
      </c>
      <c r="AK115" s="16">
        <v>0.28310000000000002</v>
      </c>
      <c r="AL115" s="16">
        <v>0.25800000000000001</v>
      </c>
      <c r="AM115" s="16">
        <v>1.6771</v>
      </c>
      <c r="AN115" s="16">
        <v>1.4958</v>
      </c>
      <c r="AO115" s="16">
        <v>0.92700000000000005</v>
      </c>
      <c r="AP115" s="16">
        <v>0.4027</v>
      </c>
      <c r="AQ115" s="16">
        <v>0.36720000000000003</v>
      </c>
      <c r="AR115" s="16">
        <v>0.25469999999999998</v>
      </c>
      <c r="AS115" s="16">
        <v>0.40350000000000003</v>
      </c>
      <c r="AT115" s="16">
        <v>0.49540000000000001</v>
      </c>
      <c r="AU115" s="16">
        <v>1.7856000000000001</v>
      </c>
      <c r="AV115" s="16">
        <v>1.6458999999999999</v>
      </c>
      <c r="AW115" s="16">
        <v>0.31319999999999998</v>
      </c>
      <c r="AX115" s="16">
        <v>0.14419999999999999</v>
      </c>
    </row>
    <row r="116" spans="1:50" x14ac:dyDescent="0.25">
      <c r="A116" s="8" t="s">
        <v>172</v>
      </c>
      <c r="B116" s="10" t="s">
        <v>57</v>
      </c>
      <c r="C116" s="16">
        <v>0.55200000000000005</v>
      </c>
      <c r="D116" s="16">
        <v>0.53359999999999996</v>
      </c>
      <c r="E116" s="16">
        <v>7.9100000000000004E-2</v>
      </c>
      <c r="F116" s="16">
        <v>8.5199999999999998E-2</v>
      </c>
      <c r="G116" s="16">
        <v>4.7E-2</v>
      </c>
      <c r="H116" s="16">
        <v>0.16389999999999999</v>
      </c>
      <c r="I116" s="16">
        <v>0.1108</v>
      </c>
      <c r="J116" s="16">
        <v>0.1769</v>
      </c>
      <c r="K116" s="16">
        <v>3.4000000000000002E-2</v>
      </c>
      <c r="L116" s="16">
        <v>0.1249</v>
      </c>
      <c r="M116" s="16">
        <v>0.16270000000000001</v>
      </c>
      <c r="N116" s="16">
        <v>3.4000000000000002E-2</v>
      </c>
      <c r="O116" s="16">
        <v>5.3499999999999999E-2</v>
      </c>
      <c r="P116" s="16">
        <v>0.23419999999999999</v>
      </c>
      <c r="Q116" s="16">
        <v>3.4000000000000002E-2</v>
      </c>
      <c r="R116" s="16">
        <v>0.1108</v>
      </c>
      <c r="S116" s="16">
        <v>0.1769</v>
      </c>
      <c r="T116" s="16">
        <v>0.1162</v>
      </c>
      <c r="U116" s="16">
        <v>0.19389999999999999</v>
      </c>
      <c r="V116" s="16">
        <v>0.71360000000000001</v>
      </c>
      <c r="W116" s="16">
        <v>1.6255999999999999</v>
      </c>
      <c r="X116" s="16">
        <v>0.18210000000000001</v>
      </c>
      <c r="Y116" s="16">
        <v>0.16919999999999999</v>
      </c>
      <c r="Z116" s="16">
        <v>5.11E-2</v>
      </c>
      <c r="AA116" s="16">
        <v>0.1769</v>
      </c>
      <c r="AB116" s="16">
        <v>8.9399999999999993E-2</v>
      </c>
      <c r="AC116" s="16">
        <v>8.7800000000000003E-2</v>
      </c>
      <c r="AD116" s="16">
        <v>0.1444</v>
      </c>
      <c r="AE116" s="16">
        <v>0.1108</v>
      </c>
      <c r="AF116" s="16">
        <v>0.1769</v>
      </c>
      <c r="AG116" s="16">
        <v>3.4000000000000002E-2</v>
      </c>
      <c r="AH116" s="16">
        <v>5.96E-2</v>
      </c>
      <c r="AI116" s="16">
        <v>0.22159999999999999</v>
      </c>
      <c r="AJ116" s="16">
        <v>4.0500000000000001E-2</v>
      </c>
      <c r="AK116" s="16">
        <v>7.6600000000000001E-2</v>
      </c>
      <c r="AL116" s="16">
        <v>0.21099999999999999</v>
      </c>
      <c r="AM116" s="16">
        <v>3.4000000000000002E-2</v>
      </c>
      <c r="AN116" s="16">
        <v>0.22770000000000001</v>
      </c>
      <c r="AO116" s="16">
        <v>0.06</v>
      </c>
      <c r="AP116" s="16">
        <v>9.1700000000000004E-2</v>
      </c>
      <c r="AQ116" s="16">
        <v>0.19600000000000001</v>
      </c>
      <c r="AR116" s="16">
        <v>6.8099999999999994E-2</v>
      </c>
      <c r="AS116" s="16">
        <v>0.33829999999999999</v>
      </c>
      <c r="AT116" s="16">
        <v>0.26150000000000001</v>
      </c>
      <c r="AU116" s="16">
        <v>0.47389999999999999</v>
      </c>
      <c r="AV116" s="16">
        <v>0.74980000000000002</v>
      </c>
      <c r="AW116" s="16">
        <v>0.41010000000000002</v>
      </c>
      <c r="AX116" s="16">
        <v>0.54859999999999998</v>
      </c>
    </row>
    <row r="117" spans="1:50" x14ac:dyDescent="0.25">
      <c r="A117" s="17" t="s">
        <v>327</v>
      </c>
      <c r="B117" s="13" t="s">
        <v>222</v>
      </c>
      <c r="C117" s="18">
        <v>0.68289999999999995</v>
      </c>
      <c r="D117" s="18">
        <v>0.1487</v>
      </c>
      <c r="E117" s="18">
        <v>0.14330000000000001</v>
      </c>
      <c r="F117" s="18">
        <v>5.3999999999999999E-2</v>
      </c>
      <c r="G117" s="18">
        <v>5.3999999999999999E-2</v>
      </c>
      <c r="H117" s="18">
        <v>0.14330000000000001</v>
      </c>
      <c r="I117" s="18">
        <v>5.3999999999999999E-2</v>
      </c>
      <c r="J117" s="18">
        <v>9.8699999999999996E-2</v>
      </c>
      <c r="K117" s="18">
        <v>9.8699999999999996E-2</v>
      </c>
      <c r="L117" s="18">
        <v>5.3999999999999999E-2</v>
      </c>
      <c r="M117" s="18">
        <v>0.14330000000000001</v>
      </c>
      <c r="N117" s="18">
        <v>5.3999999999999999E-2</v>
      </c>
      <c r="O117" s="18">
        <v>0.1242</v>
      </c>
      <c r="P117" s="18">
        <v>7.3099999999999998E-2</v>
      </c>
      <c r="Q117" s="18">
        <v>5.3999999999999999E-2</v>
      </c>
      <c r="R117" s="18">
        <v>5.3999999999999999E-2</v>
      </c>
      <c r="S117" s="18">
        <v>0.1709</v>
      </c>
      <c r="T117" s="18">
        <v>5.3999999999999999E-2</v>
      </c>
      <c r="U117" s="18">
        <v>5.3999999999999999E-2</v>
      </c>
      <c r="V117" s="18">
        <v>0.14330000000000001</v>
      </c>
      <c r="W117" s="18">
        <v>5.3999999999999999E-2</v>
      </c>
      <c r="X117" s="18">
        <v>5.3999999999999999E-2</v>
      </c>
      <c r="Y117" s="18">
        <v>5.3999999999999999E-2</v>
      </c>
      <c r="Z117" s="18">
        <v>5.3999999999999999E-2</v>
      </c>
      <c r="AA117" s="18">
        <v>5.3999999999999999E-2</v>
      </c>
      <c r="AB117" s="18">
        <v>1.3204</v>
      </c>
      <c r="AC117" s="18">
        <v>1.0702</v>
      </c>
      <c r="AD117" s="18">
        <v>0.33360000000000001</v>
      </c>
      <c r="AE117" s="18">
        <v>0.58089999999999997</v>
      </c>
      <c r="AF117" s="18">
        <v>0.23449999999999999</v>
      </c>
      <c r="AG117" s="18">
        <v>0.504</v>
      </c>
      <c r="AH117" s="18">
        <v>0.54930000000000001</v>
      </c>
      <c r="AI117" s="18">
        <v>0.26700000000000002</v>
      </c>
      <c r="AJ117" s="18">
        <v>0.23369999999999999</v>
      </c>
      <c r="AK117" s="18">
        <v>0.13059999999999999</v>
      </c>
      <c r="AL117" s="18">
        <v>0.10970000000000001</v>
      </c>
      <c r="AM117" s="18">
        <v>0.31330000000000002</v>
      </c>
      <c r="AN117" s="18">
        <v>0.11310000000000001</v>
      </c>
      <c r="AO117" s="18">
        <v>9.7199999999999995E-2</v>
      </c>
      <c r="AP117" s="18">
        <v>0.45400000000000001</v>
      </c>
      <c r="AQ117" s="18">
        <v>0.31740000000000002</v>
      </c>
      <c r="AR117" s="18">
        <v>0.43459999999999999</v>
      </c>
      <c r="AS117" s="18">
        <v>0.72940000000000005</v>
      </c>
      <c r="AT117" s="18">
        <v>0.56230000000000002</v>
      </c>
      <c r="AU117" s="18">
        <v>0.67200000000000004</v>
      </c>
      <c r="AV117" s="18">
        <v>0.59119999999999995</v>
      </c>
      <c r="AW117" s="18">
        <v>0.50690000000000002</v>
      </c>
      <c r="AX117" s="18">
        <v>0.64570000000000005</v>
      </c>
    </row>
    <row r="118" spans="1:50" x14ac:dyDescent="0.25">
      <c r="A118" s="17" t="s">
        <v>329</v>
      </c>
      <c r="B118" s="13" t="s">
        <v>222</v>
      </c>
      <c r="C118" s="18">
        <v>0.73370000000000002</v>
      </c>
      <c r="D118" s="18">
        <v>0.43819999999999998</v>
      </c>
      <c r="E118" s="18">
        <v>0.83150000000000002</v>
      </c>
      <c r="F118" s="18">
        <v>0.66539999999999999</v>
      </c>
      <c r="G118" s="18">
        <v>0.4899</v>
      </c>
      <c r="H118" s="18">
        <v>0.56710000000000005</v>
      </c>
      <c r="I118" s="18">
        <v>0.20699999999999999</v>
      </c>
      <c r="J118" s="18">
        <v>5.2999999999999999E-2</v>
      </c>
      <c r="K118" s="18">
        <v>0.1706</v>
      </c>
      <c r="L118" s="18">
        <v>0.30199999999999999</v>
      </c>
      <c r="M118" s="18">
        <v>0.1636</v>
      </c>
      <c r="N118" s="18">
        <v>0.24510000000000001</v>
      </c>
      <c r="O118" s="18">
        <v>0.1169</v>
      </c>
      <c r="P118" s="18">
        <v>0.1636</v>
      </c>
      <c r="Q118" s="18">
        <v>0.246</v>
      </c>
      <c r="R118" s="18">
        <v>0.14360000000000001</v>
      </c>
      <c r="S118" s="18">
        <v>0.13589999999999999</v>
      </c>
      <c r="T118" s="18">
        <v>6.7000000000000004E-2</v>
      </c>
      <c r="U118" s="18">
        <v>0.57089999999999996</v>
      </c>
      <c r="V118" s="18">
        <v>8.0600000000000005E-2</v>
      </c>
      <c r="W118" s="18">
        <v>0.19700000000000001</v>
      </c>
      <c r="X118" s="18">
        <v>0.36820000000000003</v>
      </c>
      <c r="Y118" s="18">
        <v>0.15090000000000001</v>
      </c>
      <c r="Z118" s="18">
        <v>0.2777</v>
      </c>
      <c r="AA118" s="18">
        <v>0.12509999999999999</v>
      </c>
      <c r="AB118" s="18">
        <v>0.26529999999999998</v>
      </c>
      <c r="AC118" s="18">
        <v>0.20730000000000001</v>
      </c>
      <c r="AD118" s="18">
        <v>0.16500000000000001</v>
      </c>
      <c r="AE118" s="18">
        <v>0.2782</v>
      </c>
      <c r="AF118" s="18">
        <v>8.2400000000000001E-2</v>
      </c>
      <c r="AG118" s="18">
        <v>1.5651999999999999</v>
      </c>
      <c r="AH118" s="18">
        <v>0.32379999999999998</v>
      </c>
      <c r="AI118" s="18">
        <v>0.79830000000000001</v>
      </c>
      <c r="AJ118" s="18">
        <v>0.71399999999999997</v>
      </c>
      <c r="AK118" s="18">
        <v>0.34660000000000002</v>
      </c>
      <c r="AL118" s="18">
        <v>0.39340000000000003</v>
      </c>
      <c r="AM118" s="18">
        <v>0.51619999999999999</v>
      </c>
      <c r="AN118" s="18">
        <v>0.19550000000000001</v>
      </c>
      <c r="AO118" s="18">
        <v>0.35089999999999999</v>
      </c>
      <c r="AP118" s="18">
        <v>0.69989999999999997</v>
      </c>
      <c r="AQ118" s="18">
        <v>0.93159999999999998</v>
      </c>
      <c r="AR118" s="18">
        <v>0.62460000000000004</v>
      </c>
      <c r="AS118" s="18">
        <v>0.49530000000000002</v>
      </c>
      <c r="AT118" s="18">
        <v>0.47070000000000001</v>
      </c>
      <c r="AU118" s="18">
        <v>1.1719999999999999</v>
      </c>
      <c r="AV118" s="18">
        <v>0.48370000000000002</v>
      </c>
      <c r="AW118" s="18">
        <v>0.76270000000000004</v>
      </c>
      <c r="AX118" s="18">
        <v>0.16200000000000001</v>
      </c>
    </row>
    <row r="119" spans="1:50" x14ac:dyDescent="0.25">
      <c r="A119" s="8" t="s">
        <v>174</v>
      </c>
      <c r="B119" s="10" t="s">
        <v>57</v>
      </c>
      <c r="C119" s="16">
        <v>0.10199999999999999</v>
      </c>
      <c r="D119" s="16">
        <v>0.1336</v>
      </c>
      <c r="E119" s="16">
        <v>0.15079999999999999</v>
      </c>
      <c r="F119" s="16">
        <v>0.05</v>
      </c>
      <c r="G119" s="16">
        <v>0.23430000000000001</v>
      </c>
      <c r="H119" s="16">
        <v>0.05</v>
      </c>
      <c r="I119" s="16">
        <v>0.05</v>
      </c>
      <c r="J119" s="16">
        <v>0.128</v>
      </c>
      <c r="K119" s="16">
        <v>0.15629999999999999</v>
      </c>
      <c r="L119" s="16">
        <v>0.05</v>
      </c>
      <c r="M119" s="16">
        <v>0.1336</v>
      </c>
      <c r="N119" s="16">
        <v>0.13780000000000001</v>
      </c>
      <c r="O119" s="16">
        <v>6.3E-2</v>
      </c>
      <c r="P119" s="16">
        <v>0.20830000000000001</v>
      </c>
      <c r="Q119" s="16">
        <v>7.5999999999999998E-2</v>
      </c>
      <c r="R119" s="16">
        <v>6.7299999999999999E-2</v>
      </c>
      <c r="S119" s="16">
        <v>0.19420000000000001</v>
      </c>
      <c r="T119" s="16">
        <v>7.2800000000000004E-2</v>
      </c>
      <c r="U119" s="16">
        <v>0.128</v>
      </c>
      <c r="V119" s="16">
        <v>0.22839999999999999</v>
      </c>
      <c r="W119" s="16">
        <v>0.35220000000000001</v>
      </c>
      <c r="X119" s="16">
        <v>0.30940000000000001</v>
      </c>
      <c r="Y119" s="16">
        <v>0.32829999999999998</v>
      </c>
      <c r="Z119" s="16">
        <v>0.19819999999999999</v>
      </c>
      <c r="AA119" s="16">
        <v>0.05</v>
      </c>
      <c r="AB119" s="16">
        <v>0.2127</v>
      </c>
      <c r="AC119" s="16">
        <v>7.17E-2</v>
      </c>
      <c r="AD119" s="16">
        <v>0.17799999999999999</v>
      </c>
      <c r="AE119" s="16">
        <v>0.10630000000000001</v>
      </c>
      <c r="AF119" s="16">
        <v>0.05</v>
      </c>
      <c r="AG119" s="16">
        <v>0.23430000000000001</v>
      </c>
      <c r="AH119" s="16">
        <v>0.05</v>
      </c>
      <c r="AI119" s="16">
        <v>0.15629999999999999</v>
      </c>
      <c r="AJ119" s="16">
        <v>0.05</v>
      </c>
      <c r="AK119" s="16">
        <v>0.14319999999999999</v>
      </c>
      <c r="AL119" s="16">
        <v>0.1411</v>
      </c>
      <c r="AM119" s="16">
        <v>0.05</v>
      </c>
      <c r="AN119" s="16">
        <v>0.20399999999999999</v>
      </c>
      <c r="AO119" s="16">
        <v>8.0299999999999996E-2</v>
      </c>
      <c r="AP119" s="16">
        <v>8.8999999999999996E-2</v>
      </c>
      <c r="AQ119" s="16">
        <v>0.1953</v>
      </c>
      <c r="AR119" s="16">
        <v>0.05</v>
      </c>
      <c r="AS119" s="16">
        <v>0.05</v>
      </c>
      <c r="AT119" s="16">
        <v>0.377</v>
      </c>
      <c r="AU119" s="16">
        <v>0.22989999999999999</v>
      </c>
      <c r="AV119" s="16">
        <v>0.25569999999999998</v>
      </c>
      <c r="AW119" s="16">
        <v>0.38890000000000002</v>
      </c>
      <c r="AX119" s="16">
        <v>0.45329999999999998</v>
      </c>
    </row>
    <row r="120" spans="1:50" x14ac:dyDescent="0.25">
      <c r="A120" s="8" t="s">
        <v>176</v>
      </c>
      <c r="B120" s="10" t="s">
        <v>57</v>
      </c>
      <c r="C120" s="16">
        <v>5.8000000000000003E-2</v>
      </c>
      <c r="D120" s="16">
        <v>0.19980000000000001</v>
      </c>
      <c r="E120" s="16">
        <v>7.6200000000000004E-2</v>
      </c>
      <c r="F120" s="16">
        <v>0.19009999999999999</v>
      </c>
      <c r="G120" s="16">
        <v>8.5900000000000004E-2</v>
      </c>
      <c r="H120" s="16">
        <v>5.8000000000000003E-2</v>
      </c>
      <c r="I120" s="16">
        <v>0.218</v>
      </c>
      <c r="J120" s="16">
        <v>5.8000000000000003E-2</v>
      </c>
      <c r="K120" s="16">
        <v>0.1139</v>
      </c>
      <c r="L120" s="16">
        <v>8.0399999999999999E-2</v>
      </c>
      <c r="M120" s="16">
        <v>5.8000000000000003E-2</v>
      </c>
      <c r="N120" s="16">
        <v>0.19980000000000001</v>
      </c>
      <c r="O120" s="16">
        <v>7.6200000000000004E-2</v>
      </c>
      <c r="P120" s="16">
        <v>0.1139</v>
      </c>
      <c r="Q120" s="16">
        <v>0.16209999999999999</v>
      </c>
      <c r="R120" s="16">
        <v>5.8000000000000003E-2</v>
      </c>
      <c r="S120" s="16">
        <v>0.15890000000000001</v>
      </c>
      <c r="T120" s="16">
        <v>0.1171</v>
      </c>
      <c r="U120" s="16">
        <v>8.5300000000000001E-2</v>
      </c>
      <c r="V120" s="16">
        <v>0.1125</v>
      </c>
      <c r="W120" s="16">
        <v>0.13619999999999999</v>
      </c>
      <c r="X120" s="16">
        <v>7.6200000000000004E-2</v>
      </c>
      <c r="Y120" s="16">
        <v>0.15509999999999999</v>
      </c>
      <c r="Z120" s="16">
        <v>0.1027</v>
      </c>
      <c r="AA120" s="16">
        <v>0.12609999999999999</v>
      </c>
      <c r="AB120" s="16">
        <v>0.14990000000000001</v>
      </c>
      <c r="AC120" s="16">
        <v>0.108</v>
      </c>
      <c r="AD120" s="16">
        <v>8.9800000000000005E-2</v>
      </c>
      <c r="AE120" s="16">
        <v>0.19070000000000001</v>
      </c>
      <c r="AF120" s="16">
        <v>8.5300000000000001E-2</v>
      </c>
      <c r="AG120" s="16">
        <v>9.7100000000000006E-2</v>
      </c>
      <c r="AH120" s="16">
        <v>9.7100000000000006E-2</v>
      </c>
      <c r="AI120" s="16">
        <v>0.19639999999999999</v>
      </c>
      <c r="AJ120" s="16">
        <v>0.36969999999999997</v>
      </c>
      <c r="AK120" s="16">
        <v>0.1048</v>
      </c>
      <c r="AL120" s="16">
        <v>0.18149999999999999</v>
      </c>
      <c r="AM120" s="16">
        <v>0.1588</v>
      </c>
      <c r="AN120" s="16">
        <v>0.19</v>
      </c>
      <c r="AO120" s="16">
        <v>0.46829999999999999</v>
      </c>
      <c r="AP120" s="16">
        <v>0.46079999999999999</v>
      </c>
      <c r="AQ120" s="16">
        <v>0.69359999999999999</v>
      </c>
      <c r="AR120" s="16">
        <v>0.81420000000000003</v>
      </c>
      <c r="AS120" s="16">
        <v>0.64149999999999996</v>
      </c>
      <c r="AT120" s="16">
        <v>0.57720000000000005</v>
      </c>
      <c r="AU120" s="16">
        <v>0.39279999999999998</v>
      </c>
      <c r="AV120" s="16">
        <v>0.5212</v>
      </c>
      <c r="AW120" s="16">
        <v>0.14990000000000001</v>
      </c>
      <c r="AX120" s="16">
        <v>0.13519999999999999</v>
      </c>
    </row>
    <row r="121" spans="1:50" x14ac:dyDescent="0.25">
      <c r="A121" s="17" t="s">
        <v>331</v>
      </c>
      <c r="B121" s="13" t="s">
        <v>222</v>
      </c>
      <c r="C121" s="18">
        <v>0.16039999999999999</v>
      </c>
      <c r="D121" s="18">
        <v>0.14599999999999999</v>
      </c>
      <c r="E121" s="18">
        <v>9.9299999999999999E-2</v>
      </c>
      <c r="F121" s="18">
        <v>0.24640000000000001</v>
      </c>
      <c r="G121" s="18">
        <v>0.14860000000000001</v>
      </c>
      <c r="H121" s="18">
        <v>0.24640000000000001</v>
      </c>
      <c r="I121" s="18">
        <v>0.05</v>
      </c>
      <c r="J121" s="18">
        <v>8.9300000000000004E-2</v>
      </c>
      <c r="K121" s="18">
        <v>0.17929999999999999</v>
      </c>
      <c r="L121" s="18">
        <v>0.1764</v>
      </c>
      <c r="M121" s="18">
        <v>0.1173</v>
      </c>
      <c r="N121" s="18">
        <v>0.22140000000000001</v>
      </c>
      <c r="O121" s="18">
        <v>0.1062</v>
      </c>
      <c r="P121" s="18">
        <v>0.05</v>
      </c>
      <c r="Q121" s="18">
        <v>0.26090000000000002</v>
      </c>
      <c r="R121" s="18">
        <v>0.05</v>
      </c>
      <c r="S121" s="18">
        <v>1.0831999999999999</v>
      </c>
      <c r="T121" s="18">
        <v>0.1787</v>
      </c>
      <c r="U121" s="18">
        <v>0.14729999999999999</v>
      </c>
      <c r="V121" s="18">
        <v>0.22900000000000001</v>
      </c>
      <c r="W121" s="18">
        <v>0.1154</v>
      </c>
      <c r="X121" s="18">
        <v>0.16220000000000001</v>
      </c>
      <c r="Y121" s="18">
        <v>0.05</v>
      </c>
      <c r="Z121" s="18">
        <v>0.14860000000000001</v>
      </c>
      <c r="AA121" s="18">
        <v>0.21829999999999999</v>
      </c>
      <c r="AB121" s="18">
        <v>7.8E-2</v>
      </c>
      <c r="AC121" s="18">
        <v>0.48630000000000001</v>
      </c>
      <c r="AD121" s="18">
        <v>0.16309999999999999</v>
      </c>
      <c r="AE121" s="18">
        <v>0.14369999999999999</v>
      </c>
      <c r="AF121" s="18">
        <v>1.6547000000000001</v>
      </c>
      <c r="AG121" s="18">
        <v>3.4420000000000002</v>
      </c>
      <c r="AH121" s="18">
        <v>2.5556999999999999</v>
      </c>
      <c r="AI121" s="18">
        <v>0.46850000000000003</v>
      </c>
      <c r="AJ121" s="18">
        <v>0.2429</v>
      </c>
      <c r="AK121" s="18">
        <v>0.27089999999999997</v>
      </c>
      <c r="AL121" s="18">
        <v>0.78990000000000005</v>
      </c>
      <c r="AM121" s="18">
        <v>0.46210000000000001</v>
      </c>
      <c r="AN121" s="18">
        <v>0.3407</v>
      </c>
      <c r="AO121" s="18">
        <v>0.29809999999999998</v>
      </c>
      <c r="AP121" s="18">
        <v>0.56610000000000005</v>
      </c>
      <c r="AQ121" s="18">
        <v>0.32569999999999999</v>
      </c>
      <c r="AR121" s="18">
        <v>0.31859999999999999</v>
      </c>
      <c r="AS121" s="18">
        <v>0.49270000000000003</v>
      </c>
      <c r="AT121" s="18">
        <v>0.39989999999999998</v>
      </c>
      <c r="AU121" s="18">
        <v>0.42530000000000001</v>
      </c>
      <c r="AV121" s="18">
        <v>0.42659999999999998</v>
      </c>
      <c r="AW121" s="18">
        <v>0.05</v>
      </c>
      <c r="AX121" s="18">
        <v>0.05</v>
      </c>
    </row>
    <row r="122" spans="1:50" x14ac:dyDescent="0.25">
      <c r="A122" s="17" t="s">
        <v>333</v>
      </c>
      <c r="B122" s="13" t="s">
        <v>222</v>
      </c>
      <c r="C122" s="18">
        <v>0.13300000000000001</v>
      </c>
      <c r="D122" s="18">
        <v>0.1726</v>
      </c>
      <c r="E122" s="18">
        <v>0.10349999999999999</v>
      </c>
      <c r="F122" s="18">
        <v>8.9899999999999994E-2</v>
      </c>
      <c r="G122" s="18">
        <v>0.2089</v>
      </c>
      <c r="H122" s="18">
        <v>0.1444</v>
      </c>
      <c r="I122" s="18">
        <v>4.9000000000000002E-2</v>
      </c>
      <c r="J122" s="18">
        <v>0.1799</v>
      </c>
      <c r="K122" s="18">
        <v>0.17349999999999999</v>
      </c>
      <c r="L122" s="18">
        <v>0.1144</v>
      </c>
      <c r="M122" s="18">
        <v>0.14349999999999999</v>
      </c>
      <c r="N122" s="18">
        <v>0.1103</v>
      </c>
      <c r="O122" s="18">
        <v>8.3099999999999993E-2</v>
      </c>
      <c r="P122" s="18">
        <v>0.1653</v>
      </c>
      <c r="Q122" s="18">
        <v>0.188</v>
      </c>
      <c r="R122" s="18">
        <v>9.2600000000000002E-2</v>
      </c>
      <c r="S122" s="18">
        <v>0.17430000000000001</v>
      </c>
      <c r="T122" s="18">
        <v>0.14710000000000001</v>
      </c>
      <c r="U122" s="18">
        <v>0.22059999999999999</v>
      </c>
      <c r="V122" s="18">
        <v>0.1971</v>
      </c>
      <c r="W122" s="18">
        <v>0.39989999999999998</v>
      </c>
      <c r="X122" s="18">
        <v>7.7600000000000002E-2</v>
      </c>
      <c r="Y122" s="18">
        <v>0.14480000000000001</v>
      </c>
      <c r="Z122" s="18">
        <v>0.20169999999999999</v>
      </c>
      <c r="AA122" s="18">
        <v>0.42209999999999998</v>
      </c>
      <c r="AB122" s="18">
        <v>0.78979999999999995</v>
      </c>
      <c r="AC122" s="18">
        <v>0.17979999999999999</v>
      </c>
      <c r="AD122" s="18">
        <v>0.32440000000000002</v>
      </c>
      <c r="AE122" s="18">
        <v>9.1399999999999995E-2</v>
      </c>
      <c r="AF122" s="18">
        <v>0.8639</v>
      </c>
      <c r="AG122" s="18">
        <v>0.49399999999999999</v>
      </c>
      <c r="AH122" s="18">
        <v>0.23719999999999999</v>
      </c>
      <c r="AI122" s="18">
        <v>0.31990000000000002</v>
      </c>
      <c r="AJ122" s="18">
        <v>4.9500000000000002E-2</v>
      </c>
      <c r="AK122" s="18">
        <v>0.1368</v>
      </c>
      <c r="AL122" s="18">
        <v>0.28760000000000002</v>
      </c>
      <c r="AM122" s="18">
        <v>0.15809999999999999</v>
      </c>
      <c r="AN122" s="18">
        <v>1.5365</v>
      </c>
      <c r="AO122" s="18">
        <v>0.91810000000000003</v>
      </c>
      <c r="AP122" s="18">
        <v>0.18579999999999999</v>
      </c>
      <c r="AQ122" s="18">
        <v>0.33829999999999999</v>
      </c>
      <c r="AR122" s="18">
        <v>0.38940000000000002</v>
      </c>
      <c r="AS122" s="18">
        <v>0.5756</v>
      </c>
      <c r="AT122" s="18">
        <v>0.76800000000000002</v>
      </c>
      <c r="AU122" s="18">
        <v>1.7014</v>
      </c>
      <c r="AV122" s="18">
        <v>0.79330000000000001</v>
      </c>
      <c r="AW122" s="18">
        <v>0.26300000000000001</v>
      </c>
      <c r="AX122" s="18">
        <v>5.6300000000000003E-2</v>
      </c>
    </row>
    <row r="123" spans="1:50" x14ac:dyDescent="0.25">
      <c r="A123" s="8" t="s">
        <v>178</v>
      </c>
      <c r="B123" s="10" t="s">
        <v>57</v>
      </c>
      <c r="C123" s="16">
        <v>0.1229</v>
      </c>
      <c r="D123" s="16">
        <v>0.1048</v>
      </c>
      <c r="E123" s="16">
        <v>0.2636</v>
      </c>
      <c r="F123" s="16">
        <v>0.17330000000000001</v>
      </c>
      <c r="G123" s="16">
        <v>9.4600000000000004E-2</v>
      </c>
      <c r="H123" s="16">
        <v>0.34229999999999999</v>
      </c>
      <c r="I123" s="16">
        <v>5.0999999999999997E-2</v>
      </c>
      <c r="J123" s="16">
        <v>0.1986</v>
      </c>
      <c r="K123" s="16">
        <v>0.23830000000000001</v>
      </c>
      <c r="L123" s="16">
        <v>7.3099999999999998E-2</v>
      </c>
      <c r="M123" s="16">
        <v>0.32540000000000002</v>
      </c>
      <c r="N123" s="16">
        <v>8.9399999999999993E-2</v>
      </c>
      <c r="O123" s="16">
        <v>0.27829999999999999</v>
      </c>
      <c r="P123" s="16">
        <v>5.0999999999999997E-2</v>
      </c>
      <c r="Q123" s="16">
        <v>0.30499999999999999</v>
      </c>
      <c r="R123" s="16">
        <v>0.53490000000000004</v>
      </c>
      <c r="S123" s="16">
        <v>8.0299999999999996E-2</v>
      </c>
      <c r="T123" s="16">
        <v>0.42249999999999999</v>
      </c>
      <c r="U123" s="16">
        <v>5.0999999999999997E-2</v>
      </c>
      <c r="V123" s="16">
        <v>0.13420000000000001</v>
      </c>
      <c r="W123" s="16">
        <v>0.30270000000000002</v>
      </c>
      <c r="X123" s="16">
        <v>5.0999999999999997E-2</v>
      </c>
      <c r="Y123" s="16">
        <v>0.21299999999999999</v>
      </c>
      <c r="Z123" s="16">
        <v>0.1731</v>
      </c>
      <c r="AA123" s="16">
        <v>0.1018</v>
      </c>
      <c r="AB123" s="16">
        <v>0.22800000000000001</v>
      </c>
      <c r="AC123" s="16">
        <v>0.23069999999999999</v>
      </c>
      <c r="AD123" s="16">
        <v>0.1648</v>
      </c>
      <c r="AE123" s="16">
        <v>0.17630000000000001</v>
      </c>
      <c r="AF123" s="16">
        <v>0.18870000000000001</v>
      </c>
      <c r="AG123" s="16">
        <v>0.1656</v>
      </c>
      <c r="AH123" s="16">
        <v>0.1303</v>
      </c>
      <c r="AI123" s="16">
        <v>0.18479999999999999</v>
      </c>
      <c r="AJ123" s="16">
        <v>0.252</v>
      </c>
      <c r="AK123" s="16">
        <v>0.08</v>
      </c>
      <c r="AL123" s="16">
        <v>0.16830000000000001</v>
      </c>
      <c r="AM123" s="16">
        <v>0.23960000000000001</v>
      </c>
      <c r="AN123" s="16">
        <v>5.0999999999999997E-2</v>
      </c>
      <c r="AO123" s="16">
        <v>0.24640000000000001</v>
      </c>
      <c r="AP123" s="16">
        <v>0.36499999999999999</v>
      </c>
      <c r="AQ123" s="16">
        <v>0.30259999999999998</v>
      </c>
      <c r="AR123" s="16">
        <v>0.56710000000000005</v>
      </c>
      <c r="AS123" s="16">
        <v>0.30520000000000003</v>
      </c>
      <c r="AT123" s="16">
        <v>0.54530000000000001</v>
      </c>
      <c r="AU123" s="16">
        <v>0.60019999999999996</v>
      </c>
      <c r="AV123" s="16">
        <v>0.76170000000000004</v>
      </c>
      <c r="AW123" s="16">
        <v>0.6653</v>
      </c>
      <c r="AX123" s="16">
        <v>0.15859999999999999</v>
      </c>
    </row>
    <row r="124" spans="1:50" x14ac:dyDescent="0.25">
      <c r="A124" s="17" t="s">
        <v>335</v>
      </c>
      <c r="B124" s="13" t="s">
        <v>222</v>
      </c>
      <c r="C124" s="18">
        <v>0.16819999999999999</v>
      </c>
      <c r="D124" s="18">
        <v>0.20219999999999999</v>
      </c>
      <c r="E124" s="18">
        <v>5.3999999999999999E-2</v>
      </c>
      <c r="F124" s="18">
        <v>0.26240000000000002</v>
      </c>
      <c r="G124" s="18">
        <v>8.5900000000000004E-2</v>
      </c>
      <c r="H124" s="18">
        <v>0.50129999999999997</v>
      </c>
      <c r="I124" s="18">
        <v>0.50319999999999998</v>
      </c>
      <c r="J124" s="18">
        <v>0.22900000000000001</v>
      </c>
      <c r="K124" s="18">
        <v>0.154</v>
      </c>
      <c r="L124" s="18">
        <v>0.1943</v>
      </c>
      <c r="M124" s="18">
        <v>5.3999999999999999E-2</v>
      </c>
      <c r="N124" s="18">
        <v>0.25600000000000001</v>
      </c>
      <c r="O124" s="18">
        <v>9.2299999999999993E-2</v>
      </c>
      <c r="P124" s="18">
        <v>5.3999999999999999E-2</v>
      </c>
      <c r="Q124" s="18">
        <v>0.2369</v>
      </c>
      <c r="R124" s="18">
        <v>0.1114</v>
      </c>
      <c r="S124" s="18">
        <v>0.1915</v>
      </c>
      <c r="T124" s="18">
        <v>0.15679999999999999</v>
      </c>
      <c r="U124" s="18">
        <v>5.8099999999999999E-2</v>
      </c>
      <c r="V124" s="18">
        <v>0.26569999999999999</v>
      </c>
      <c r="W124" s="18">
        <v>8.2600000000000007E-2</v>
      </c>
      <c r="X124" s="18">
        <v>0.1178</v>
      </c>
      <c r="Y124" s="18">
        <v>0.24279999999999999</v>
      </c>
      <c r="Z124" s="18">
        <v>5.3999999999999999E-2</v>
      </c>
      <c r="AA124" s="18">
        <v>0.24249999999999999</v>
      </c>
      <c r="AB124" s="18">
        <v>0.109</v>
      </c>
      <c r="AC124" s="18">
        <v>7.7299999999999994E-2</v>
      </c>
      <c r="AD124" s="18">
        <v>0.28499999999999998</v>
      </c>
      <c r="AE124" s="18">
        <v>5.9499999999999997E-2</v>
      </c>
      <c r="AF124" s="18">
        <v>0.27079999999999999</v>
      </c>
      <c r="AG124" s="18">
        <v>9.3899999999999997E-2</v>
      </c>
      <c r="AH124" s="18">
        <v>0.14299999999999999</v>
      </c>
      <c r="AI124" s="18">
        <v>0.2666</v>
      </c>
      <c r="AJ124" s="18">
        <v>0.1469</v>
      </c>
      <c r="AK124" s="18">
        <v>0.35439999999999999</v>
      </c>
      <c r="AL124" s="18">
        <v>5.9900000000000002E-2</v>
      </c>
      <c r="AM124" s="18">
        <v>0.30680000000000002</v>
      </c>
      <c r="AN124" s="18">
        <v>1.0344</v>
      </c>
      <c r="AO124" s="18">
        <v>0.33069999999999999</v>
      </c>
      <c r="AP124" s="18">
        <v>0.73699999999999999</v>
      </c>
      <c r="AQ124" s="18">
        <v>0.53539999999999999</v>
      </c>
      <c r="AR124" s="18">
        <v>0.52259999999999995</v>
      </c>
      <c r="AS124" s="18">
        <v>0.95809999999999995</v>
      </c>
      <c r="AT124" s="18">
        <v>1.6516999999999999</v>
      </c>
      <c r="AU124" s="18">
        <v>0.4325</v>
      </c>
      <c r="AV124" s="18">
        <v>0.49769999999999998</v>
      </c>
      <c r="AW124" s="18">
        <v>0.17519999999999999</v>
      </c>
      <c r="AX124" s="18">
        <v>0.1303</v>
      </c>
    </row>
    <row r="125" spans="1:50" x14ac:dyDescent="0.25">
      <c r="A125" s="17" t="s">
        <v>337</v>
      </c>
      <c r="B125" s="13" t="s">
        <v>222</v>
      </c>
      <c r="C125" s="18">
        <v>0.76859999999999995</v>
      </c>
      <c r="D125" s="18">
        <v>0.1095</v>
      </c>
      <c r="E125" s="18">
        <v>0.2172</v>
      </c>
      <c r="F125" s="18">
        <v>0.1095</v>
      </c>
      <c r="G125" s="18">
        <v>3.3000000000000002E-2</v>
      </c>
      <c r="H125" s="18">
        <v>0.1095</v>
      </c>
      <c r="I125" s="18">
        <v>5.8099999999999999E-2</v>
      </c>
      <c r="J125" s="18">
        <v>0.19209999999999999</v>
      </c>
      <c r="K125" s="18">
        <v>9.2499999999999999E-2</v>
      </c>
      <c r="L125" s="18">
        <v>0.20910000000000001</v>
      </c>
      <c r="M125" s="18">
        <v>5.8099999999999999E-2</v>
      </c>
      <c r="N125" s="18">
        <v>0.1095</v>
      </c>
      <c r="O125" s="18">
        <v>0.2172</v>
      </c>
      <c r="P125" s="18">
        <v>5.8500000000000003E-2</v>
      </c>
      <c r="Q125" s="18">
        <v>0.25140000000000001</v>
      </c>
      <c r="R125" s="18">
        <v>4.9700000000000001E-2</v>
      </c>
      <c r="S125" s="18">
        <v>0.21</v>
      </c>
      <c r="T125" s="18">
        <v>0.24759999999999999</v>
      </c>
      <c r="U125" s="18">
        <v>9.2499999999999999E-2</v>
      </c>
      <c r="V125" s="18">
        <v>0.184</v>
      </c>
      <c r="W125" s="18">
        <v>0.1512</v>
      </c>
      <c r="X125" s="18">
        <v>0.12520000000000001</v>
      </c>
      <c r="Y125" s="18">
        <v>0.13350000000000001</v>
      </c>
      <c r="Z125" s="18">
        <v>0.1346</v>
      </c>
      <c r="AA125" s="18">
        <v>0.22140000000000001</v>
      </c>
      <c r="AB125" s="18">
        <v>0.33239999999999997</v>
      </c>
      <c r="AC125" s="18">
        <v>0.41930000000000001</v>
      </c>
      <c r="AD125" s="18">
        <v>0.1346</v>
      </c>
      <c r="AE125" s="18">
        <v>3.3000000000000002E-2</v>
      </c>
      <c r="AF125" s="18">
        <v>8.7900000000000006E-2</v>
      </c>
      <c r="AG125" s="18">
        <v>0.379</v>
      </c>
      <c r="AH125" s="18">
        <v>6.1400000000000003E-2</v>
      </c>
      <c r="AI125" s="18">
        <v>0.22869999999999999</v>
      </c>
      <c r="AJ125" s="18">
        <v>0.51149999999999995</v>
      </c>
      <c r="AK125" s="18">
        <v>0.26860000000000001</v>
      </c>
      <c r="AL125" s="18">
        <v>0.2853</v>
      </c>
      <c r="AM125" s="18">
        <v>9.8599999999999993E-2</v>
      </c>
      <c r="AN125" s="18">
        <v>6.1499999999999999E-2</v>
      </c>
      <c r="AO125" s="18">
        <v>0.52090000000000003</v>
      </c>
      <c r="AP125" s="18">
        <v>1.4391</v>
      </c>
      <c r="AQ125" s="18">
        <v>1.3431999999999999</v>
      </c>
      <c r="AR125" s="18">
        <v>0.4148</v>
      </c>
      <c r="AS125" s="18">
        <v>0.20319999999999999</v>
      </c>
      <c r="AT125" s="18">
        <v>0.40229999999999999</v>
      </c>
      <c r="AU125" s="18">
        <v>0.26719999999999999</v>
      </c>
      <c r="AV125" s="18">
        <v>0.5403</v>
      </c>
      <c r="AW125" s="18">
        <v>0.5171</v>
      </c>
      <c r="AX125" s="18">
        <v>0.16800000000000001</v>
      </c>
    </row>
    <row r="126" spans="1:50" x14ac:dyDescent="0.25">
      <c r="A126" s="8" t="s">
        <v>180</v>
      </c>
      <c r="B126" s="10" t="s">
        <v>57</v>
      </c>
      <c r="C126" s="16">
        <v>0.20669999999999999</v>
      </c>
      <c r="D126" s="16">
        <v>0.1135</v>
      </c>
      <c r="E126" s="16">
        <v>5.62E-2</v>
      </c>
      <c r="F126" s="16">
        <v>0.22720000000000001</v>
      </c>
      <c r="G126" s="16">
        <v>0.1012</v>
      </c>
      <c r="H126" s="16">
        <v>8.48E-2</v>
      </c>
      <c r="I126" s="16">
        <v>0.24360000000000001</v>
      </c>
      <c r="J126" s="16">
        <v>4.8000000000000001E-2</v>
      </c>
      <c r="K126" s="16">
        <v>4.8000000000000001E-2</v>
      </c>
      <c r="L126" s="16">
        <v>0.20669999999999999</v>
      </c>
      <c r="M126" s="16">
        <v>4.8000000000000001E-2</v>
      </c>
      <c r="N126" s="16">
        <v>9.2999999999999999E-2</v>
      </c>
      <c r="O126" s="16">
        <v>0.22819999999999999</v>
      </c>
      <c r="P126" s="16">
        <v>5.5199999999999999E-2</v>
      </c>
      <c r="Q126" s="16">
        <v>0.14180000000000001</v>
      </c>
      <c r="R126" s="16">
        <v>0.1129</v>
      </c>
      <c r="S126" s="16">
        <v>0.12189999999999999</v>
      </c>
      <c r="T126" s="16">
        <v>6.2799999999999995E-2</v>
      </c>
      <c r="U126" s="16">
        <v>0.25380000000000003</v>
      </c>
      <c r="V126" s="16">
        <v>0.1077</v>
      </c>
      <c r="W126" s="16">
        <v>6.3700000000000007E-2</v>
      </c>
      <c r="X126" s="16">
        <v>9.8500000000000004E-2</v>
      </c>
      <c r="Y126" s="16">
        <v>0.20669999999999999</v>
      </c>
      <c r="Z126" s="16">
        <v>4.8000000000000001E-2</v>
      </c>
      <c r="AA126" s="16">
        <v>0.1076</v>
      </c>
      <c r="AB126" s="16">
        <v>0.23300000000000001</v>
      </c>
      <c r="AC126" s="16">
        <v>9.5399999999999999E-2</v>
      </c>
      <c r="AD126" s="16">
        <v>4.8000000000000001E-2</v>
      </c>
      <c r="AE126" s="16">
        <v>0.28510000000000002</v>
      </c>
      <c r="AF126" s="16">
        <v>4.8000000000000001E-2</v>
      </c>
      <c r="AG126" s="16">
        <v>0.1217</v>
      </c>
      <c r="AH126" s="16">
        <v>0.20669999999999999</v>
      </c>
      <c r="AI126" s="16">
        <v>4.8000000000000001E-2</v>
      </c>
      <c r="AJ126" s="16">
        <v>0.18659999999999999</v>
      </c>
      <c r="AK126" s="16">
        <v>0.14180000000000001</v>
      </c>
      <c r="AL126" s="16">
        <v>5.7299999999999997E-2</v>
      </c>
      <c r="AM126" s="16">
        <v>0.26119999999999999</v>
      </c>
      <c r="AN126" s="16">
        <v>1.5528999999999999</v>
      </c>
      <c r="AO126" s="16">
        <v>1.5819000000000001</v>
      </c>
      <c r="AP126" s="16">
        <v>0.70789999999999997</v>
      </c>
      <c r="AQ126" s="16">
        <v>0.33360000000000001</v>
      </c>
      <c r="AR126" s="16">
        <v>0.47089999999999999</v>
      </c>
      <c r="AS126" s="16">
        <v>1.0342</v>
      </c>
      <c r="AT126" s="16">
        <v>1.0733999999999999</v>
      </c>
      <c r="AU126" s="16">
        <v>0.44690000000000002</v>
      </c>
      <c r="AV126" s="16">
        <v>0.68700000000000006</v>
      </c>
      <c r="AW126" s="16">
        <v>0.90720000000000001</v>
      </c>
      <c r="AX126" s="16">
        <v>1.0773999999999999</v>
      </c>
    </row>
    <row r="127" spans="1:50" x14ac:dyDescent="0.25">
      <c r="A127" s="17" t="s">
        <v>339</v>
      </c>
      <c r="B127" s="13" t="s">
        <v>222</v>
      </c>
      <c r="C127" s="18">
        <v>0.36969999999999997</v>
      </c>
      <c r="D127" s="18">
        <v>4.9000000000000002E-2</v>
      </c>
      <c r="E127" s="18">
        <v>0.1196</v>
      </c>
      <c r="F127" s="18">
        <v>0.17760000000000001</v>
      </c>
      <c r="G127" s="18">
        <v>8.6599999999999996E-2</v>
      </c>
      <c r="H127" s="18">
        <v>0.21060000000000001</v>
      </c>
      <c r="I127" s="18">
        <v>0.12429999999999999</v>
      </c>
      <c r="J127" s="18">
        <v>0.1479</v>
      </c>
      <c r="K127" s="18">
        <v>0.11799999999999999</v>
      </c>
      <c r="L127" s="18">
        <v>0.12509999999999999</v>
      </c>
      <c r="M127" s="18">
        <v>0.14080000000000001</v>
      </c>
      <c r="N127" s="18">
        <v>0.18079999999999999</v>
      </c>
      <c r="O127" s="18">
        <v>0.1542</v>
      </c>
      <c r="P127" s="18">
        <v>4.9799999999999997E-2</v>
      </c>
      <c r="Q127" s="18">
        <v>1.1303000000000001</v>
      </c>
      <c r="R127" s="18">
        <v>0.2848</v>
      </c>
      <c r="S127" s="18">
        <v>0.2394</v>
      </c>
      <c r="T127" s="18">
        <v>2.6547000000000001</v>
      </c>
      <c r="U127" s="18">
        <v>2.7219000000000002</v>
      </c>
      <c r="V127" s="18">
        <v>1.0703</v>
      </c>
      <c r="W127" s="18">
        <v>1.3337000000000001</v>
      </c>
      <c r="X127" s="18">
        <v>0.2487</v>
      </c>
      <c r="Y127" s="18">
        <v>0.16819999999999999</v>
      </c>
      <c r="Z127" s="18">
        <v>0.1479</v>
      </c>
      <c r="AA127" s="18">
        <v>0.40579999999999999</v>
      </c>
      <c r="AB127" s="18">
        <v>7.4700000000000003E-2</v>
      </c>
      <c r="AC127" s="18">
        <v>0.30059999999999998</v>
      </c>
      <c r="AD127" s="18">
        <v>1.2539</v>
      </c>
      <c r="AE127" s="18">
        <v>0.16589999999999999</v>
      </c>
      <c r="AF127" s="18">
        <v>0.1245</v>
      </c>
      <c r="AG127" s="18">
        <v>0.20830000000000001</v>
      </c>
      <c r="AH127" s="18">
        <v>1.0122</v>
      </c>
      <c r="AI127" s="18">
        <v>0.2064</v>
      </c>
      <c r="AJ127" s="18">
        <v>0.53649999999999998</v>
      </c>
      <c r="AK127" s="18">
        <v>1.2464</v>
      </c>
      <c r="AL127" s="18">
        <v>6.2300000000000001E-2</v>
      </c>
      <c r="AM127" s="18">
        <v>0.32269999999999999</v>
      </c>
      <c r="AN127" s="18">
        <v>0.36249999999999999</v>
      </c>
      <c r="AO127" s="18">
        <v>9.8500000000000004E-2</v>
      </c>
      <c r="AP127" s="18">
        <v>0.26179999999999998</v>
      </c>
      <c r="AQ127" s="18">
        <v>0.30769999999999997</v>
      </c>
      <c r="AR127" s="18">
        <v>0.30570000000000003</v>
      </c>
      <c r="AS127" s="18">
        <v>0.18060000000000001</v>
      </c>
      <c r="AT127" s="18">
        <v>0.5383</v>
      </c>
      <c r="AU127" s="18">
        <v>0.58699999999999997</v>
      </c>
      <c r="AV127" s="18">
        <v>0.48580000000000001</v>
      </c>
      <c r="AW127" s="18">
        <v>0.65300000000000002</v>
      </c>
      <c r="AX127" s="18">
        <v>4.9000000000000002E-2</v>
      </c>
    </row>
    <row r="128" spans="1:50" x14ac:dyDescent="0.25">
      <c r="A128" s="17" t="s">
        <v>341</v>
      </c>
      <c r="B128" s="13" t="s">
        <v>222</v>
      </c>
      <c r="C128" s="18">
        <v>0.2006</v>
      </c>
      <c r="D128" s="18">
        <v>4.3999999999999997E-2</v>
      </c>
      <c r="E128" s="18">
        <v>4.3999999999999997E-2</v>
      </c>
      <c r="F128" s="18">
        <v>0.1827</v>
      </c>
      <c r="G128" s="18">
        <v>0.17399999999999999</v>
      </c>
      <c r="H128" s="18">
        <v>4.3999999999999997E-2</v>
      </c>
      <c r="I128" s="18">
        <v>0.23319999999999999</v>
      </c>
      <c r="J128" s="18">
        <v>0.1234</v>
      </c>
      <c r="K128" s="18">
        <v>0.14280000000000001</v>
      </c>
      <c r="L128" s="18">
        <v>5.5E-2</v>
      </c>
      <c r="M128" s="18">
        <v>0.29620000000000002</v>
      </c>
      <c r="N128" s="18">
        <v>6.0499999999999998E-2</v>
      </c>
      <c r="O128" s="18">
        <v>0.25629999999999997</v>
      </c>
      <c r="P128" s="18">
        <v>0.1003</v>
      </c>
      <c r="Q128" s="18">
        <v>4.3999999999999997E-2</v>
      </c>
      <c r="R128" s="18">
        <v>0.15379999999999999</v>
      </c>
      <c r="S128" s="18">
        <v>0.2029</v>
      </c>
      <c r="T128" s="18">
        <v>8.7900000000000006E-2</v>
      </c>
      <c r="U128" s="18">
        <v>0.30830000000000002</v>
      </c>
      <c r="V128" s="18">
        <v>6.5699999999999995E-2</v>
      </c>
      <c r="W128" s="18">
        <v>0.15379999999999999</v>
      </c>
      <c r="X128" s="18">
        <v>6.1499999999999999E-2</v>
      </c>
      <c r="Y128" s="18">
        <v>0.50360000000000005</v>
      </c>
      <c r="Z128" s="18">
        <v>5.3999999999999999E-2</v>
      </c>
      <c r="AA128" s="18">
        <v>4.3999999999999997E-2</v>
      </c>
      <c r="AB128" s="18">
        <v>0.15379999999999999</v>
      </c>
      <c r="AC128" s="18">
        <v>0.30649999999999999</v>
      </c>
      <c r="AD128" s="18">
        <v>0.13550000000000001</v>
      </c>
      <c r="AE128" s="18">
        <v>6.9000000000000006E-2</v>
      </c>
      <c r="AF128" s="18">
        <v>0.17580000000000001</v>
      </c>
      <c r="AG128" s="18">
        <v>2.4487000000000001</v>
      </c>
      <c r="AH128" s="18">
        <v>0.1822</v>
      </c>
      <c r="AI128" s="18">
        <v>1.4101999999999999</v>
      </c>
      <c r="AJ128" s="18">
        <v>1.2889999999999999</v>
      </c>
      <c r="AK128" s="18">
        <v>8.5099999999999995E-2</v>
      </c>
      <c r="AL128" s="18">
        <v>0.43809999999999999</v>
      </c>
      <c r="AM128" s="18">
        <v>0.38719999999999999</v>
      </c>
      <c r="AN128" s="18">
        <v>2.4521999999999999</v>
      </c>
      <c r="AO128" s="18">
        <v>0.1038</v>
      </c>
      <c r="AP128" s="18">
        <v>0.443</v>
      </c>
      <c r="AQ128" s="18">
        <v>0.30280000000000001</v>
      </c>
      <c r="AR128" s="18">
        <v>0.40989999999999999</v>
      </c>
      <c r="AS128" s="18">
        <v>0.36909999999999998</v>
      </c>
      <c r="AT128" s="18">
        <v>0.27089999999999997</v>
      </c>
      <c r="AU128" s="18">
        <v>0.17899999999999999</v>
      </c>
      <c r="AV128" s="18">
        <v>0.42759999999999998</v>
      </c>
      <c r="AW128" s="18">
        <v>0.38009999999999999</v>
      </c>
      <c r="AX128" s="18">
        <v>0.187</v>
      </c>
    </row>
    <row r="129" spans="1:50" x14ac:dyDescent="0.25">
      <c r="A129" s="17" t="s">
        <v>343</v>
      </c>
      <c r="B129" s="13" t="s">
        <v>222</v>
      </c>
      <c r="C129" s="18">
        <v>0.16300000000000001</v>
      </c>
      <c r="D129" s="18">
        <v>0.05</v>
      </c>
      <c r="E129" s="18">
        <v>0.22750000000000001</v>
      </c>
      <c r="F129" s="18">
        <v>0.05</v>
      </c>
      <c r="G129" s="18">
        <v>0.20330000000000001</v>
      </c>
      <c r="H129" s="18">
        <v>7.4200000000000002E-2</v>
      </c>
      <c r="I129" s="18">
        <v>8.2299999999999998E-2</v>
      </c>
      <c r="J129" s="18">
        <v>0.19520000000000001</v>
      </c>
      <c r="K129" s="18">
        <v>0.05</v>
      </c>
      <c r="L129" s="18">
        <v>0.05</v>
      </c>
      <c r="M129" s="18">
        <v>7.4200000000000002E-2</v>
      </c>
      <c r="N129" s="18">
        <v>0.20330000000000001</v>
      </c>
      <c r="O129" s="18">
        <v>0.05</v>
      </c>
      <c r="P129" s="18">
        <v>0.22750000000000001</v>
      </c>
      <c r="Q129" s="18">
        <v>0.05</v>
      </c>
      <c r="R129" s="18">
        <v>0.13880000000000001</v>
      </c>
      <c r="S129" s="18">
        <v>0.14799999999999999</v>
      </c>
      <c r="T129" s="18">
        <v>0.05</v>
      </c>
      <c r="U129" s="18">
        <v>0.22750000000000001</v>
      </c>
      <c r="V129" s="18">
        <v>0.27839999999999998</v>
      </c>
      <c r="W129" s="18">
        <v>0.17100000000000001</v>
      </c>
      <c r="X129" s="18">
        <v>0.1255</v>
      </c>
      <c r="Y129" s="18">
        <v>6.2E-2</v>
      </c>
      <c r="Z129" s="18">
        <v>1.3843000000000001</v>
      </c>
      <c r="AA129" s="18">
        <v>0.20219999999999999</v>
      </c>
      <c r="AB129" s="18">
        <v>1.5182</v>
      </c>
      <c r="AC129" s="18">
        <v>0.3755</v>
      </c>
      <c r="AD129" s="18">
        <v>0.46010000000000001</v>
      </c>
      <c r="AE129" s="18">
        <v>0.31490000000000001</v>
      </c>
      <c r="AF129" s="18">
        <v>0.1772</v>
      </c>
      <c r="AG129" s="18">
        <v>0.1193</v>
      </c>
      <c r="AH129" s="18">
        <v>6.6100000000000006E-2</v>
      </c>
      <c r="AI129" s="18">
        <v>0.2114</v>
      </c>
      <c r="AJ129" s="18">
        <v>0.05</v>
      </c>
      <c r="AK129" s="18">
        <v>0.43619999999999998</v>
      </c>
      <c r="AL129" s="18">
        <v>8.1799999999999998E-2</v>
      </c>
      <c r="AM129" s="18">
        <v>0.55520000000000003</v>
      </c>
      <c r="AN129" s="18">
        <v>0.31919999999999998</v>
      </c>
      <c r="AO129" s="18">
        <v>0.12</v>
      </c>
      <c r="AP129" s="18">
        <v>0.39560000000000001</v>
      </c>
      <c r="AQ129" s="18">
        <v>0.36840000000000001</v>
      </c>
      <c r="AR129" s="18">
        <v>0.57699999999999996</v>
      </c>
      <c r="AS129" s="18">
        <v>0.70430000000000004</v>
      </c>
      <c r="AT129" s="18">
        <v>0.37840000000000001</v>
      </c>
      <c r="AU129" s="18">
        <v>0.5726</v>
      </c>
      <c r="AV129" s="18">
        <v>0.1673</v>
      </c>
      <c r="AW129" s="18">
        <v>0.15490000000000001</v>
      </c>
      <c r="AX129" s="18">
        <v>0.1226</v>
      </c>
    </row>
    <row r="130" spans="1:50" x14ac:dyDescent="0.25">
      <c r="A130" s="8" t="s">
        <v>182</v>
      </c>
      <c r="B130" s="10" t="s">
        <v>57</v>
      </c>
      <c r="C130" s="16">
        <v>5.8000000000000003E-2</v>
      </c>
      <c r="D130" s="16">
        <v>0.2545</v>
      </c>
      <c r="E130" s="16">
        <v>0.13700000000000001</v>
      </c>
      <c r="F130" s="16">
        <v>5.8000000000000003E-2</v>
      </c>
      <c r="G130" s="16">
        <v>0.25180000000000002</v>
      </c>
      <c r="H130" s="16">
        <v>0.13969999999999999</v>
      </c>
      <c r="I130" s="16">
        <v>5.8000000000000003E-2</v>
      </c>
      <c r="J130" s="16">
        <v>0.193</v>
      </c>
      <c r="K130" s="16">
        <v>0.19850000000000001</v>
      </c>
      <c r="L130" s="16">
        <v>0.1709</v>
      </c>
      <c r="M130" s="16">
        <v>5.8000000000000003E-2</v>
      </c>
      <c r="N130" s="16">
        <v>0.15390000000000001</v>
      </c>
      <c r="O130" s="16">
        <v>0.18579999999999999</v>
      </c>
      <c r="P130" s="16">
        <v>0.1888</v>
      </c>
      <c r="Q130" s="16">
        <v>9.1899999999999996E-2</v>
      </c>
      <c r="R130" s="16">
        <v>0.2545</v>
      </c>
      <c r="S130" s="16">
        <v>0.13700000000000001</v>
      </c>
      <c r="T130" s="16">
        <v>0.17449999999999999</v>
      </c>
      <c r="U130" s="16">
        <v>0.217</v>
      </c>
      <c r="V130" s="16">
        <v>5.8000000000000003E-2</v>
      </c>
      <c r="W130" s="16">
        <v>0.44550000000000001</v>
      </c>
      <c r="X130" s="16">
        <v>0.39839999999999998</v>
      </c>
      <c r="Y130" s="16">
        <v>0.52900000000000003</v>
      </c>
      <c r="Z130" s="16">
        <v>0.2712</v>
      </c>
      <c r="AA130" s="16">
        <v>0.28410000000000002</v>
      </c>
      <c r="AB130" s="16">
        <v>1.0891</v>
      </c>
      <c r="AC130" s="16">
        <v>0.43070000000000003</v>
      </c>
      <c r="AD130" s="16">
        <v>0.26679999999999998</v>
      </c>
      <c r="AE130" s="16">
        <v>0.37469999999999998</v>
      </c>
      <c r="AF130" s="16">
        <v>0.1401</v>
      </c>
      <c r="AG130" s="16">
        <v>0.37919999999999998</v>
      </c>
      <c r="AH130" s="16">
        <v>0.23630000000000001</v>
      </c>
      <c r="AI130" s="16">
        <v>5.8000000000000003E-2</v>
      </c>
      <c r="AJ130" s="16">
        <v>0.1923</v>
      </c>
      <c r="AK130" s="16">
        <v>0.1993</v>
      </c>
      <c r="AL130" s="16">
        <v>0.12570000000000001</v>
      </c>
      <c r="AM130" s="16">
        <v>0.26579999999999998</v>
      </c>
      <c r="AN130" s="16">
        <v>7.4899999999999994E-2</v>
      </c>
      <c r="AO130" s="16">
        <v>0.2944</v>
      </c>
      <c r="AP130" s="16">
        <v>8.0199999999999994E-2</v>
      </c>
      <c r="AQ130" s="16">
        <v>0.44740000000000002</v>
      </c>
      <c r="AR130" s="16">
        <v>0.2472</v>
      </c>
      <c r="AS130" s="16">
        <v>0.63300000000000001</v>
      </c>
      <c r="AT130" s="16">
        <v>0.27339999999999998</v>
      </c>
      <c r="AU130" s="16">
        <v>0.5181</v>
      </c>
      <c r="AV130" s="16">
        <v>0.58240000000000003</v>
      </c>
      <c r="AW130" s="16">
        <v>0.71079999999999999</v>
      </c>
      <c r="AX130" s="16">
        <v>0.54890000000000005</v>
      </c>
    </row>
    <row r="131" spans="1:50" x14ac:dyDescent="0.25">
      <c r="A131" s="17" t="s">
        <v>345</v>
      </c>
      <c r="B131" s="13" t="s">
        <v>222</v>
      </c>
      <c r="C131" s="18">
        <v>0.24260000000000001</v>
      </c>
      <c r="D131" s="18">
        <v>0.3286</v>
      </c>
      <c r="E131" s="18">
        <v>0.3281</v>
      </c>
      <c r="F131" s="18">
        <v>0.23130000000000001</v>
      </c>
      <c r="G131" s="18">
        <v>5.5E-2</v>
      </c>
      <c r="H131" s="18">
        <v>5.5E-2</v>
      </c>
      <c r="I131" s="18">
        <v>5.5E-2</v>
      </c>
      <c r="J131" s="18">
        <v>5.5E-2</v>
      </c>
      <c r="K131" s="18">
        <v>5.5E-2</v>
      </c>
      <c r="L131" s="18">
        <v>5.5E-2</v>
      </c>
      <c r="M131" s="18">
        <v>5.5E-2</v>
      </c>
      <c r="N131" s="18">
        <v>5.5E-2</v>
      </c>
      <c r="O131" s="18">
        <v>5.5E-2</v>
      </c>
      <c r="P131" s="18">
        <v>0.18459999999999999</v>
      </c>
      <c r="Q131" s="18">
        <v>0.28320000000000001</v>
      </c>
      <c r="R131" s="18">
        <v>0.1825</v>
      </c>
      <c r="S131" s="18">
        <v>0.69199999999999995</v>
      </c>
      <c r="T131" s="18">
        <v>0.77990000000000004</v>
      </c>
      <c r="U131" s="18">
        <v>0.21060000000000001</v>
      </c>
      <c r="V131" s="18">
        <v>0.16700000000000001</v>
      </c>
      <c r="W131" s="18">
        <v>0.21060000000000001</v>
      </c>
      <c r="X131" s="18">
        <v>0.18870000000000001</v>
      </c>
      <c r="Y131" s="18">
        <v>0.32919999999999999</v>
      </c>
      <c r="Z131" s="18">
        <v>1.1287</v>
      </c>
      <c r="AA131" s="18">
        <v>0.13420000000000001</v>
      </c>
      <c r="AB131" s="18">
        <v>0.13009999999999999</v>
      </c>
      <c r="AC131" s="18">
        <v>7.0499999999999993E-2</v>
      </c>
      <c r="AD131" s="18">
        <v>7.0499999999999993E-2</v>
      </c>
      <c r="AE131" s="18">
        <v>5.5E-2</v>
      </c>
      <c r="AF131" s="18">
        <v>5.5E-2</v>
      </c>
      <c r="AG131" s="18">
        <v>5.5E-2</v>
      </c>
      <c r="AH131" s="18">
        <v>5.5E-2</v>
      </c>
      <c r="AI131" s="18">
        <v>5.5E-2</v>
      </c>
      <c r="AJ131" s="18">
        <v>5.5E-2</v>
      </c>
      <c r="AK131" s="18">
        <v>0.28270000000000001</v>
      </c>
      <c r="AL131" s="18">
        <v>0.14860000000000001</v>
      </c>
      <c r="AM131" s="18">
        <v>7.5499999999999998E-2</v>
      </c>
      <c r="AN131" s="18">
        <v>0.17100000000000001</v>
      </c>
      <c r="AO131" s="18">
        <v>0.13159999999999999</v>
      </c>
      <c r="AP131" s="18">
        <v>0.1852</v>
      </c>
      <c r="AQ131" s="18">
        <v>0.1421</v>
      </c>
      <c r="AR131" s="18">
        <v>5.5E-2</v>
      </c>
      <c r="AS131" s="18">
        <v>5.5E-2</v>
      </c>
      <c r="AT131" s="18">
        <v>5.5E-2</v>
      </c>
      <c r="AU131" s="18">
        <v>5.5E-2</v>
      </c>
      <c r="AV131" s="18">
        <v>5.5E-2</v>
      </c>
      <c r="AW131" s="18">
        <v>5.5E-2</v>
      </c>
      <c r="AX131" s="18">
        <v>5.5E-2</v>
      </c>
    </row>
    <row r="132" spans="1:50" x14ac:dyDescent="0.25">
      <c r="A132" s="8" t="s">
        <v>184</v>
      </c>
      <c r="B132" s="10" t="s">
        <v>57</v>
      </c>
      <c r="C132" s="16">
        <v>0.12379999999999999</v>
      </c>
      <c r="D132" s="16">
        <v>3.5000000000000003E-2</v>
      </c>
      <c r="E132" s="16">
        <v>3.5000000000000003E-2</v>
      </c>
      <c r="F132" s="16">
        <v>0.2051</v>
      </c>
      <c r="G132" s="16">
        <v>8.8499999999999995E-2</v>
      </c>
      <c r="H132" s="16">
        <v>7.2099999999999997E-2</v>
      </c>
      <c r="I132" s="16">
        <v>0.2215</v>
      </c>
      <c r="J132" s="16">
        <v>3.5000000000000003E-2</v>
      </c>
      <c r="K132" s="16">
        <v>3.5000000000000003E-2</v>
      </c>
      <c r="L132" s="16">
        <v>3.5000000000000003E-2</v>
      </c>
      <c r="M132" s="16">
        <v>0.191</v>
      </c>
      <c r="N132" s="16">
        <v>0.1026</v>
      </c>
      <c r="O132" s="16">
        <v>3.5000000000000003E-2</v>
      </c>
      <c r="P132" s="16">
        <v>0.23849999999999999</v>
      </c>
      <c r="Q132" s="16">
        <v>5.5100000000000003E-2</v>
      </c>
      <c r="R132" s="16">
        <v>0.2359</v>
      </c>
      <c r="S132" s="16">
        <v>1.1403000000000001</v>
      </c>
      <c r="T132" s="16">
        <v>0.19320000000000001</v>
      </c>
      <c r="U132" s="16">
        <v>0.31290000000000001</v>
      </c>
      <c r="V132" s="16">
        <v>0.29449999999999998</v>
      </c>
      <c r="W132" s="16">
        <v>0.14940000000000001</v>
      </c>
      <c r="X132" s="16">
        <v>0.16309999999999999</v>
      </c>
      <c r="Y132" s="16">
        <v>5.5300000000000002E-2</v>
      </c>
      <c r="Z132" s="16">
        <v>0.19839999999999999</v>
      </c>
      <c r="AA132" s="16">
        <v>3.5000000000000003E-2</v>
      </c>
      <c r="AB132" s="16">
        <v>0.16650000000000001</v>
      </c>
      <c r="AC132" s="16">
        <v>0.1142</v>
      </c>
      <c r="AD132" s="16">
        <v>0.47720000000000001</v>
      </c>
      <c r="AE132" s="16">
        <v>0.36449999999999999</v>
      </c>
      <c r="AF132" s="16">
        <v>0.14169999999999999</v>
      </c>
      <c r="AG132" s="16">
        <v>1.4256</v>
      </c>
      <c r="AH132" s="16">
        <v>1.0310999999999999</v>
      </c>
      <c r="AI132" s="16">
        <v>0.20180000000000001</v>
      </c>
      <c r="AJ132" s="16">
        <v>9.1899999999999996E-2</v>
      </c>
      <c r="AK132" s="16">
        <v>0.1613</v>
      </c>
      <c r="AL132" s="16">
        <v>7.5600000000000001E-2</v>
      </c>
      <c r="AM132" s="16">
        <v>0.50239999999999996</v>
      </c>
      <c r="AN132" s="16">
        <v>0.22689999999999999</v>
      </c>
      <c r="AO132" s="16">
        <v>0.21990000000000001</v>
      </c>
      <c r="AP132" s="16">
        <v>0.40720000000000001</v>
      </c>
      <c r="AQ132" s="16">
        <v>0.3589</v>
      </c>
      <c r="AR132" s="16">
        <v>0.39100000000000001</v>
      </c>
      <c r="AS132" s="16">
        <v>3.5000000000000003E-2</v>
      </c>
      <c r="AT132" s="16">
        <v>0.1145</v>
      </c>
      <c r="AU132" s="16">
        <v>0.45290000000000002</v>
      </c>
      <c r="AV132" s="16">
        <v>0.1593</v>
      </c>
      <c r="AW132" s="16">
        <v>0.13900000000000001</v>
      </c>
      <c r="AX132" s="16">
        <v>0.15459999999999999</v>
      </c>
    </row>
    <row r="133" spans="1:50" x14ac:dyDescent="0.25">
      <c r="A133" s="8" t="s">
        <v>186</v>
      </c>
      <c r="B133" s="10" t="s">
        <v>57</v>
      </c>
      <c r="C133" s="16">
        <v>0.5746</v>
      </c>
      <c r="D133" s="16">
        <v>0.51759999999999995</v>
      </c>
      <c r="E133" s="16">
        <v>2.1448</v>
      </c>
      <c r="F133" s="16">
        <v>0.58450000000000002</v>
      </c>
      <c r="G133" s="16">
        <v>0.68330000000000002</v>
      </c>
      <c r="H133" s="16">
        <v>0.41139999999999999</v>
      </c>
      <c r="I133" s="16">
        <v>4.8000000000000001E-2</v>
      </c>
      <c r="J133" s="16">
        <v>4.8000000000000001E-2</v>
      </c>
      <c r="K133" s="16">
        <v>0.1128</v>
      </c>
      <c r="L133" s="16">
        <v>0.10100000000000001</v>
      </c>
      <c r="M133" s="16">
        <v>0.1128</v>
      </c>
      <c r="N133" s="16">
        <v>0.10100000000000001</v>
      </c>
      <c r="O133" s="16">
        <v>0.10100000000000001</v>
      </c>
      <c r="P133" s="16">
        <v>0.1128</v>
      </c>
      <c r="Q133" s="16">
        <v>6.5699999999999995E-2</v>
      </c>
      <c r="R133" s="16">
        <v>0.14810000000000001</v>
      </c>
      <c r="S133" s="16">
        <v>0.2137</v>
      </c>
      <c r="T133" s="16">
        <v>1.2124999999999999</v>
      </c>
      <c r="U133" s="16">
        <v>0.39510000000000001</v>
      </c>
      <c r="V133" s="16">
        <v>0.26069999999999999</v>
      </c>
      <c r="W133" s="16">
        <v>0.43369999999999997</v>
      </c>
      <c r="X133" s="16">
        <v>0.27450000000000002</v>
      </c>
      <c r="Y133" s="16">
        <v>0.41710000000000003</v>
      </c>
      <c r="Z133" s="16">
        <v>0.67959999999999998</v>
      </c>
      <c r="AA133" s="16">
        <v>0.27150000000000002</v>
      </c>
      <c r="AB133" s="16">
        <v>0.42330000000000001</v>
      </c>
      <c r="AC133" s="16">
        <v>0.22550000000000001</v>
      </c>
      <c r="AD133" s="16">
        <v>1.333</v>
      </c>
      <c r="AE133" s="16">
        <v>0.628</v>
      </c>
      <c r="AF133" s="16">
        <v>0.11269999999999999</v>
      </c>
      <c r="AG133" s="16">
        <v>0.2006</v>
      </c>
      <c r="AH133" s="16">
        <v>7.1499999999999994E-2</v>
      </c>
      <c r="AI133" s="16">
        <v>0.1384</v>
      </c>
      <c r="AJ133" s="16">
        <v>0.16489999999999999</v>
      </c>
      <c r="AK133" s="16">
        <v>4.8000000000000001E-2</v>
      </c>
      <c r="AL133" s="16">
        <v>0.44180000000000003</v>
      </c>
      <c r="AM133" s="16">
        <v>4.8000000000000001E-2</v>
      </c>
      <c r="AN133" s="16">
        <v>0.14219999999999999</v>
      </c>
      <c r="AO133" s="16">
        <v>7.1599999999999997E-2</v>
      </c>
      <c r="AP133" s="16">
        <v>4.8000000000000001E-2</v>
      </c>
      <c r="AQ133" s="16">
        <v>4.8000000000000001E-2</v>
      </c>
      <c r="AR133" s="16">
        <v>4.8000000000000001E-2</v>
      </c>
      <c r="AS133" s="16">
        <v>0.1658</v>
      </c>
      <c r="AT133" s="16">
        <v>4.8000000000000001E-2</v>
      </c>
      <c r="AU133" s="16">
        <v>0.32169999999999999</v>
      </c>
      <c r="AV133" s="16">
        <v>4.8000000000000001E-2</v>
      </c>
      <c r="AW133" s="16">
        <v>4.8000000000000001E-2</v>
      </c>
      <c r="AX133" s="16">
        <v>8.3299999999999999E-2</v>
      </c>
    </row>
    <row r="134" spans="1:50" x14ac:dyDescent="0.25">
      <c r="A134" s="17" t="s">
        <v>347</v>
      </c>
      <c r="B134" s="13" t="s">
        <v>222</v>
      </c>
      <c r="C134" s="18">
        <v>0.30780000000000002</v>
      </c>
      <c r="D134" s="18">
        <v>0.61329999999999996</v>
      </c>
      <c r="E134" s="18">
        <v>0.1305</v>
      </c>
      <c r="F134" s="18">
        <v>0.1231</v>
      </c>
      <c r="G134" s="18">
        <v>0.22020000000000001</v>
      </c>
      <c r="H134" s="18">
        <v>0.1643</v>
      </c>
      <c r="I134" s="18">
        <v>0.1467</v>
      </c>
      <c r="J134" s="18">
        <v>0.32079999999999997</v>
      </c>
      <c r="K134" s="18">
        <v>0.1176</v>
      </c>
      <c r="L134" s="18">
        <v>0.23499999999999999</v>
      </c>
      <c r="M134" s="18">
        <v>0.155</v>
      </c>
      <c r="N134" s="18">
        <v>0.1176</v>
      </c>
      <c r="O134" s="18">
        <v>0.25330000000000003</v>
      </c>
      <c r="P134" s="18">
        <v>0.20130000000000001</v>
      </c>
      <c r="Q134" s="18">
        <v>0.18720000000000001</v>
      </c>
      <c r="R134" s="18">
        <v>0.30030000000000001</v>
      </c>
      <c r="S134" s="18">
        <v>0.2046</v>
      </c>
      <c r="T134" s="18">
        <v>0.2656</v>
      </c>
      <c r="U134" s="18">
        <v>0.2848</v>
      </c>
      <c r="V134" s="18">
        <v>1.0643</v>
      </c>
      <c r="W134" s="18">
        <v>0.28000000000000003</v>
      </c>
      <c r="X134" s="18">
        <v>0.42180000000000001</v>
      </c>
      <c r="Y134" s="18">
        <v>0.60819999999999996</v>
      </c>
      <c r="Z134" s="18">
        <v>0.38129999999999997</v>
      </c>
      <c r="AA134" s="18">
        <v>0.125</v>
      </c>
      <c r="AB134" s="18">
        <v>0.16830000000000001</v>
      </c>
      <c r="AC134" s="18">
        <v>8.8499999999999995E-2</v>
      </c>
      <c r="AD134" s="18">
        <v>0.25619999999999998</v>
      </c>
      <c r="AE134" s="18">
        <v>6.0400000000000002E-2</v>
      </c>
      <c r="AF134" s="18">
        <v>0.16669999999999999</v>
      </c>
      <c r="AG134" s="18">
        <v>0.28789999999999999</v>
      </c>
      <c r="AH134" s="18">
        <v>0.1176</v>
      </c>
      <c r="AI134" s="18">
        <v>0.21829999999999999</v>
      </c>
      <c r="AJ134" s="18">
        <v>0.1716</v>
      </c>
      <c r="AK134" s="18">
        <v>0.18990000000000001</v>
      </c>
      <c r="AL134" s="18">
        <v>0.15690000000000001</v>
      </c>
      <c r="AM134" s="18">
        <v>0.1608</v>
      </c>
      <c r="AN134" s="18">
        <v>0.16020000000000001</v>
      </c>
      <c r="AO134" s="18">
        <v>0.34849999999999998</v>
      </c>
      <c r="AP134" s="18">
        <v>5.2999999999999999E-2</v>
      </c>
      <c r="AQ134" s="18">
        <v>0.20480000000000001</v>
      </c>
      <c r="AR134" s="18">
        <v>0.24979999999999999</v>
      </c>
      <c r="AS134" s="18">
        <v>9.6100000000000005E-2</v>
      </c>
      <c r="AT134" s="18">
        <v>0.34370000000000001</v>
      </c>
      <c r="AU134" s="18">
        <v>0.1195</v>
      </c>
      <c r="AV134" s="18">
        <v>0.1166</v>
      </c>
      <c r="AW134" s="18">
        <v>0.29039999999999999</v>
      </c>
      <c r="AX134" s="18">
        <v>0.1265</v>
      </c>
    </row>
    <row r="135" spans="1:50" x14ac:dyDescent="0.25">
      <c r="A135" s="8" t="s">
        <v>188</v>
      </c>
      <c r="B135" s="10" t="s">
        <v>57</v>
      </c>
      <c r="C135" s="16">
        <v>0.33789999999999998</v>
      </c>
      <c r="D135" s="16">
        <v>5.1999999999999998E-2</v>
      </c>
      <c r="E135" s="16">
        <v>0.28899999999999998</v>
      </c>
      <c r="F135" s="16">
        <v>0.1077</v>
      </c>
      <c r="G135" s="16">
        <v>0.1016</v>
      </c>
      <c r="H135" s="16">
        <v>0.25409999999999999</v>
      </c>
      <c r="I135" s="16">
        <v>9.2999999999999999E-2</v>
      </c>
      <c r="J135" s="16">
        <v>0.15509999999999999</v>
      </c>
      <c r="K135" s="16">
        <v>0.24160000000000001</v>
      </c>
      <c r="L135" s="16">
        <v>5.1999999999999998E-2</v>
      </c>
      <c r="M135" s="16">
        <v>0.22770000000000001</v>
      </c>
      <c r="N135" s="16">
        <v>0.16900000000000001</v>
      </c>
      <c r="O135" s="16">
        <v>0.24149999999999999</v>
      </c>
      <c r="P135" s="16">
        <v>0.27450000000000002</v>
      </c>
      <c r="Q135" s="16">
        <v>0.33160000000000001</v>
      </c>
      <c r="R135" s="16">
        <v>0.46949999999999997</v>
      </c>
      <c r="S135" s="16">
        <v>0.32329999999999998</v>
      </c>
      <c r="T135" s="16">
        <v>0.23169999999999999</v>
      </c>
      <c r="U135" s="16">
        <v>0.32279999999999998</v>
      </c>
      <c r="V135" s="16">
        <v>0.31359999999999999</v>
      </c>
      <c r="W135" s="16">
        <v>0.16339999999999999</v>
      </c>
      <c r="X135" s="16">
        <v>0.90549999999999997</v>
      </c>
      <c r="Y135" s="16">
        <v>0.65339999999999998</v>
      </c>
      <c r="Z135" s="16">
        <v>0.87150000000000005</v>
      </c>
      <c r="AA135" s="16">
        <v>0.91210000000000002</v>
      </c>
      <c r="AB135" s="16">
        <v>0.19220000000000001</v>
      </c>
      <c r="AC135" s="16">
        <v>0.22520000000000001</v>
      </c>
      <c r="AD135" s="16">
        <v>7.9399999999999998E-2</v>
      </c>
      <c r="AE135" s="16">
        <v>5.1999999999999998E-2</v>
      </c>
      <c r="AF135" s="16">
        <v>0.2079</v>
      </c>
      <c r="AG135" s="16">
        <v>9.9900000000000003E-2</v>
      </c>
      <c r="AH135" s="16">
        <v>0.1409</v>
      </c>
      <c r="AI135" s="16">
        <v>0.1938</v>
      </c>
      <c r="AJ135" s="16">
        <v>0.20300000000000001</v>
      </c>
      <c r="AK135" s="16">
        <v>5.1999999999999998E-2</v>
      </c>
      <c r="AL135" s="16">
        <v>0.16830000000000001</v>
      </c>
      <c r="AM135" s="16">
        <v>7.2499999999999995E-2</v>
      </c>
      <c r="AN135" s="16">
        <v>0.62849999999999995</v>
      </c>
      <c r="AO135" s="16">
        <v>1.0438000000000001</v>
      </c>
      <c r="AP135" s="16">
        <v>0.35959999999999998</v>
      </c>
      <c r="AQ135" s="16">
        <v>0.21079999999999999</v>
      </c>
      <c r="AR135" s="16">
        <v>0.1371</v>
      </c>
      <c r="AS135" s="16">
        <v>0.11360000000000001</v>
      </c>
      <c r="AT135" s="16">
        <v>0.12720000000000001</v>
      </c>
      <c r="AU135" s="16">
        <v>0.2079</v>
      </c>
      <c r="AV135" s="16">
        <v>0.11360000000000001</v>
      </c>
      <c r="AW135" s="16">
        <v>0.12720000000000001</v>
      </c>
      <c r="AX135" s="16">
        <v>0.1792</v>
      </c>
    </row>
    <row r="136" spans="1:50" x14ac:dyDescent="0.25">
      <c r="A136" s="17" t="s">
        <v>349</v>
      </c>
      <c r="B136" s="13" t="s">
        <v>222</v>
      </c>
      <c r="C136" s="18">
        <v>8.4000000000000005E-2</v>
      </c>
      <c r="D136" s="18">
        <v>0.15060000000000001</v>
      </c>
      <c r="E136" s="18">
        <v>4.3999999999999997E-2</v>
      </c>
      <c r="F136" s="18">
        <v>0.13730000000000001</v>
      </c>
      <c r="G136" s="18">
        <v>9.7299999999999998E-2</v>
      </c>
      <c r="H136" s="18">
        <v>4.3999999999999997E-2</v>
      </c>
      <c r="I136" s="18">
        <v>0.1106</v>
      </c>
      <c r="J136" s="18">
        <v>0.1239</v>
      </c>
      <c r="K136" s="18">
        <v>4.3999999999999997E-2</v>
      </c>
      <c r="L136" s="18">
        <v>0.1573</v>
      </c>
      <c r="M136" s="18">
        <v>7.7299999999999994E-2</v>
      </c>
      <c r="N136" s="18">
        <v>4.3999999999999997E-2</v>
      </c>
      <c r="O136" s="18">
        <v>0.19059999999999999</v>
      </c>
      <c r="P136" s="18">
        <v>4.3999999999999997E-2</v>
      </c>
      <c r="Q136" s="18">
        <v>6.4000000000000001E-2</v>
      </c>
      <c r="R136" s="18">
        <v>0.1706</v>
      </c>
      <c r="S136" s="18">
        <v>4.3999999999999997E-2</v>
      </c>
      <c r="T136" s="18">
        <v>4.3999999999999997E-2</v>
      </c>
      <c r="U136" s="18">
        <v>0.19439999999999999</v>
      </c>
      <c r="V136" s="18">
        <v>0.65059999999999996</v>
      </c>
      <c r="W136" s="18">
        <v>0.77510000000000001</v>
      </c>
      <c r="X136" s="18">
        <v>0.1239</v>
      </c>
      <c r="Y136" s="18">
        <v>5.33E-2</v>
      </c>
      <c r="Z136" s="18">
        <v>0.15790000000000001</v>
      </c>
      <c r="AA136" s="18">
        <v>0.10290000000000001</v>
      </c>
      <c r="AB136" s="18">
        <v>0.18809999999999999</v>
      </c>
      <c r="AC136" s="18">
        <v>0.78239999999999998</v>
      </c>
      <c r="AD136" s="18">
        <v>0.45340000000000003</v>
      </c>
      <c r="AE136" s="18">
        <v>0.31359999999999999</v>
      </c>
      <c r="AF136" s="18">
        <v>5.1499999999999997E-2</v>
      </c>
      <c r="AG136" s="18">
        <v>0.1053</v>
      </c>
      <c r="AH136" s="18">
        <v>0.2228</v>
      </c>
      <c r="AI136" s="18">
        <v>4.3999999999999997E-2</v>
      </c>
      <c r="AJ136" s="18">
        <v>0.23680000000000001</v>
      </c>
      <c r="AK136" s="18">
        <v>0.73440000000000005</v>
      </c>
      <c r="AL136" s="18">
        <v>2.5741999999999998</v>
      </c>
      <c r="AM136" s="18">
        <v>0.72019999999999995</v>
      </c>
      <c r="AN136" s="18">
        <v>7.4200000000000002E-2</v>
      </c>
      <c r="AO136" s="18">
        <v>0.21809999999999999</v>
      </c>
      <c r="AP136" s="18">
        <v>1.3551</v>
      </c>
      <c r="AQ136" s="18">
        <v>4.3999999999999997E-2</v>
      </c>
      <c r="AR136" s="18">
        <v>4.3999999999999997E-2</v>
      </c>
      <c r="AS136" s="18">
        <v>0.1439</v>
      </c>
      <c r="AT136" s="18">
        <v>9.06E-2</v>
      </c>
      <c r="AU136" s="18">
        <v>0.104</v>
      </c>
      <c r="AV136" s="18">
        <v>0.13059999999999999</v>
      </c>
      <c r="AW136" s="18">
        <v>4.3999999999999997E-2</v>
      </c>
      <c r="AX136" s="18">
        <v>0.1706</v>
      </c>
    </row>
    <row r="137" spans="1:50" x14ac:dyDescent="0.25">
      <c r="A137" s="17" t="s">
        <v>351</v>
      </c>
      <c r="B137" s="13" t="s">
        <v>222</v>
      </c>
      <c r="C137" s="18">
        <v>0.12889999999999999</v>
      </c>
      <c r="D137" s="18">
        <v>0.15340000000000001</v>
      </c>
      <c r="E137" s="18">
        <v>0.15490000000000001</v>
      </c>
      <c r="F137" s="18">
        <v>0.108</v>
      </c>
      <c r="G137" s="18">
        <v>0.15939999999999999</v>
      </c>
      <c r="H137" s="18">
        <v>7.22E-2</v>
      </c>
      <c r="I137" s="18">
        <v>0.23619999999999999</v>
      </c>
      <c r="J137" s="18">
        <v>6.1899999999999997E-2</v>
      </c>
      <c r="K137" s="18">
        <v>0.2334</v>
      </c>
      <c r="L137" s="18">
        <v>4.3999999999999997E-2</v>
      </c>
      <c r="M137" s="18">
        <v>0.13400000000000001</v>
      </c>
      <c r="N137" s="18">
        <v>0.1744</v>
      </c>
      <c r="O137" s="18">
        <v>5.16E-2</v>
      </c>
      <c r="P137" s="18">
        <v>0.159</v>
      </c>
      <c r="Q137" s="18">
        <v>0.14419999999999999</v>
      </c>
      <c r="R137" s="18">
        <v>0.12959999999999999</v>
      </c>
      <c r="S137" s="18">
        <v>0.23669999999999999</v>
      </c>
      <c r="T137" s="18">
        <v>0.2346</v>
      </c>
      <c r="U137" s="18">
        <v>1.9013</v>
      </c>
      <c r="V137" s="18">
        <v>3.0874000000000001</v>
      </c>
      <c r="W137" s="18">
        <v>1.3576999999999999</v>
      </c>
      <c r="X137" s="18">
        <v>0.93389999999999995</v>
      </c>
      <c r="Y137" s="18">
        <v>0.59319999999999995</v>
      </c>
      <c r="Z137" s="18">
        <v>0.14130000000000001</v>
      </c>
      <c r="AA137" s="18">
        <v>0.1134</v>
      </c>
      <c r="AB137" s="18">
        <v>8.4199999999999997E-2</v>
      </c>
      <c r="AC137" s="18">
        <v>0.14180000000000001</v>
      </c>
      <c r="AD137" s="18">
        <v>0.13400000000000001</v>
      </c>
      <c r="AE137" s="18">
        <v>0.30609999999999998</v>
      </c>
      <c r="AF137" s="18">
        <v>0.23810000000000001</v>
      </c>
      <c r="AG137" s="18">
        <v>0.20599999999999999</v>
      </c>
      <c r="AH137" s="18">
        <v>0.29780000000000001</v>
      </c>
      <c r="AI137" s="18">
        <v>4.65E-2</v>
      </c>
      <c r="AJ137" s="18">
        <v>0.74729999999999996</v>
      </c>
      <c r="AK137" s="18">
        <v>0.73340000000000005</v>
      </c>
      <c r="AL137" s="18">
        <v>0.21590000000000001</v>
      </c>
      <c r="AM137" s="18">
        <v>8.2400000000000001E-2</v>
      </c>
      <c r="AN137" s="18">
        <v>0.43659999999999999</v>
      </c>
      <c r="AO137" s="18">
        <v>0.22620000000000001</v>
      </c>
      <c r="AP137" s="18">
        <v>0.29399999999999998</v>
      </c>
      <c r="AQ137" s="18">
        <v>0.37390000000000001</v>
      </c>
      <c r="AR137" s="18">
        <v>0.34599999999999997</v>
      </c>
      <c r="AS137" s="18">
        <v>0.31319999999999998</v>
      </c>
      <c r="AT137" s="18">
        <v>0.20960000000000001</v>
      </c>
      <c r="AU137" s="18">
        <v>0.68179999999999996</v>
      </c>
      <c r="AV137" s="18">
        <v>0.37969999999999998</v>
      </c>
      <c r="AW137" s="18">
        <v>0.42770000000000002</v>
      </c>
      <c r="AX137" s="18">
        <v>0.34179999999999999</v>
      </c>
    </row>
    <row r="138" spans="1:50" x14ac:dyDescent="0.25">
      <c r="A138" s="8" t="s">
        <v>190</v>
      </c>
      <c r="B138" s="10" t="s">
        <v>57</v>
      </c>
      <c r="C138" s="16">
        <v>0.2316</v>
      </c>
      <c r="D138" s="16">
        <v>5.6000000000000001E-2</v>
      </c>
      <c r="E138" s="16">
        <v>0.16769999999999999</v>
      </c>
      <c r="F138" s="16">
        <v>0.1198</v>
      </c>
      <c r="G138" s="16">
        <v>5.6000000000000001E-2</v>
      </c>
      <c r="H138" s="16">
        <v>0.15179999999999999</v>
      </c>
      <c r="I138" s="16">
        <v>0.1358</v>
      </c>
      <c r="J138" s="16">
        <v>5.6000000000000001E-2</v>
      </c>
      <c r="K138" s="16">
        <v>0.16769999999999999</v>
      </c>
      <c r="L138" s="16">
        <v>0.1198</v>
      </c>
      <c r="M138" s="16">
        <v>5.6000000000000001E-2</v>
      </c>
      <c r="N138" s="16">
        <v>6.4000000000000001E-2</v>
      </c>
      <c r="O138" s="16">
        <v>0.22359999999999999</v>
      </c>
      <c r="P138" s="16">
        <v>5.6000000000000001E-2</v>
      </c>
      <c r="Q138" s="16">
        <v>5.6000000000000001E-2</v>
      </c>
      <c r="R138" s="16">
        <v>0.1198</v>
      </c>
      <c r="S138" s="16">
        <v>0.16769999999999999</v>
      </c>
      <c r="T138" s="16">
        <v>5.6000000000000001E-2</v>
      </c>
      <c r="U138" s="16">
        <v>0.45529999999999998</v>
      </c>
      <c r="V138" s="16">
        <v>0.5333</v>
      </c>
      <c r="W138" s="16">
        <v>0.30669999999999997</v>
      </c>
      <c r="X138" s="16">
        <v>0.4007</v>
      </c>
      <c r="Y138" s="16">
        <v>0.22090000000000001</v>
      </c>
      <c r="Z138" s="16">
        <v>0.4955</v>
      </c>
      <c r="AA138" s="16">
        <v>0.48749999999999999</v>
      </c>
      <c r="AB138" s="16">
        <v>0.23599999999999999</v>
      </c>
      <c r="AC138" s="16">
        <v>0.25650000000000001</v>
      </c>
      <c r="AD138" s="16">
        <v>0.31409999999999999</v>
      </c>
      <c r="AE138" s="16">
        <v>8.3000000000000004E-2</v>
      </c>
      <c r="AF138" s="16">
        <v>0.24110000000000001</v>
      </c>
      <c r="AG138" s="16">
        <v>7.4300000000000005E-2</v>
      </c>
      <c r="AH138" s="16">
        <v>0.22600000000000001</v>
      </c>
      <c r="AI138" s="16">
        <v>0.58960000000000001</v>
      </c>
      <c r="AJ138" s="16">
        <v>0.67779999999999996</v>
      </c>
      <c r="AK138" s="16">
        <v>2.1055999999999999</v>
      </c>
      <c r="AL138" s="16">
        <v>3.097</v>
      </c>
      <c r="AM138" s="16">
        <v>2.6223999999999998</v>
      </c>
      <c r="AN138" s="16">
        <v>0.3382</v>
      </c>
      <c r="AO138" s="16">
        <v>0.17169999999999999</v>
      </c>
      <c r="AP138" s="16">
        <v>0.21640000000000001</v>
      </c>
      <c r="AQ138" s="16">
        <v>1.0066999999999999</v>
      </c>
      <c r="AR138" s="16">
        <v>3.0857000000000001</v>
      </c>
      <c r="AS138" s="16">
        <v>2.4752999999999998</v>
      </c>
      <c r="AT138" s="16">
        <v>0.41860000000000003</v>
      </c>
      <c r="AU138" s="16">
        <v>0.44169999999999998</v>
      </c>
      <c r="AV138" s="16">
        <v>0.1706</v>
      </c>
      <c r="AW138" s="16">
        <v>5.6000000000000001E-2</v>
      </c>
      <c r="AX138" s="16">
        <v>5.6000000000000001E-2</v>
      </c>
    </row>
    <row r="139" spans="1:50" x14ac:dyDescent="0.25">
      <c r="A139" s="8" t="s">
        <v>192</v>
      </c>
      <c r="B139" s="10" t="s">
        <v>57</v>
      </c>
      <c r="C139" s="16">
        <v>0.21390000000000001</v>
      </c>
      <c r="D139" s="16">
        <v>0.45929999999999999</v>
      </c>
      <c r="E139" s="16">
        <v>5.5E-2</v>
      </c>
      <c r="F139" s="16">
        <v>0.1638</v>
      </c>
      <c r="G139" s="16">
        <v>5.5E-2</v>
      </c>
      <c r="H139" s="16">
        <v>5.5E-2</v>
      </c>
      <c r="I139" s="16">
        <v>0.125</v>
      </c>
      <c r="J139" s="16">
        <v>9.3899999999999997E-2</v>
      </c>
      <c r="K139" s="16">
        <v>5.5E-2</v>
      </c>
      <c r="L139" s="16">
        <v>0.1638</v>
      </c>
      <c r="M139" s="16">
        <v>5.5E-2</v>
      </c>
      <c r="N139" s="16">
        <v>0.14050000000000001</v>
      </c>
      <c r="O139" s="16">
        <v>7.8299999999999995E-2</v>
      </c>
      <c r="P139" s="16">
        <v>5.5E-2</v>
      </c>
      <c r="Q139" s="16">
        <v>5.5E-2</v>
      </c>
      <c r="R139" s="16">
        <v>0.1638</v>
      </c>
      <c r="S139" s="16">
        <v>5.5E-2</v>
      </c>
      <c r="T139" s="16">
        <v>0.125</v>
      </c>
      <c r="U139" s="16">
        <v>0.22539999999999999</v>
      </c>
      <c r="V139" s="16">
        <v>5.5E-2</v>
      </c>
      <c r="W139" s="16">
        <v>0.1016</v>
      </c>
      <c r="X139" s="16">
        <v>0.1172</v>
      </c>
      <c r="Y139" s="16">
        <v>5.5E-2</v>
      </c>
      <c r="Z139" s="16">
        <v>0.20760000000000001</v>
      </c>
      <c r="AA139" s="16">
        <v>0.1865</v>
      </c>
      <c r="AB139" s="16">
        <v>0.1966</v>
      </c>
      <c r="AC139" s="16">
        <v>1.4682999999999999</v>
      </c>
      <c r="AD139" s="16">
        <v>0.76090000000000002</v>
      </c>
      <c r="AE139" s="16">
        <v>0.28839999999999999</v>
      </c>
      <c r="AF139" s="16">
        <v>9.3899999999999997E-2</v>
      </c>
      <c r="AG139" s="16">
        <v>5.5E-2</v>
      </c>
      <c r="AH139" s="16">
        <v>0.28820000000000001</v>
      </c>
      <c r="AI139" s="16">
        <v>0.43269999999999997</v>
      </c>
      <c r="AJ139" s="16">
        <v>0.38419999999999999</v>
      </c>
      <c r="AK139" s="16">
        <v>0.40589999999999998</v>
      </c>
      <c r="AL139" s="16">
        <v>0.25940000000000002</v>
      </c>
      <c r="AM139" s="16">
        <v>0.54259999999999997</v>
      </c>
      <c r="AN139" s="16">
        <v>0.26889999999999997</v>
      </c>
      <c r="AO139" s="16">
        <v>0.21410000000000001</v>
      </c>
      <c r="AP139" s="16">
        <v>0.53069999999999995</v>
      </c>
      <c r="AQ139" s="16">
        <v>0.97629999999999995</v>
      </c>
      <c r="AR139" s="16">
        <v>0.91400000000000003</v>
      </c>
      <c r="AS139" s="16">
        <v>0.7853</v>
      </c>
      <c r="AT139" s="16">
        <v>0.7762</v>
      </c>
      <c r="AU139" s="16">
        <v>0.79110000000000003</v>
      </c>
      <c r="AV139" s="16">
        <v>0.68710000000000004</v>
      </c>
      <c r="AW139" s="16">
        <v>6.2799999999999995E-2</v>
      </c>
      <c r="AX139" s="16">
        <v>0.156</v>
      </c>
    </row>
    <row r="140" spans="1:50" x14ac:dyDescent="0.25">
      <c r="A140" s="8" t="s">
        <v>194</v>
      </c>
      <c r="B140" s="10" t="s">
        <v>57</v>
      </c>
      <c r="C140" s="16">
        <v>0.48799999999999999</v>
      </c>
      <c r="D140" s="16">
        <v>0.37390000000000001</v>
      </c>
      <c r="E140" s="16">
        <v>0.20880000000000001</v>
      </c>
      <c r="F140" s="16">
        <v>5.3999999999999999E-2</v>
      </c>
      <c r="G140" s="16">
        <v>0.13300000000000001</v>
      </c>
      <c r="H140" s="16">
        <v>0.20880000000000001</v>
      </c>
      <c r="I140" s="16">
        <v>0.12859999999999999</v>
      </c>
      <c r="J140" s="16">
        <v>0.16389999999999999</v>
      </c>
      <c r="K140" s="16">
        <v>0.1603</v>
      </c>
      <c r="L140" s="16">
        <v>7.5899999999999995E-2</v>
      </c>
      <c r="M140" s="16">
        <v>0.20880000000000001</v>
      </c>
      <c r="N140" s="16">
        <v>0.13300000000000001</v>
      </c>
      <c r="O140" s="16">
        <v>0.1384</v>
      </c>
      <c r="P140" s="16">
        <v>0.1244</v>
      </c>
      <c r="Q140" s="16">
        <v>5.3999999999999999E-2</v>
      </c>
      <c r="R140" s="16">
        <v>9.6199999999999994E-2</v>
      </c>
      <c r="S140" s="16">
        <v>0.2455</v>
      </c>
      <c r="T140" s="16">
        <v>5.3999999999999999E-2</v>
      </c>
      <c r="U140" s="16">
        <v>0.25700000000000001</v>
      </c>
      <c r="V140" s="16">
        <v>8.4699999999999998E-2</v>
      </c>
      <c r="W140" s="16">
        <v>5.3999999999999999E-2</v>
      </c>
      <c r="X140" s="16">
        <v>0.2666</v>
      </c>
      <c r="Y140" s="16">
        <v>7.51E-2</v>
      </c>
      <c r="Z140" s="16">
        <v>0.16300000000000001</v>
      </c>
      <c r="AA140" s="16">
        <v>0.1787</v>
      </c>
      <c r="AB140" s="16">
        <v>0.3201</v>
      </c>
      <c r="AC140" s="16">
        <v>0.2447</v>
      </c>
      <c r="AD140" s="16">
        <v>7.5899999999999995E-2</v>
      </c>
      <c r="AE140" s="16">
        <v>0.13139999999999999</v>
      </c>
      <c r="AF140" s="16">
        <v>0.1489</v>
      </c>
      <c r="AG140" s="16">
        <v>0.12330000000000001</v>
      </c>
      <c r="AH140" s="16">
        <v>0.17860000000000001</v>
      </c>
      <c r="AI140" s="16">
        <v>0.22</v>
      </c>
      <c r="AJ140" s="16">
        <v>0.11550000000000001</v>
      </c>
      <c r="AK140" s="16">
        <v>0.4894</v>
      </c>
      <c r="AL140" s="16">
        <v>0.3115</v>
      </c>
      <c r="AM140" s="16">
        <v>8.5599999999999996E-2</v>
      </c>
      <c r="AN140" s="16">
        <v>0.1883</v>
      </c>
      <c r="AO140" s="16">
        <v>0.19589999999999999</v>
      </c>
      <c r="AP140" s="16">
        <v>8.2100000000000006E-2</v>
      </c>
      <c r="AQ140" s="16">
        <v>0.28699999999999998</v>
      </c>
      <c r="AR140" s="16">
        <v>0.43109999999999998</v>
      </c>
      <c r="AS140" s="16">
        <v>0.112</v>
      </c>
      <c r="AT140" s="16">
        <v>0.15939999999999999</v>
      </c>
      <c r="AU140" s="16">
        <v>0.1736</v>
      </c>
      <c r="AV140" s="16">
        <v>7.1499999999999994E-2</v>
      </c>
      <c r="AW140" s="16">
        <v>0.24210000000000001</v>
      </c>
      <c r="AX140" s="16">
        <v>8.2100000000000006E-2</v>
      </c>
    </row>
    <row r="141" spans="1:50" x14ac:dyDescent="0.25">
      <c r="A141" s="8" t="s">
        <v>196</v>
      </c>
      <c r="B141" s="10" t="s">
        <v>57</v>
      </c>
      <c r="C141" s="16">
        <v>0.31169999999999998</v>
      </c>
      <c r="D141" s="16">
        <v>0.25259999999999999</v>
      </c>
      <c r="E141" s="16">
        <v>5.5E-2</v>
      </c>
      <c r="F141" s="16">
        <v>5.5E-2</v>
      </c>
      <c r="G141" s="16">
        <v>0.22559999999999999</v>
      </c>
      <c r="H141" s="16">
        <v>8.1900000000000001E-2</v>
      </c>
      <c r="I141" s="16">
        <v>9.0899999999999995E-2</v>
      </c>
      <c r="J141" s="16">
        <v>0.2167</v>
      </c>
      <c r="K141" s="16">
        <v>5.5E-2</v>
      </c>
      <c r="L141" s="16">
        <v>0.28210000000000002</v>
      </c>
      <c r="M141" s="16">
        <v>0.1089</v>
      </c>
      <c r="N141" s="16">
        <v>5.5E-2</v>
      </c>
      <c r="O141" s="16">
        <v>0.25259999999999999</v>
      </c>
      <c r="P141" s="16">
        <v>5.5E-2</v>
      </c>
      <c r="Q141" s="16">
        <v>0.107</v>
      </c>
      <c r="R141" s="16">
        <v>0.2223</v>
      </c>
      <c r="S141" s="16">
        <v>0.60009999999999997</v>
      </c>
      <c r="T141" s="16">
        <v>0.2823</v>
      </c>
      <c r="U141" s="16">
        <v>0.27960000000000002</v>
      </c>
      <c r="V141" s="16">
        <v>1.4458</v>
      </c>
      <c r="W141" s="16">
        <v>0.21210000000000001</v>
      </c>
      <c r="X141" s="16">
        <v>0.48559999999999998</v>
      </c>
      <c r="Y141" s="16">
        <v>0.36969999999999997</v>
      </c>
      <c r="Z141" s="16">
        <v>0.5585</v>
      </c>
      <c r="AA141" s="16">
        <v>0.25090000000000001</v>
      </c>
      <c r="AB141" s="16">
        <v>0.35399999999999998</v>
      </c>
      <c r="AC141" s="16">
        <v>0.99019999999999997</v>
      </c>
      <c r="AD141" s="16">
        <v>1.3453999999999999</v>
      </c>
      <c r="AE141" s="16">
        <v>1.4232</v>
      </c>
      <c r="AF141" s="16">
        <v>0.13919999999999999</v>
      </c>
      <c r="AG141" s="16">
        <v>0.255</v>
      </c>
      <c r="AH141" s="16">
        <v>0.1089</v>
      </c>
      <c r="AI141" s="16">
        <v>9.9900000000000003E-2</v>
      </c>
      <c r="AJ141" s="16">
        <v>0.2077</v>
      </c>
      <c r="AK141" s="16">
        <v>5.5E-2</v>
      </c>
      <c r="AL141" s="16">
        <v>0.38119999999999998</v>
      </c>
      <c r="AM141" s="16">
        <v>1.0898000000000001</v>
      </c>
      <c r="AN141" s="16">
        <v>8.2500000000000004E-2</v>
      </c>
      <c r="AO141" s="16">
        <v>0.15390000000000001</v>
      </c>
      <c r="AP141" s="16">
        <v>0.44629999999999997</v>
      </c>
      <c r="AQ141" s="16">
        <v>0.71940000000000004</v>
      </c>
      <c r="AR141" s="16">
        <v>0.78739999999999999</v>
      </c>
      <c r="AS141" s="16">
        <v>0.78939999999999999</v>
      </c>
      <c r="AT141" s="16">
        <v>0.87390000000000001</v>
      </c>
      <c r="AU141" s="16">
        <v>0.56799999999999995</v>
      </c>
      <c r="AV141" s="16">
        <v>0.94169999999999998</v>
      </c>
      <c r="AW141" s="16">
        <v>0.60709999999999997</v>
      </c>
      <c r="AX141" s="16">
        <v>0.1179</v>
      </c>
    </row>
    <row r="142" spans="1:50" x14ac:dyDescent="0.25">
      <c r="A142" s="8" t="s">
        <v>198</v>
      </c>
      <c r="B142" s="10" t="s">
        <v>57</v>
      </c>
      <c r="C142" s="16">
        <v>9.6000000000000002E-2</v>
      </c>
      <c r="D142" s="16">
        <v>0.23369999999999999</v>
      </c>
      <c r="E142" s="16">
        <v>3.3000000000000002E-2</v>
      </c>
      <c r="F142" s="16">
        <v>0.17380000000000001</v>
      </c>
      <c r="G142" s="16">
        <v>0.14360000000000001</v>
      </c>
      <c r="H142" s="16">
        <v>0.14130000000000001</v>
      </c>
      <c r="I142" s="16">
        <v>7.7799999999999994E-2</v>
      </c>
      <c r="J142" s="16">
        <v>0.1011</v>
      </c>
      <c r="K142" s="16">
        <v>0.2286</v>
      </c>
      <c r="L142" s="16">
        <v>3.3000000000000002E-2</v>
      </c>
      <c r="M142" s="16">
        <v>0.1144</v>
      </c>
      <c r="N142" s="16">
        <v>0.21529999999999999</v>
      </c>
      <c r="O142" s="16">
        <v>3.3000000000000002E-2</v>
      </c>
      <c r="P142" s="16">
        <v>0.17380000000000001</v>
      </c>
      <c r="Q142" s="16">
        <v>5.4100000000000002E-2</v>
      </c>
      <c r="R142" s="16">
        <v>0.24510000000000001</v>
      </c>
      <c r="S142" s="16">
        <v>0.35170000000000001</v>
      </c>
      <c r="T142" s="16">
        <v>0.92800000000000005</v>
      </c>
      <c r="U142" s="16">
        <v>3.3000000000000002E-2</v>
      </c>
      <c r="V142" s="16">
        <v>0.29670000000000002</v>
      </c>
      <c r="W142" s="16">
        <v>5.7000000000000002E-2</v>
      </c>
      <c r="X142" s="16">
        <v>0.2646</v>
      </c>
      <c r="Y142" s="16">
        <v>0.1221</v>
      </c>
      <c r="Z142" s="16">
        <v>9.1999999999999998E-2</v>
      </c>
      <c r="AA142" s="16">
        <v>0.29680000000000001</v>
      </c>
      <c r="AB142" s="16">
        <v>0.1031</v>
      </c>
      <c r="AC142" s="16">
        <v>0.1234</v>
      </c>
      <c r="AD142" s="16">
        <v>0.1731</v>
      </c>
      <c r="AE142" s="16">
        <v>0.1605</v>
      </c>
      <c r="AF142" s="16">
        <v>0.129</v>
      </c>
      <c r="AG142" s="16">
        <v>0.1454</v>
      </c>
      <c r="AH142" s="16">
        <v>9.6600000000000005E-2</v>
      </c>
      <c r="AI142" s="16">
        <v>0.45750000000000002</v>
      </c>
      <c r="AJ142" s="16">
        <v>0.22439999999999999</v>
      </c>
      <c r="AK142" s="16">
        <v>0.36</v>
      </c>
      <c r="AL142" s="16">
        <v>0.3599</v>
      </c>
      <c r="AM142" s="16">
        <v>0.61170000000000002</v>
      </c>
      <c r="AN142" s="16">
        <v>1.0944</v>
      </c>
      <c r="AO142" s="16">
        <v>0.30330000000000001</v>
      </c>
      <c r="AP142" s="16">
        <v>0.53839999999999999</v>
      </c>
      <c r="AQ142" s="16">
        <v>0.2263</v>
      </c>
      <c r="AR142" s="16">
        <v>5.8599999999999999E-2</v>
      </c>
      <c r="AS142" s="16">
        <v>0.1482</v>
      </c>
      <c r="AT142" s="16">
        <v>3.3000000000000002E-2</v>
      </c>
      <c r="AU142" s="16">
        <v>0.15590000000000001</v>
      </c>
      <c r="AV142" s="16">
        <v>0.16739999999999999</v>
      </c>
      <c r="AW142" s="16">
        <v>3.9399999999999998E-2</v>
      </c>
      <c r="AX142" s="16">
        <v>0.20710000000000001</v>
      </c>
    </row>
    <row r="143" spans="1:50" x14ac:dyDescent="0.25">
      <c r="A143" s="17" t="s">
        <v>353</v>
      </c>
      <c r="B143" s="13" t="s">
        <v>222</v>
      </c>
      <c r="C143" s="18">
        <v>0.18679999999999999</v>
      </c>
      <c r="D143" s="18">
        <v>0.183</v>
      </c>
      <c r="E143" s="18">
        <v>0.05</v>
      </c>
      <c r="F143" s="18">
        <v>0.29449999999999998</v>
      </c>
      <c r="G143" s="18">
        <v>0.54349999999999998</v>
      </c>
      <c r="H143" s="18">
        <v>0.152</v>
      </c>
      <c r="I143" s="18">
        <v>0.2099</v>
      </c>
      <c r="J143" s="18">
        <v>7.8100000000000003E-2</v>
      </c>
      <c r="K143" s="18">
        <v>0.18679999999999999</v>
      </c>
      <c r="L143" s="18">
        <v>0.13439999999999999</v>
      </c>
      <c r="M143" s="18">
        <v>0.10539999999999999</v>
      </c>
      <c r="N143" s="18">
        <v>6.8099999999999994E-2</v>
      </c>
      <c r="O143" s="18">
        <v>0.25679999999999997</v>
      </c>
      <c r="P143" s="18">
        <v>5.74E-2</v>
      </c>
      <c r="Q143" s="18">
        <v>9.4E-2</v>
      </c>
      <c r="R143" s="18">
        <v>0.2273</v>
      </c>
      <c r="S143" s="18">
        <v>0.05</v>
      </c>
      <c r="T143" s="18">
        <v>0.18</v>
      </c>
      <c r="U143" s="18">
        <v>0.1993</v>
      </c>
      <c r="V143" s="18">
        <v>9.8000000000000004E-2</v>
      </c>
      <c r="W143" s="18">
        <v>0.16689999999999999</v>
      </c>
      <c r="X143" s="18">
        <v>0.10630000000000001</v>
      </c>
      <c r="Y143" s="18">
        <v>0.05</v>
      </c>
      <c r="Z143" s="18">
        <v>0.20480000000000001</v>
      </c>
      <c r="AA143" s="18">
        <v>0.11650000000000001</v>
      </c>
      <c r="AB143" s="18">
        <v>0.1696</v>
      </c>
      <c r="AC143" s="18">
        <v>0.1406</v>
      </c>
      <c r="AD143" s="18">
        <v>1.3927</v>
      </c>
      <c r="AE143" s="18">
        <v>0.22370000000000001</v>
      </c>
      <c r="AF143" s="18">
        <v>0.182</v>
      </c>
      <c r="AG143" s="18">
        <v>0.44290000000000002</v>
      </c>
      <c r="AH143" s="18">
        <v>7.3200000000000001E-2</v>
      </c>
      <c r="AI143" s="18">
        <v>0.24529999999999999</v>
      </c>
      <c r="AJ143" s="18">
        <v>1.2111000000000001</v>
      </c>
      <c r="AK143" s="18">
        <v>0.3538</v>
      </c>
      <c r="AL143" s="18">
        <v>0.20549999999999999</v>
      </c>
      <c r="AM143" s="18">
        <v>0.2369</v>
      </c>
      <c r="AN143" s="18">
        <v>0.20569999999999999</v>
      </c>
      <c r="AO143" s="18">
        <v>0.1162</v>
      </c>
      <c r="AP143" s="18">
        <v>0.50749999999999995</v>
      </c>
      <c r="AQ143" s="18">
        <v>0.37180000000000002</v>
      </c>
      <c r="AR143" s="18">
        <v>0.3054</v>
      </c>
      <c r="AS143" s="18">
        <v>0.52090000000000003</v>
      </c>
      <c r="AT143" s="18">
        <v>0.56100000000000005</v>
      </c>
      <c r="AU143" s="18">
        <v>0.73870000000000002</v>
      </c>
      <c r="AV143" s="18">
        <v>5.74E-2</v>
      </c>
      <c r="AW143" s="18">
        <v>0.2079</v>
      </c>
      <c r="AX143" s="18">
        <v>0.1133</v>
      </c>
    </row>
    <row r="144" spans="1:50" x14ac:dyDescent="0.25">
      <c r="A144" s="17" t="s">
        <v>355</v>
      </c>
      <c r="B144" s="13" t="s">
        <v>222</v>
      </c>
      <c r="C144" s="18">
        <v>0.21029999999999999</v>
      </c>
      <c r="D144" s="18">
        <v>0.1774</v>
      </c>
      <c r="E144" s="18">
        <v>0.21079999999999999</v>
      </c>
      <c r="F144" s="18">
        <v>0.12609999999999999</v>
      </c>
      <c r="G144" s="18">
        <v>0.29249999999999998</v>
      </c>
      <c r="H144" s="18">
        <v>0.1164</v>
      </c>
      <c r="I144" s="18">
        <v>6.8500000000000005E-2</v>
      </c>
      <c r="J144" s="18">
        <v>0.36530000000000001</v>
      </c>
      <c r="K144" s="18">
        <v>0.06</v>
      </c>
      <c r="L144" s="18">
        <v>0.1867</v>
      </c>
      <c r="M144" s="18">
        <v>0.2056</v>
      </c>
      <c r="N144" s="18">
        <v>0.1186</v>
      </c>
      <c r="O144" s="18">
        <v>0.25750000000000001</v>
      </c>
      <c r="P144" s="18">
        <v>0.1094</v>
      </c>
      <c r="Q144" s="18">
        <v>0.1104</v>
      </c>
      <c r="R144" s="18">
        <v>0.19320000000000001</v>
      </c>
      <c r="S144" s="18">
        <v>0.12429999999999999</v>
      </c>
      <c r="T144" s="18">
        <v>0.1867</v>
      </c>
      <c r="U144" s="18">
        <v>0.14219999999999999</v>
      </c>
      <c r="V144" s="18">
        <v>0.28310000000000002</v>
      </c>
      <c r="W144" s="18">
        <v>0.12609999999999999</v>
      </c>
      <c r="X144" s="18">
        <v>0.13</v>
      </c>
      <c r="Y144" s="18">
        <v>0.29530000000000001</v>
      </c>
      <c r="Z144" s="18">
        <v>7.0800000000000002E-2</v>
      </c>
      <c r="AA144" s="18">
        <v>0.22209999999999999</v>
      </c>
      <c r="AB144" s="18">
        <v>0.20319999999999999</v>
      </c>
      <c r="AC144" s="18">
        <v>2.0870000000000002</v>
      </c>
      <c r="AD144" s="18">
        <v>0.47360000000000002</v>
      </c>
      <c r="AE144" s="18">
        <v>0.1371</v>
      </c>
      <c r="AF144" s="18">
        <v>0.19500000000000001</v>
      </c>
      <c r="AG144" s="18">
        <v>0.15909999999999999</v>
      </c>
      <c r="AH144" s="18">
        <v>0.40450000000000003</v>
      </c>
      <c r="AI144" s="18">
        <v>0.59150000000000003</v>
      </c>
      <c r="AJ144" s="18">
        <v>0.20599999999999999</v>
      </c>
      <c r="AK144" s="18">
        <v>0.46610000000000001</v>
      </c>
      <c r="AL144" s="18">
        <v>0.1915</v>
      </c>
      <c r="AM144" s="18">
        <v>0.1739</v>
      </c>
      <c r="AN144" s="18">
        <v>0.2349</v>
      </c>
      <c r="AO144" s="18">
        <v>0.12609999999999999</v>
      </c>
      <c r="AP144" s="18">
        <v>0.16489999999999999</v>
      </c>
      <c r="AQ144" s="18">
        <v>0.22</v>
      </c>
      <c r="AR144" s="18">
        <v>9.2399999999999996E-2</v>
      </c>
      <c r="AS144" s="18">
        <v>0.23180000000000001</v>
      </c>
      <c r="AT144" s="18">
        <v>0.19350000000000001</v>
      </c>
      <c r="AU144" s="18">
        <v>7.6100000000000001E-2</v>
      </c>
      <c r="AV144" s="18">
        <v>0.28179999999999999</v>
      </c>
      <c r="AW144" s="18">
        <v>0.1416</v>
      </c>
      <c r="AX144" s="18">
        <v>0.24410000000000001</v>
      </c>
    </row>
    <row r="145" spans="1:50" x14ac:dyDescent="0.25">
      <c r="A145" s="8" t="s">
        <v>200</v>
      </c>
      <c r="B145" s="10" t="s">
        <v>57</v>
      </c>
      <c r="C145" s="16">
        <v>0.38159999999999999</v>
      </c>
      <c r="D145" s="16">
        <v>0.72499999999999998</v>
      </c>
      <c r="E145" s="16">
        <v>0.62829999999999997</v>
      </c>
      <c r="F145" s="16">
        <v>0.15759999999999999</v>
      </c>
      <c r="G145" s="16">
        <v>0.12839999999999999</v>
      </c>
      <c r="H145" s="16">
        <v>0.30149999999999999</v>
      </c>
      <c r="I145" s="16">
        <v>7.3499999999999996E-2</v>
      </c>
      <c r="J145" s="16">
        <v>0.24690000000000001</v>
      </c>
      <c r="K145" s="16">
        <v>0.20349999999999999</v>
      </c>
      <c r="L145" s="16">
        <v>0.2087</v>
      </c>
      <c r="M145" s="16">
        <v>9.1200000000000003E-2</v>
      </c>
      <c r="N145" s="16">
        <v>0.32179999999999997</v>
      </c>
      <c r="O145" s="16">
        <v>0.12859999999999999</v>
      </c>
      <c r="P145" s="16">
        <v>0.1898</v>
      </c>
      <c r="Q145" s="16">
        <v>0.14849999999999999</v>
      </c>
      <c r="R145" s="16">
        <v>0.21679999999999999</v>
      </c>
      <c r="S145" s="16">
        <v>0.16270000000000001</v>
      </c>
      <c r="T145" s="16">
        <v>0.1512</v>
      </c>
      <c r="U145" s="16">
        <v>0.26100000000000001</v>
      </c>
      <c r="V145" s="16">
        <v>0.16220000000000001</v>
      </c>
      <c r="W145" s="16">
        <v>0.18260000000000001</v>
      </c>
      <c r="X145" s="16">
        <v>0.28079999999999999</v>
      </c>
      <c r="Y145" s="16">
        <v>0.30599999999999999</v>
      </c>
      <c r="Z145" s="16">
        <v>0.2001</v>
      </c>
      <c r="AA145" s="16">
        <v>5.2999999999999999E-2</v>
      </c>
      <c r="AB145" s="16">
        <v>0.39200000000000002</v>
      </c>
      <c r="AC145" s="16">
        <v>5.8500000000000003E-2</v>
      </c>
      <c r="AD145" s="16">
        <v>0.114</v>
      </c>
      <c r="AE145" s="16">
        <v>0.23380000000000001</v>
      </c>
      <c r="AF145" s="16">
        <v>0.18390000000000001</v>
      </c>
      <c r="AG145" s="16">
        <v>0.20230000000000001</v>
      </c>
      <c r="AH145" s="16">
        <v>0.1212</v>
      </c>
      <c r="AI145" s="16">
        <v>0.32919999999999999</v>
      </c>
      <c r="AJ145" s="16">
        <v>6.9400000000000003E-2</v>
      </c>
      <c r="AK145" s="16">
        <v>0.28149999999999997</v>
      </c>
      <c r="AL145" s="16">
        <v>0.16889999999999999</v>
      </c>
      <c r="AM145" s="16">
        <v>5.2999999999999999E-2</v>
      </c>
      <c r="AN145" s="16">
        <v>0.27889999999999998</v>
      </c>
      <c r="AO145" s="16">
        <v>0.17150000000000001</v>
      </c>
      <c r="AP145" s="16">
        <v>0.1077</v>
      </c>
      <c r="AQ145" s="16">
        <v>0.27179999999999999</v>
      </c>
      <c r="AR145" s="16">
        <v>0.1239</v>
      </c>
      <c r="AS145" s="16">
        <v>0.40949999999999998</v>
      </c>
      <c r="AT145" s="16">
        <v>0.7198</v>
      </c>
      <c r="AU145" s="16">
        <v>0.7026</v>
      </c>
      <c r="AV145" s="16">
        <v>0.71289999999999998</v>
      </c>
      <c r="AW145" s="16">
        <v>0.2011</v>
      </c>
      <c r="AX145" s="16">
        <v>0.19939999999999999</v>
      </c>
    </row>
    <row r="146" spans="1:50" x14ac:dyDescent="0.25">
      <c r="A146" s="17" t="s">
        <v>357</v>
      </c>
      <c r="B146" s="13" t="s">
        <v>222</v>
      </c>
      <c r="C146" s="18">
        <v>0.58479999999999999</v>
      </c>
      <c r="D146" s="18">
        <v>0.61750000000000005</v>
      </c>
      <c r="E146" s="18">
        <v>4.8099999999999997E-2</v>
      </c>
      <c r="F146" s="18">
        <v>0.1145</v>
      </c>
      <c r="G146" s="18">
        <v>4.3999999999999997E-2</v>
      </c>
      <c r="H146" s="18">
        <v>0.1186</v>
      </c>
      <c r="I146" s="18">
        <v>4.3999999999999997E-2</v>
      </c>
      <c r="J146" s="18">
        <v>0.1186</v>
      </c>
      <c r="K146" s="18">
        <v>4.3999999999999997E-2</v>
      </c>
      <c r="L146" s="18">
        <v>9.3700000000000006E-2</v>
      </c>
      <c r="M146" s="18">
        <v>6.8900000000000003E-2</v>
      </c>
      <c r="N146" s="18">
        <v>9.3700000000000006E-2</v>
      </c>
      <c r="O146" s="18">
        <v>6.8900000000000003E-2</v>
      </c>
      <c r="P146" s="18">
        <v>4.3999999999999997E-2</v>
      </c>
      <c r="Q146" s="18">
        <v>0.1186</v>
      </c>
      <c r="R146" s="18">
        <v>4.3999999999999997E-2</v>
      </c>
      <c r="S146" s="18">
        <v>0.1186</v>
      </c>
      <c r="T146" s="18">
        <v>4.3999999999999997E-2</v>
      </c>
      <c r="U146" s="18">
        <v>0.1186</v>
      </c>
      <c r="V146" s="18">
        <v>4.3999999999999997E-2</v>
      </c>
      <c r="W146" s="18">
        <v>4.3999999999999997E-2</v>
      </c>
      <c r="X146" s="18">
        <v>0.1166</v>
      </c>
      <c r="Y146" s="18">
        <v>8.9099999999999999E-2</v>
      </c>
      <c r="Z146" s="18">
        <v>4.4999999999999998E-2</v>
      </c>
      <c r="AA146" s="18">
        <v>5.3999999999999999E-2</v>
      </c>
      <c r="AB146" s="18">
        <v>0.1288</v>
      </c>
      <c r="AC146" s="18">
        <v>5.6399999999999999E-2</v>
      </c>
      <c r="AD146" s="18">
        <v>6.7799999999999999E-2</v>
      </c>
      <c r="AE146" s="18">
        <v>0.1767</v>
      </c>
      <c r="AF146" s="18">
        <v>4.3999999999999997E-2</v>
      </c>
      <c r="AG146" s="18">
        <v>0.1186</v>
      </c>
      <c r="AH146" s="18">
        <v>4.3999999999999997E-2</v>
      </c>
      <c r="AI146" s="18">
        <v>0.27700000000000002</v>
      </c>
      <c r="AJ146" s="18">
        <v>9.5000000000000001E-2</v>
      </c>
      <c r="AK146" s="18">
        <v>8.6999999999999994E-2</v>
      </c>
      <c r="AL146" s="18">
        <v>0.78069999999999995</v>
      </c>
      <c r="AM146" s="18">
        <v>0.79649999999999999</v>
      </c>
      <c r="AN146" s="18">
        <v>0.73019999999999996</v>
      </c>
      <c r="AO146" s="18">
        <v>0.37830000000000003</v>
      </c>
      <c r="AP146" s="18">
        <v>0.18729999999999999</v>
      </c>
      <c r="AQ146" s="18">
        <v>0.33539999999999998</v>
      </c>
      <c r="AR146" s="18">
        <v>0.23810000000000001</v>
      </c>
      <c r="AS146" s="18">
        <v>0.1817</v>
      </c>
      <c r="AT146" s="18">
        <v>0.36859999999999998</v>
      </c>
      <c r="AU146" s="18">
        <v>0.2979</v>
      </c>
      <c r="AV146" s="18">
        <v>0.2712</v>
      </c>
      <c r="AW146" s="18">
        <v>0.31790000000000002</v>
      </c>
      <c r="AX146" s="18">
        <v>4.3999999999999997E-2</v>
      </c>
    </row>
    <row r="147" spans="1:50" x14ac:dyDescent="0.25">
      <c r="A147" s="17" t="s">
        <v>359</v>
      </c>
      <c r="B147" s="13" t="s">
        <v>222</v>
      </c>
      <c r="C147" s="18">
        <v>0.31640000000000001</v>
      </c>
      <c r="D147" s="18">
        <v>0.1479</v>
      </c>
      <c r="E147" s="18">
        <v>4.5999999999999999E-2</v>
      </c>
      <c r="F147" s="18">
        <v>0.1275</v>
      </c>
      <c r="G147" s="18">
        <v>0.23230000000000001</v>
      </c>
      <c r="H147" s="18">
        <v>4.5999999999999999E-2</v>
      </c>
      <c r="I147" s="18">
        <v>0.129</v>
      </c>
      <c r="J147" s="18">
        <v>0.23089999999999999</v>
      </c>
      <c r="K147" s="18">
        <v>4.5999999999999999E-2</v>
      </c>
      <c r="L147" s="18">
        <v>0.1986</v>
      </c>
      <c r="M147" s="18">
        <v>0.16309999999999999</v>
      </c>
      <c r="N147" s="18">
        <v>0.1371</v>
      </c>
      <c r="O147" s="18">
        <v>0.16669999999999999</v>
      </c>
      <c r="P147" s="18">
        <v>4.5999999999999999E-2</v>
      </c>
      <c r="Q147" s="18">
        <v>0.1479</v>
      </c>
      <c r="R147" s="18">
        <v>0.129</v>
      </c>
      <c r="S147" s="18">
        <v>0.22070000000000001</v>
      </c>
      <c r="T147" s="18">
        <v>6.3899999999999998E-2</v>
      </c>
      <c r="U147" s="18">
        <v>0.16800000000000001</v>
      </c>
      <c r="V147" s="18">
        <v>0.59499999999999997</v>
      </c>
      <c r="W147" s="18">
        <v>0.61250000000000004</v>
      </c>
      <c r="X147" s="18">
        <v>0.44409999999999999</v>
      </c>
      <c r="Y147" s="18">
        <v>0.4577</v>
      </c>
      <c r="Z147" s="18">
        <v>0.66379999999999995</v>
      </c>
      <c r="AA147" s="18">
        <v>0.16930000000000001</v>
      </c>
      <c r="AB147" s="18">
        <v>0.22359999999999999</v>
      </c>
      <c r="AC147" s="18">
        <v>0.13900000000000001</v>
      </c>
      <c r="AD147" s="18">
        <v>0.22259999999999999</v>
      </c>
      <c r="AE147" s="18">
        <v>0.1731</v>
      </c>
      <c r="AF147" s="18">
        <v>7.1199999999999999E-2</v>
      </c>
      <c r="AG147" s="18">
        <v>0.41360000000000002</v>
      </c>
      <c r="AH147" s="18">
        <v>0.1918</v>
      </c>
      <c r="AI147" s="18">
        <v>0.3458</v>
      </c>
      <c r="AJ147" s="18">
        <v>0.47270000000000001</v>
      </c>
      <c r="AK147" s="18">
        <v>0.1512</v>
      </c>
      <c r="AL147" s="18">
        <v>0.29599999999999999</v>
      </c>
      <c r="AM147" s="18">
        <v>0.22289999999999999</v>
      </c>
      <c r="AN147" s="18">
        <v>0.1699</v>
      </c>
      <c r="AO147" s="18">
        <v>0.56079999999999997</v>
      </c>
      <c r="AP147" s="18">
        <v>0.30709999999999998</v>
      </c>
      <c r="AQ147" s="18">
        <v>0.39579999999999999</v>
      </c>
      <c r="AR147" s="18">
        <v>0.45610000000000001</v>
      </c>
      <c r="AS147" s="18">
        <v>0.43609999999999999</v>
      </c>
      <c r="AT147" s="18">
        <v>0.36120000000000002</v>
      </c>
      <c r="AU147" s="18">
        <v>0.60150000000000003</v>
      </c>
      <c r="AV147" s="18">
        <v>0.40339999999999998</v>
      </c>
      <c r="AW147" s="18">
        <v>0.22040000000000001</v>
      </c>
      <c r="AX147" s="18">
        <v>0.4602</v>
      </c>
    </row>
    <row r="148" spans="1:50" x14ac:dyDescent="0.25">
      <c r="A148" s="17" t="s">
        <v>361</v>
      </c>
      <c r="B148" s="13" t="s">
        <v>222</v>
      </c>
      <c r="C148" s="18">
        <v>6.0499999999999998E-2</v>
      </c>
      <c r="D148" s="18">
        <v>0.18479999999999999</v>
      </c>
      <c r="E148" s="18">
        <v>0.1348</v>
      </c>
      <c r="F148" s="18">
        <v>0.1615</v>
      </c>
      <c r="G148" s="18">
        <v>0.14910000000000001</v>
      </c>
      <c r="H148" s="18">
        <v>0.22670000000000001</v>
      </c>
      <c r="I148" s="18">
        <v>6.93E-2</v>
      </c>
      <c r="J148" s="18">
        <v>0.20860000000000001</v>
      </c>
      <c r="K148" s="18">
        <v>4.2799999999999998E-2</v>
      </c>
      <c r="L148" s="18">
        <v>0.1047</v>
      </c>
      <c r="M148" s="18">
        <v>0.1074</v>
      </c>
      <c r="N148" s="18">
        <v>0.42599999999999999</v>
      </c>
      <c r="O148" s="18">
        <v>7.0400000000000004E-2</v>
      </c>
      <c r="P148" s="18">
        <v>0.1956</v>
      </c>
      <c r="Q148" s="18">
        <v>1.0387999999999999</v>
      </c>
      <c r="R148" s="18">
        <v>1.6862999999999999</v>
      </c>
      <c r="S148" s="18">
        <v>1.4319999999999999</v>
      </c>
      <c r="T148" s="18">
        <v>0.16450000000000001</v>
      </c>
      <c r="U148" s="18">
        <v>0.2344</v>
      </c>
      <c r="V148" s="18">
        <v>3.8899999999999997E-2</v>
      </c>
      <c r="W148" s="18">
        <v>0.26290000000000002</v>
      </c>
      <c r="X148" s="18">
        <v>0.1129</v>
      </c>
      <c r="Y148" s="18">
        <v>3.4000000000000002E-2</v>
      </c>
      <c r="Z148" s="18">
        <v>0.16450000000000001</v>
      </c>
      <c r="AA148" s="18">
        <v>0.1981</v>
      </c>
      <c r="AB148" s="18">
        <v>0.13830000000000001</v>
      </c>
      <c r="AC148" s="18">
        <v>0.1835</v>
      </c>
      <c r="AD148" s="18">
        <v>0.2346</v>
      </c>
      <c r="AE148" s="18">
        <v>0.16550000000000001</v>
      </c>
      <c r="AF148" s="18">
        <v>0.19420000000000001</v>
      </c>
      <c r="AG148" s="18">
        <v>0.187</v>
      </c>
      <c r="AH148" s="18">
        <v>0.15260000000000001</v>
      </c>
      <c r="AI148" s="18">
        <v>0.22950000000000001</v>
      </c>
      <c r="AJ148" s="18">
        <v>6.1100000000000002E-2</v>
      </c>
      <c r="AK148" s="18">
        <v>0.35270000000000001</v>
      </c>
      <c r="AL148" s="18">
        <v>0.13</v>
      </c>
      <c r="AM148" s="18">
        <v>0.1454</v>
      </c>
      <c r="AN148" s="18">
        <v>0.18310000000000001</v>
      </c>
      <c r="AO148" s="18">
        <v>0.17710000000000001</v>
      </c>
      <c r="AP148" s="18">
        <v>0.1467</v>
      </c>
      <c r="AQ148" s="18">
        <v>0.14960000000000001</v>
      </c>
      <c r="AR148" s="18">
        <v>0.1019</v>
      </c>
      <c r="AS148" s="18">
        <v>0.22989999999999999</v>
      </c>
      <c r="AT148" s="18">
        <v>7.8E-2</v>
      </c>
      <c r="AU148" s="18">
        <v>0.2923</v>
      </c>
      <c r="AV148" s="18">
        <v>0.49509999999999998</v>
      </c>
      <c r="AW148" s="18">
        <v>9.1399999999999995E-2</v>
      </c>
      <c r="AX148" s="18">
        <v>5.1799999999999999E-2</v>
      </c>
    </row>
    <row r="149" spans="1:50" x14ac:dyDescent="0.25">
      <c r="A149" s="17" t="s">
        <v>363</v>
      </c>
      <c r="B149" s="13" t="s">
        <v>222</v>
      </c>
      <c r="C149" s="18">
        <v>5.1999999999999998E-2</v>
      </c>
      <c r="D149" s="18">
        <v>5.1999999999999998E-2</v>
      </c>
      <c r="E149" s="18">
        <v>5.1999999999999998E-2</v>
      </c>
      <c r="F149" s="18">
        <v>5.1999999999999998E-2</v>
      </c>
      <c r="G149" s="18">
        <v>5.1999999999999998E-2</v>
      </c>
      <c r="H149" s="18">
        <v>5.1999999999999998E-2</v>
      </c>
      <c r="I149" s="18">
        <v>5.1999999999999998E-2</v>
      </c>
      <c r="J149" s="18">
        <v>5.1999999999999998E-2</v>
      </c>
      <c r="K149" s="18">
        <v>5.1999999999999998E-2</v>
      </c>
      <c r="L149" s="18">
        <v>5.1999999999999998E-2</v>
      </c>
      <c r="M149" s="18">
        <v>5.1999999999999998E-2</v>
      </c>
      <c r="N149" s="18">
        <v>5.1999999999999998E-2</v>
      </c>
      <c r="O149" s="18">
        <v>5.1999999999999998E-2</v>
      </c>
      <c r="P149" s="18">
        <v>5.1999999999999998E-2</v>
      </c>
      <c r="Q149" s="18">
        <v>0.1076</v>
      </c>
      <c r="R149" s="18">
        <v>5.1999999999999998E-2</v>
      </c>
      <c r="S149" s="18">
        <v>5.1999999999999998E-2</v>
      </c>
      <c r="T149" s="18">
        <v>0.1653</v>
      </c>
      <c r="U149" s="18">
        <v>0.13109999999999999</v>
      </c>
      <c r="V149" s="18">
        <v>9.6000000000000002E-2</v>
      </c>
      <c r="W149" s="18">
        <v>5.1999999999999998E-2</v>
      </c>
      <c r="X149" s="18">
        <v>5.1999999999999998E-2</v>
      </c>
      <c r="Y149" s="18">
        <v>5.1999999999999998E-2</v>
      </c>
      <c r="Z149" s="18">
        <v>6.4000000000000001E-2</v>
      </c>
      <c r="AA149" s="18">
        <v>0.13969999999999999</v>
      </c>
      <c r="AB149" s="18">
        <v>0.15920000000000001</v>
      </c>
      <c r="AC149" s="18">
        <v>5.3999999999999999E-2</v>
      </c>
      <c r="AD149" s="18">
        <v>0.44350000000000001</v>
      </c>
      <c r="AE149" s="18">
        <v>5.4699999999999999E-2</v>
      </c>
      <c r="AF149" s="18">
        <v>6.2E-2</v>
      </c>
      <c r="AG149" s="18">
        <v>9.9000000000000005E-2</v>
      </c>
      <c r="AH149" s="18">
        <v>0.19389999999999999</v>
      </c>
      <c r="AI149" s="18">
        <v>0.27029999999999998</v>
      </c>
      <c r="AJ149" s="18">
        <v>0.1484</v>
      </c>
      <c r="AK149" s="18">
        <v>9.1499999999999998E-2</v>
      </c>
      <c r="AL149" s="18">
        <v>0.26879999999999998</v>
      </c>
      <c r="AM149" s="18">
        <v>0.123</v>
      </c>
      <c r="AN149" s="18">
        <v>0.1105</v>
      </c>
      <c r="AO149" s="18">
        <v>0.21940000000000001</v>
      </c>
      <c r="AP149" s="18">
        <v>0.45729999999999998</v>
      </c>
      <c r="AQ149" s="18">
        <v>0.60399999999999998</v>
      </c>
      <c r="AR149" s="18">
        <v>0.47510000000000002</v>
      </c>
      <c r="AS149" s="18">
        <v>0.68069999999999997</v>
      </c>
      <c r="AT149" s="18">
        <v>0.82920000000000005</v>
      </c>
      <c r="AU149" s="18">
        <v>0.83589999999999998</v>
      </c>
      <c r="AV149" s="18">
        <v>0.61799999999999999</v>
      </c>
      <c r="AW149" s="18">
        <v>0.46329999999999999</v>
      </c>
      <c r="AX149" s="18">
        <v>0.47739999999999999</v>
      </c>
    </row>
    <row r="150" spans="1:50" x14ac:dyDescent="0.25">
      <c r="A150" s="17" t="s">
        <v>365</v>
      </c>
      <c r="B150" s="13" t="s">
        <v>222</v>
      </c>
      <c r="C150" s="18">
        <v>0.2064</v>
      </c>
      <c r="D150" s="18">
        <v>0.1245</v>
      </c>
      <c r="E150" s="18">
        <v>0.15820000000000001</v>
      </c>
      <c r="F150" s="18">
        <v>0.14180000000000001</v>
      </c>
      <c r="G150" s="18">
        <v>0.13400000000000001</v>
      </c>
      <c r="H150" s="18">
        <v>0.17369999999999999</v>
      </c>
      <c r="I150" s="18">
        <v>0.109</v>
      </c>
      <c r="J150" s="18">
        <v>0.24110000000000001</v>
      </c>
      <c r="K150" s="18">
        <v>8.9700000000000002E-2</v>
      </c>
      <c r="L150" s="18">
        <v>0.10050000000000001</v>
      </c>
      <c r="M150" s="18">
        <v>0.23039999999999999</v>
      </c>
      <c r="N150" s="18">
        <v>5.5E-2</v>
      </c>
      <c r="O150" s="18">
        <v>5.5E-2</v>
      </c>
      <c r="P150" s="18">
        <v>5.5E-2</v>
      </c>
      <c r="Q150" s="18">
        <v>0.27589999999999998</v>
      </c>
      <c r="R150" s="18">
        <v>5.5E-2</v>
      </c>
      <c r="S150" s="18">
        <v>0.158</v>
      </c>
      <c r="T150" s="18">
        <v>0.17280000000000001</v>
      </c>
      <c r="U150" s="18">
        <v>0.1245</v>
      </c>
      <c r="V150" s="18">
        <v>7.5600000000000001E-2</v>
      </c>
      <c r="W150" s="18">
        <v>0.23980000000000001</v>
      </c>
      <c r="X150" s="18">
        <v>7.0400000000000004E-2</v>
      </c>
      <c r="Y150" s="18">
        <v>0.24060000000000001</v>
      </c>
      <c r="Z150" s="18">
        <v>9.0200000000000002E-2</v>
      </c>
      <c r="AA150" s="18">
        <v>0.109</v>
      </c>
      <c r="AB150" s="18">
        <v>0.17369999999999999</v>
      </c>
      <c r="AC150" s="18">
        <v>0.1032</v>
      </c>
      <c r="AD150" s="18">
        <v>0.1245</v>
      </c>
      <c r="AE150" s="18">
        <v>0.2064</v>
      </c>
      <c r="AF150" s="18">
        <v>5.5E-2</v>
      </c>
      <c r="AG150" s="18">
        <v>0.1245</v>
      </c>
      <c r="AH150" s="18">
        <v>0.2064</v>
      </c>
      <c r="AI150" s="18">
        <v>5.5E-2</v>
      </c>
      <c r="AJ150" s="18">
        <v>0.20699999999999999</v>
      </c>
      <c r="AK150" s="18">
        <v>0.12379999999999999</v>
      </c>
      <c r="AL150" s="18">
        <v>5.5E-2</v>
      </c>
      <c r="AM150" s="18">
        <v>5.8900000000000001E-2</v>
      </c>
      <c r="AN150" s="18">
        <v>0.1757</v>
      </c>
      <c r="AO150" s="18">
        <v>0.69010000000000005</v>
      </c>
      <c r="AP150" s="18">
        <v>0.44090000000000001</v>
      </c>
      <c r="AQ150" s="18">
        <v>0.90300000000000002</v>
      </c>
      <c r="AR150" s="18">
        <v>0.39019999999999999</v>
      </c>
      <c r="AS150" s="18">
        <v>0.53110000000000002</v>
      </c>
      <c r="AT150" s="18">
        <v>0.59670000000000001</v>
      </c>
      <c r="AU150" s="18">
        <v>0.42649999999999999</v>
      </c>
      <c r="AV150" s="18">
        <v>1.099</v>
      </c>
      <c r="AW150" s="18">
        <v>0.4718</v>
      </c>
      <c r="AX150" s="18">
        <v>0.78359999999999996</v>
      </c>
    </row>
    <row r="151" spans="1:50" x14ac:dyDescent="0.25">
      <c r="A151" s="17" t="s">
        <v>367</v>
      </c>
      <c r="B151" s="13" t="s">
        <v>222</v>
      </c>
      <c r="C151" s="18">
        <v>0.25219999999999998</v>
      </c>
      <c r="D151" s="18">
        <v>5.7000000000000002E-2</v>
      </c>
      <c r="E151" s="18">
        <v>0.22559999999999999</v>
      </c>
      <c r="F151" s="18">
        <v>8.3599999999999994E-2</v>
      </c>
      <c r="G151" s="18">
        <v>0.128</v>
      </c>
      <c r="H151" s="18">
        <v>0.1812</v>
      </c>
      <c r="I151" s="18">
        <v>7.4700000000000003E-2</v>
      </c>
      <c r="J151" s="18">
        <v>0.2344</v>
      </c>
      <c r="K151" s="18">
        <v>5.7000000000000002E-2</v>
      </c>
      <c r="L151" s="18">
        <v>0.25219999999999998</v>
      </c>
      <c r="M151" s="18">
        <v>5.7000000000000002E-2</v>
      </c>
      <c r="N151" s="18">
        <v>5.7000000000000002E-2</v>
      </c>
      <c r="O151" s="18">
        <v>0.19009999999999999</v>
      </c>
      <c r="P151" s="18">
        <v>1.2203999999999999</v>
      </c>
      <c r="Q151" s="18">
        <v>0.2301</v>
      </c>
      <c r="R151" s="18">
        <v>0.1812</v>
      </c>
      <c r="S151" s="18">
        <v>0.108</v>
      </c>
      <c r="T151" s="18">
        <v>0.51790000000000003</v>
      </c>
      <c r="U151" s="18">
        <v>0.1754</v>
      </c>
      <c r="V151" s="18">
        <v>0.15890000000000001</v>
      </c>
      <c r="W151" s="18">
        <v>6.9900000000000004E-2</v>
      </c>
      <c r="X151" s="18">
        <v>1.0475000000000001</v>
      </c>
      <c r="Y151" s="18">
        <v>0.82879999999999998</v>
      </c>
      <c r="Z151" s="18">
        <v>1.9315</v>
      </c>
      <c r="AA151" s="18">
        <v>0.42249999999999999</v>
      </c>
      <c r="AB151" s="18">
        <v>0.51419999999999999</v>
      </c>
      <c r="AC151" s="18">
        <v>0.13769999999999999</v>
      </c>
      <c r="AD151" s="18">
        <v>0.16350000000000001</v>
      </c>
      <c r="AE151" s="18">
        <v>0.1457</v>
      </c>
      <c r="AF151" s="18">
        <v>5.7000000000000002E-2</v>
      </c>
      <c r="AG151" s="18">
        <v>0.22559999999999999</v>
      </c>
      <c r="AH151" s="18">
        <v>8.3599999999999994E-2</v>
      </c>
      <c r="AI151" s="18">
        <v>5.7000000000000002E-2</v>
      </c>
      <c r="AJ151" s="18">
        <v>0.20780000000000001</v>
      </c>
      <c r="AK151" s="18">
        <v>0.22639999999999999</v>
      </c>
      <c r="AL151" s="18">
        <v>0.19420000000000001</v>
      </c>
      <c r="AM151" s="18">
        <v>0.4163</v>
      </c>
      <c r="AN151" s="18">
        <v>0.64149999999999996</v>
      </c>
      <c r="AO151" s="18">
        <v>0.33529999999999999</v>
      </c>
      <c r="AP151" s="18">
        <v>0.38319999999999999</v>
      </c>
      <c r="AQ151" s="18">
        <v>0.37969999999999998</v>
      </c>
      <c r="AR151" s="18">
        <v>0.69069999999999998</v>
      </c>
      <c r="AS151" s="18">
        <v>0.41039999999999999</v>
      </c>
      <c r="AT151" s="18">
        <v>0.99199999999999999</v>
      </c>
      <c r="AU151" s="18">
        <v>0.55110000000000003</v>
      </c>
      <c r="AV151" s="18">
        <v>0.81799999999999995</v>
      </c>
      <c r="AW151" s="18">
        <v>0.66390000000000005</v>
      </c>
      <c r="AX151" s="18">
        <v>0.30580000000000002</v>
      </c>
    </row>
    <row r="152" spans="1:50" x14ac:dyDescent="0.25">
      <c r="A152" s="17" t="s">
        <v>369</v>
      </c>
      <c r="B152" s="13" t="s">
        <v>222</v>
      </c>
      <c r="C152" s="18">
        <v>0.41249999999999998</v>
      </c>
      <c r="D152" s="18">
        <v>0.22739999999999999</v>
      </c>
      <c r="E152" s="18">
        <v>0.1744</v>
      </c>
      <c r="F152" s="18">
        <v>0.10639999999999999</v>
      </c>
      <c r="G152" s="18">
        <v>4.5999999999999999E-2</v>
      </c>
      <c r="H152" s="18">
        <v>8.9899999999999994E-2</v>
      </c>
      <c r="I152" s="18">
        <v>0.19089999999999999</v>
      </c>
      <c r="J152" s="18">
        <v>0.1031</v>
      </c>
      <c r="K152" s="18">
        <v>7.8899999999999998E-2</v>
      </c>
      <c r="L152" s="18">
        <v>0.14480000000000001</v>
      </c>
      <c r="M152" s="18">
        <v>0.125</v>
      </c>
      <c r="N152" s="18">
        <v>4.5999999999999999E-2</v>
      </c>
      <c r="O152" s="18">
        <v>0.20399999999999999</v>
      </c>
      <c r="P152" s="18">
        <v>8.9099999999999999E-2</v>
      </c>
      <c r="Q152" s="18">
        <v>0.38969999999999999</v>
      </c>
      <c r="R152" s="18">
        <v>0.31719999999999998</v>
      </c>
      <c r="S152" s="18">
        <v>0.2034</v>
      </c>
      <c r="T152" s="18">
        <v>0.16769999999999999</v>
      </c>
      <c r="U152" s="18">
        <v>0.1963</v>
      </c>
      <c r="V152" s="18">
        <v>0.13270000000000001</v>
      </c>
      <c r="W152" s="18">
        <v>0.23400000000000001</v>
      </c>
      <c r="X152" s="18">
        <v>0.13339999999999999</v>
      </c>
      <c r="Y152" s="18">
        <v>0.21510000000000001</v>
      </c>
      <c r="Z152" s="18">
        <v>0.26819999999999999</v>
      </c>
      <c r="AA152" s="18">
        <v>0.16889999999999999</v>
      </c>
      <c r="AB152" s="18">
        <v>5.0799999999999998E-2</v>
      </c>
      <c r="AC152" s="18">
        <v>0.19839999999999999</v>
      </c>
      <c r="AD152" s="18">
        <v>0.1915</v>
      </c>
      <c r="AE152" s="18">
        <v>0.4919</v>
      </c>
      <c r="AF152" s="18">
        <v>0.24340000000000001</v>
      </c>
      <c r="AG152" s="18">
        <v>0.1401</v>
      </c>
      <c r="AH152" s="18">
        <v>0.1946</v>
      </c>
      <c r="AI152" s="18">
        <v>7.9600000000000004E-2</v>
      </c>
      <c r="AJ152" s="18">
        <v>0.13539999999999999</v>
      </c>
      <c r="AK152" s="18">
        <v>0.125</v>
      </c>
      <c r="AL152" s="18">
        <v>0.38159999999999999</v>
      </c>
      <c r="AM152" s="18">
        <v>0.1186</v>
      </c>
      <c r="AN152" s="18">
        <v>0.15340000000000001</v>
      </c>
      <c r="AO152" s="18">
        <v>0.26679999999999998</v>
      </c>
      <c r="AP152" s="18">
        <v>0.23480000000000001</v>
      </c>
      <c r="AQ152" s="18">
        <v>4.5999999999999999E-2</v>
      </c>
      <c r="AR152" s="18">
        <v>0.31419999999999998</v>
      </c>
      <c r="AS152" s="18">
        <v>0.15840000000000001</v>
      </c>
      <c r="AT152" s="18">
        <v>1.4963</v>
      </c>
      <c r="AU152" s="18">
        <v>0.5534</v>
      </c>
      <c r="AV152" s="18">
        <v>0.53839999999999999</v>
      </c>
      <c r="AW152" s="18">
        <v>0.39419999999999999</v>
      </c>
      <c r="AX152" s="18">
        <v>0.31709999999999999</v>
      </c>
    </row>
    <row r="153" spans="1:50" x14ac:dyDescent="0.25">
      <c r="A153" s="17" t="s">
        <v>371</v>
      </c>
      <c r="B153" s="13" t="s">
        <v>222</v>
      </c>
      <c r="C153" s="18">
        <v>0.1087</v>
      </c>
      <c r="D153" s="18">
        <v>4.2200000000000001E-2</v>
      </c>
      <c r="E153" s="18">
        <v>3.7999999999999999E-2</v>
      </c>
      <c r="F153" s="18">
        <v>8.3799999999999999E-2</v>
      </c>
      <c r="G153" s="18">
        <v>6.7100000000000007E-2</v>
      </c>
      <c r="H153" s="18">
        <v>7.5399999999999995E-2</v>
      </c>
      <c r="I153" s="18">
        <v>7.5399999999999995E-2</v>
      </c>
      <c r="J153" s="18">
        <v>0.1004</v>
      </c>
      <c r="K153" s="18">
        <v>5.0500000000000003E-2</v>
      </c>
      <c r="L153" s="18">
        <v>3.7999999999999999E-2</v>
      </c>
      <c r="M153" s="18">
        <v>3.7999999999999999E-2</v>
      </c>
      <c r="N153" s="18">
        <v>0.1129</v>
      </c>
      <c r="O153" s="18">
        <v>3.7999999999999999E-2</v>
      </c>
      <c r="P153" s="18">
        <v>0.1129</v>
      </c>
      <c r="Q153" s="18">
        <v>3.7999999999999999E-2</v>
      </c>
      <c r="R153" s="18">
        <v>8.7900000000000006E-2</v>
      </c>
      <c r="S153" s="18">
        <v>6.3E-2</v>
      </c>
      <c r="T153" s="18">
        <v>3.7999999999999999E-2</v>
      </c>
      <c r="U153" s="18">
        <v>5.57E-2</v>
      </c>
      <c r="V153" s="18">
        <v>0.11020000000000001</v>
      </c>
      <c r="W153" s="18">
        <v>7.4200000000000002E-2</v>
      </c>
      <c r="X153" s="18">
        <v>7.0599999999999996E-2</v>
      </c>
      <c r="Y153" s="18">
        <v>0.13</v>
      </c>
      <c r="Z153" s="18">
        <v>0.2293</v>
      </c>
      <c r="AA153" s="18">
        <v>7.5399999999999995E-2</v>
      </c>
      <c r="AB153" s="18">
        <v>0.30790000000000001</v>
      </c>
      <c r="AC153" s="18">
        <v>0.1701</v>
      </c>
      <c r="AD153" s="18">
        <v>0.126</v>
      </c>
      <c r="AE153" s="18">
        <v>0.10979999999999999</v>
      </c>
      <c r="AF153" s="18">
        <v>0.1164</v>
      </c>
      <c r="AG153" s="18">
        <v>9.3600000000000003E-2</v>
      </c>
      <c r="AH153" s="18">
        <v>0.37409999999999999</v>
      </c>
      <c r="AI153" s="18">
        <v>0.20019999999999999</v>
      </c>
      <c r="AJ153" s="18">
        <v>7.5399999999999995E-2</v>
      </c>
      <c r="AK153" s="18">
        <v>0.13139999999999999</v>
      </c>
      <c r="AL153" s="18">
        <v>0.28289999999999998</v>
      </c>
      <c r="AM153" s="18">
        <v>0.40210000000000001</v>
      </c>
      <c r="AN153" s="18">
        <v>0.18079999999999999</v>
      </c>
      <c r="AO153" s="18">
        <v>0.42849999999999999</v>
      </c>
      <c r="AP153" s="18">
        <v>0.40529999999999999</v>
      </c>
      <c r="AQ153" s="18">
        <v>0.34749999999999998</v>
      </c>
      <c r="AR153" s="18">
        <v>0.49719999999999998</v>
      </c>
      <c r="AS153" s="18">
        <v>0.45300000000000001</v>
      </c>
      <c r="AT153" s="18">
        <v>0.25409999999999999</v>
      </c>
      <c r="AU153" s="18">
        <v>0.3054</v>
      </c>
      <c r="AV153" s="18">
        <v>0.1832</v>
      </c>
      <c r="AW153" s="18">
        <v>3.7999999999999999E-2</v>
      </c>
      <c r="AX153" s="18">
        <v>0.1129</v>
      </c>
    </row>
    <row r="154" spans="1:50" x14ac:dyDescent="0.25">
      <c r="A154" s="17" t="s">
        <v>373</v>
      </c>
      <c r="B154" s="13" t="s">
        <v>222</v>
      </c>
      <c r="C154" s="18">
        <v>0.1046</v>
      </c>
      <c r="D154" s="18">
        <v>0.28570000000000001</v>
      </c>
      <c r="E154" s="18">
        <v>0.04</v>
      </c>
      <c r="F154" s="18">
        <v>0.27329999999999999</v>
      </c>
      <c r="G154" s="18">
        <v>0.1171</v>
      </c>
      <c r="H154" s="18">
        <v>7.17E-2</v>
      </c>
      <c r="I154" s="18">
        <v>0.21210000000000001</v>
      </c>
      <c r="J154" s="18">
        <v>0.04</v>
      </c>
      <c r="K154" s="18">
        <v>0.1323</v>
      </c>
      <c r="L154" s="18">
        <v>0.15670000000000001</v>
      </c>
      <c r="M154" s="18">
        <v>0.1585</v>
      </c>
      <c r="N154" s="18">
        <v>0.11899999999999999</v>
      </c>
      <c r="O154" s="18">
        <v>0.25430000000000003</v>
      </c>
      <c r="P154" s="18">
        <v>0.04</v>
      </c>
      <c r="Q154" s="18">
        <v>0.12130000000000001</v>
      </c>
      <c r="R154" s="18">
        <v>0.2772</v>
      </c>
      <c r="S154" s="18">
        <v>4.6300000000000001E-2</v>
      </c>
      <c r="T154" s="18">
        <v>0.25590000000000002</v>
      </c>
      <c r="U154" s="18">
        <v>0.1394</v>
      </c>
      <c r="V154" s="18">
        <v>0.15179999999999999</v>
      </c>
      <c r="W154" s="18">
        <v>0.2918</v>
      </c>
      <c r="X154" s="18">
        <v>0.1244</v>
      </c>
      <c r="Y154" s="18">
        <v>0.16669999999999999</v>
      </c>
      <c r="Z154" s="18">
        <v>0.14660000000000001</v>
      </c>
      <c r="AA154" s="18">
        <v>0.1678</v>
      </c>
      <c r="AB154" s="18">
        <v>0.16170000000000001</v>
      </c>
      <c r="AC154" s="18">
        <v>0.1009</v>
      </c>
      <c r="AD154" s="18">
        <v>0.26179999999999998</v>
      </c>
      <c r="AE154" s="18">
        <v>1.0548</v>
      </c>
      <c r="AF154" s="18">
        <v>0.14230000000000001</v>
      </c>
      <c r="AG154" s="18">
        <v>6.4399999999999999E-2</v>
      </c>
      <c r="AH154" s="18">
        <v>0.30459999999999998</v>
      </c>
      <c r="AI154" s="18">
        <v>0.1162</v>
      </c>
      <c r="AJ154" s="18">
        <v>0.1673</v>
      </c>
      <c r="AK154" s="18">
        <v>0.47539999999999999</v>
      </c>
      <c r="AL154" s="18">
        <v>0.3241</v>
      </c>
      <c r="AM154" s="18">
        <v>0.30220000000000002</v>
      </c>
      <c r="AN154" s="18">
        <v>0.50749999999999995</v>
      </c>
      <c r="AO154" s="18">
        <v>0.54359999999999997</v>
      </c>
      <c r="AP154" s="18">
        <v>0.45419999999999999</v>
      </c>
      <c r="AQ154" s="18">
        <v>0.3911</v>
      </c>
      <c r="AR154" s="18">
        <v>0.39100000000000001</v>
      </c>
      <c r="AS154" s="18">
        <v>0.49930000000000002</v>
      </c>
      <c r="AT154" s="18">
        <v>0.32769999999999999</v>
      </c>
      <c r="AU154" s="18">
        <v>0.2324</v>
      </c>
      <c r="AV154" s="18">
        <v>9.7000000000000003E-2</v>
      </c>
      <c r="AW154" s="18">
        <v>0.22359999999999999</v>
      </c>
      <c r="AX154" s="18">
        <v>0.16039999999999999</v>
      </c>
    </row>
    <row r="155" spans="1:50" x14ac:dyDescent="0.25">
      <c r="A155" s="17" t="s">
        <v>375</v>
      </c>
      <c r="B155" s="13" t="s">
        <v>222</v>
      </c>
      <c r="C155" s="18">
        <v>0.11119999999999999</v>
      </c>
      <c r="D155" s="18">
        <v>0.2475</v>
      </c>
      <c r="E155" s="18">
        <v>5.1999999999999998E-2</v>
      </c>
      <c r="F155" s="18">
        <v>6.0100000000000001E-2</v>
      </c>
      <c r="G155" s="18">
        <v>0.2225</v>
      </c>
      <c r="H155" s="18">
        <v>5.1999999999999998E-2</v>
      </c>
      <c r="I155" s="18">
        <v>0.12809999999999999</v>
      </c>
      <c r="J155" s="18">
        <v>0.2306</v>
      </c>
      <c r="K155" s="18">
        <v>0.12809999999999999</v>
      </c>
      <c r="L155" s="18">
        <v>5.1999999999999998E-2</v>
      </c>
      <c r="M155" s="18">
        <v>0.30669999999999997</v>
      </c>
      <c r="N155" s="18">
        <v>5.1999999999999998E-2</v>
      </c>
      <c r="O155" s="18">
        <v>0.1222</v>
      </c>
      <c r="P155" s="18">
        <v>0.42899999999999999</v>
      </c>
      <c r="Q155" s="18">
        <v>0.2712</v>
      </c>
      <c r="R155" s="18">
        <v>0.47810000000000002</v>
      </c>
      <c r="S155" s="18">
        <v>6.4699999999999994E-2</v>
      </c>
      <c r="T155" s="18">
        <v>0.28110000000000002</v>
      </c>
      <c r="U155" s="18">
        <v>0.37869999999999998</v>
      </c>
      <c r="V155" s="18">
        <v>0.32550000000000001</v>
      </c>
      <c r="W155" s="18">
        <v>0.99729999999999996</v>
      </c>
      <c r="X155" s="18">
        <v>0.45519999999999999</v>
      </c>
      <c r="Y155" s="18">
        <v>0.3125</v>
      </c>
      <c r="Z155" s="18">
        <v>5.1999999999999998E-2</v>
      </c>
      <c r="AA155" s="18">
        <v>0.30669999999999997</v>
      </c>
      <c r="AB155" s="18">
        <v>5.1999999999999998E-2</v>
      </c>
      <c r="AC155" s="18">
        <v>5.1999999999999998E-2</v>
      </c>
      <c r="AD155" s="18">
        <v>0.28560000000000002</v>
      </c>
      <c r="AE155" s="18">
        <v>7.3099999999999998E-2</v>
      </c>
      <c r="AF155" s="18">
        <v>0.18190000000000001</v>
      </c>
      <c r="AG155" s="18">
        <v>0.15570000000000001</v>
      </c>
      <c r="AH155" s="18">
        <v>0.15429999999999999</v>
      </c>
      <c r="AI155" s="18">
        <v>0.14940000000000001</v>
      </c>
      <c r="AJ155" s="18">
        <v>0.1154</v>
      </c>
      <c r="AK155" s="18">
        <v>0.21890000000000001</v>
      </c>
      <c r="AL155" s="18">
        <v>7.6399999999999996E-2</v>
      </c>
      <c r="AM155" s="18">
        <v>0.1525</v>
      </c>
      <c r="AN155" s="18">
        <v>0.20619999999999999</v>
      </c>
      <c r="AO155" s="18">
        <v>0.1027</v>
      </c>
      <c r="AP155" s="18">
        <v>7.7399999999999997E-2</v>
      </c>
      <c r="AQ155" s="18">
        <v>8.1600000000000006E-2</v>
      </c>
      <c r="AR155" s="18">
        <v>0.1148</v>
      </c>
      <c r="AS155" s="18">
        <v>0.25659999999999999</v>
      </c>
      <c r="AT155" s="18">
        <v>8.5800000000000001E-2</v>
      </c>
      <c r="AU155" s="18">
        <v>0.25629999999999997</v>
      </c>
      <c r="AV155" s="18">
        <v>0.1024</v>
      </c>
      <c r="AW155" s="18">
        <v>5.1999999999999998E-2</v>
      </c>
      <c r="AX155" s="18">
        <v>0.2306</v>
      </c>
    </row>
    <row r="156" spans="1:50" x14ac:dyDescent="0.25">
      <c r="A156" s="8" t="s">
        <v>202</v>
      </c>
      <c r="B156" s="10" t="s">
        <v>57</v>
      </c>
      <c r="C156" s="16">
        <v>0.11749999999999999</v>
      </c>
      <c r="D156" s="16">
        <v>3.7999999999999999E-2</v>
      </c>
      <c r="E156" s="16">
        <v>5.1200000000000002E-2</v>
      </c>
      <c r="F156" s="16">
        <v>0.1042</v>
      </c>
      <c r="G156" s="16">
        <v>6.4500000000000002E-2</v>
      </c>
      <c r="H156" s="16">
        <v>9.0999999999999998E-2</v>
      </c>
      <c r="I156" s="16">
        <v>3.7999999999999999E-2</v>
      </c>
      <c r="J156" s="16">
        <v>3.7999999999999999E-2</v>
      </c>
      <c r="K156" s="16">
        <v>3.7999999999999999E-2</v>
      </c>
      <c r="L156" s="16">
        <v>0.11749999999999999</v>
      </c>
      <c r="M156" s="16">
        <v>3.7999999999999999E-2</v>
      </c>
      <c r="N156" s="16">
        <v>3.7999999999999999E-2</v>
      </c>
      <c r="O156" s="16">
        <v>3.7999999999999999E-2</v>
      </c>
      <c r="P156" s="16">
        <v>8.2199999999999995E-2</v>
      </c>
      <c r="Q156" s="16">
        <v>7.3300000000000004E-2</v>
      </c>
      <c r="R156" s="16">
        <v>3.7999999999999999E-2</v>
      </c>
      <c r="S156" s="16">
        <v>6.4500000000000002E-2</v>
      </c>
      <c r="T156" s="16">
        <v>9.0999999999999998E-2</v>
      </c>
      <c r="U156" s="16">
        <v>8.6599999999999996E-2</v>
      </c>
      <c r="V156" s="16">
        <v>0.254</v>
      </c>
      <c r="W156" s="16">
        <v>3.7999999999999999E-2</v>
      </c>
      <c r="X156" s="16">
        <v>8.6599999999999996E-2</v>
      </c>
      <c r="Y156" s="16">
        <v>6.8900000000000003E-2</v>
      </c>
      <c r="Z156" s="16">
        <v>7.3300000000000004E-2</v>
      </c>
      <c r="AA156" s="16">
        <v>9.5100000000000004E-2</v>
      </c>
      <c r="AB156" s="16">
        <v>0.51149999999999995</v>
      </c>
      <c r="AC156" s="16">
        <v>1.0136000000000001</v>
      </c>
      <c r="AD156" s="16">
        <v>0.18340000000000001</v>
      </c>
      <c r="AE156" s="16">
        <v>1.9113</v>
      </c>
      <c r="AF156" s="16">
        <v>0.1043</v>
      </c>
      <c r="AG156" s="16">
        <v>3.7999999999999999E-2</v>
      </c>
      <c r="AH156" s="16">
        <v>9.0999999999999998E-2</v>
      </c>
      <c r="AI156" s="16">
        <v>6.4500000000000002E-2</v>
      </c>
      <c r="AJ156" s="16">
        <v>9.0999999999999998E-2</v>
      </c>
      <c r="AK156" s="16">
        <v>6.4500000000000002E-2</v>
      </c>
      <c r="AL156" s="16">
        <v>3.7999999999999999E-2</v>
      </c>
      <c r="AM156" s="16">
        <v>0.11749999999999999</v>
      </c>
      <c r="AN156" s="16">
        <v>3.7999999999999999E-2</v>
      </c>
      <c r="AO156" s="16">
        <v>3.7999999999999999E-2</v>
      </c>
      <c r="AP156" s="16">
        <v>3.7999999999999999E-2</v>
      </c>
      <c r="AQ156" s="16">
        <v>6.0100000000000001E-2</v>
      </c>
      <c r="AR156" s="16">
        <v>9.5399999999999999E-2</v>
      </c>
      <c r="AS156" s="16">
        <v>7.3300000000000004E-2</v>
      </c>
      <c r="AT156" s="16">
        <v>8.2199999999999995E-2</v>
      </c>
      <c r="AU156" s="16">
        <v>3.7999999999999999E-2</v>
      </c>
      <c r="AV156" s="16">
        <v>3.7999999999999999E-2</v>
      </c>
      <c r="AW156" s="16">
        <v>0.11749999999999999</v>
      </c>
      <c r="AX156" s="16">
        <v>1.6446000000000001</v>
      </c>
    </row>
    <row r="157" spans="1:50" x14ac:dyDescent="0.25">
      <c r="A157" s="17" t="s">
        <v>377</v>
      </c>
      <c r="B157" s="13" t="s">
        <v>222</v>
      </c>
      <c r="C157" s="18">
        <v>0.42820000000000003</v>
      </c>
      <c r="D157" s="18">
        <v>5.1999999999999998E-2</v>
      </c>
      <c r="E157" s="18">
        <v>0.20649999999999999</v>
      </c>
      <c r="F157" s="18">
        <v>5.1999999999999998E-2</v>
      </c>
      <c r="G157" s="18">
        <v>0.1363</v>
      </c>
      <c r="H157" s="18">
        <v>0.1222</v>
      </c>
      <c r="I157" s="18">
        <v>5.1999999999999998E-2</v>
      </c>
      <c r="J157" s="18">
        <v>5.1999999999999998E-2</v>
      </c>
      <c r="K157" s="18">
        <v>5.1999999999999998E-2</v>
      </c>
      <c r="L157" s="18">
        <v>5.1999999999999998E-2</v>
      </c>
      <c r="M157" s="18">
        <v>0.20649999999999999</v>
      </c>
      <c r="N157" s="18">
        <v>5.1999999999999998E-2</v>
      </c>
      <c r="O157" s="18">
        <v>0.19950000000000001</v>
      </c>
      <c r="P157" s="18">
        <v>5.8999999999999997E-2</v>
      </c>
      <c r="Q157" s="18">
        <v>5.1999999999999998E-2</v>
      </c>
      <c r="R157" s="18">
        <v>0.37680000000000002</v>
      </c>
      <c r="S157" s="18">
        <v>0.21390000000000001</v>
      </c>
      <c r="T157" s="18">
        <v>1.1196999999999999</v>
      </c>
      <c r="U157" s="18">
        <v>0.33</v>
      </c>
      <c r="V157" s="18">
        <v>0.55069999999999997</v>
      </c>
      <c r="W157" s="18">
        <v>0.55410000000000004</v>
      </c>
      <c r="X157" s="18">
        <v>2.3993000000000002</v>
      </c>
      <c r="Y157" s="18">
        <v>0.59360000000000002</v>
      </c>
      <c r="Z157" s="18">
        <v>0.2742</v>
      </c>
      <c r="AA157" s="18">
        <v>0.2107</v>
      </c>
      <c r="AB157" s="18">
        <v>0.1686</v>
      </c>
      <c r="AC157" s="18">
        <v>0.1686</v>
      </c>
      <c r="AD157" s="18">
        <v>0.2487</v>
      </c>
      <c r="AE157" s="18">
        <v>5.1999999999999998E-2</v>
      </c>
      <c r="AF157" s="18">
        <v>0.20649999999999999</v>
      </c>
      <c r="AG157" s="18">
        <v>5.1999999999999998E-2</v>
      </c>
      <c r="AH157" s="18">
        <v>0.12920000000000001</v>
      </c>
      <c r="AI157" s="18">
        <v>0.12920000000000001</v>
      </c>
      <c r="AJ157" s="18">
        <v>5.1999999999999998E-2</v>
      </c>
      <c r="AK157" s="18">
        <v>5.1999999999999998E-2</v>
      </c>
      <c r="AL157" s="18">
        <v>0.20649999999999999</v>
      </c>
      <c r="AM157" s="18">
        <v>9.0899999999999995E-2</v>
      </c>
      <c r="AN157" s="18">
        <v>0.25280000000000002</v>
      </c>
      <c r="AO157" s="18">
        <v>0.27650000000000002</v>
      </c>
      <c r="AP157" s="18">
        <v>0.3891</v>
      </c>
      <c r="AQ157" s="18">
        <v>0.29780000000000001</v>
      </c>
      <c r="AR157" s="18">
        <v>0.27629999999999999</v>
      </c>
      <c r="AS157" s="18">
        <v>0.47510000000000002</v>
      </c>
      <c r="AT157" s="18">
        <v>0.6542</v>
      </c>
      <c r="AU157" s="18">
        <v>0.49930000000000002</v>
      </c>
      <c r="AV157" s="18">
        <v>0.60709999999999997</v>
      </c>
      <c r="AW157" s="18">
        <v>0.49909999999999999</v>
      </c>
      <c r="AX157" s="18">
        <v>0.30099999999999999</v>
      </c>
    </row>
    <row r="158" spans="1:50" x14ac:dyDescent="0.25">
      <c r="A158" s="8" t="s">
        <v>204</v>
      </c>
      <c r="B158" s="10" t="s">
        <v>57</v>
      </c>
      <c r="C158" s="16">
        <v>0.35060000000000002</v>
      </c>
      <c r="D158" s="16">
        <v>0.1022</v>
      </c>
      <c r="E158" s="16">
        <v>3.3000000000000002E-2</v>
      </c>
      <c r="F158" s="16">
        <v>0.1022</v>
      </c>
      <c r="G158" s="16">
        <v>3.3000000000000002E-2</v>
      </c>
      <c r="H158" s="16">
        <v>0.1022</v>
      </c>
      <c r="I158" s="16">
        <v>3.3000000000000002E-2</v>
      </c>
      <c r="J158" s="16">
        <v>0.1022</v>
      </c>
      <c r="K158" s="16">
        <v>4.8399999999999999E-2</v>
      </c>
      <c r="L158" s="16">
        <v>8.6900000000000005E-2</v>
      </c>
      <c r="M158" s="16">
        <v>3.3000000000000002E-2</v>
      </c>
      <c r="N158" s="16">
        <v>9.0700000000000003E-2</v>
      </c>
      <c r="O158" s="16">
        <v>4.4499999999999998E-2</v>
      </c>
      <c r="P158" s="16">
        <v>7.5300000000000006E-2</v>
      </c>
      <c r="Q158" s="16">
        <v>9.1600000000000001E-2</v>
      </c>
      <c r="R158" s="16">
        <v>3.3000000000000002E-2</v>
      </c>
      <c r="S158" s="16">
        <v>3.3000000000000002E-2</v>
      </c>
      <c r="T158" s="16">
        <v>0.10929999999999999</v>
      </c>
      <c r="U158" s="16">
        <v>8.9499999999999996E-2</v>
      </c>
      <c r="V158" s="16">
        <v>0.29020000000000001</v>
      </c>
      <c r="W158" s="16">
        <v>6.3799999999999996E-2</v>
      </c>
      <c r="X158" s="16">
        <v>5.2299999999999999E-2</v>
      </c>
      <c r="Y158" s="16">
        <v>9.98E-2</v>
      </c>
      <c r="Z158" s="16">
        <v>4.2000000000000003E-2</v>
      </c>
      <c r="AA158" s="16">
        <v>3.3000000000000002E-2</v>
      </c>
      <c r="AB158" s="16">
        <v>1.0813999999999999</v>
      </c>
      <c r="AC158" s="16">
        <v>0.45119999999999999</v>
      </c>
      <c r="AD158" s="16">
        <v>0.4879</v>
      </c>
      <c r="AE158" s="16">
        <v>0.31519999999999998</v>
      </c>
      <c r="AF158" s="16">
        <v>0.73029999999999995</v>
      </c>
      <c r="AG158" s="16">
        <v>0.9879</v>
      </c>
      <c r="AH158" s="16">
        <v>9.9900000000000003E-2</v>
      </c>
      <c r="AI158" s="16">
        <v>0.11940000000000001</v>
      </c>
      <c r="AJ158" s="16">
        <v>0.19320000000000001</v>
      </c>
      <c r="AK158" s="16">
        <v>0.19550000000000001</v>
      </c>
      <c r="AL158" s="16">
        <v>0.22539999999999999</v>
      </c>
      <c r="AM158" s="16">
        <v>0.15140000000000001</v>
      </c>
      <c r="AN158" s="16">
        <v>8.6400000000000005E-2</v>
      </c>
      <c r="AO158" s="16">
        <v>0.16880000000000001</v>
      </c>
      <c r="AP158" s="16">
        <v>1.1556</v>
      </c>
      <c r="AQ158" s="16">
        <v>0.42199999999999999</v>
      </c>
      <c r="AR158" s="16">
        <v>0.40500000000000003</v>
      </c>
      <c r="AS158" s="16">
        <v>0.49930000000000002</v>
      </c>
      <c r="AT158" s="16">
        <v>0.32650000000000001</v>
      </c>
      <c r="AU158" s="16">
        <v>0.25030000000000002</v>
      </c>
      <c r="AV158" s="16">
        <v>0.40949999999999998</v>
      </c>
      <c r="AW158" s="16">
        <v>0.42499999999999999</v>
      </c>
      <c r="AX158" s="16">
        <v>0.60970000000000002</v>
      </c>
    </row>
    <row r="159" spans="1:50" x14ac:dyDescent="0.25">
      <c r="A159" s="8" t="s">
        <v>206</v>
      </c>
      <c r="B159" s="10" t="s">
        <v>57</v>
      </c>
      <c r="C159" s="16">
        <v>0.4521</v>
      </c>
      <c r="D159" s="16">
        <v>6.5699999999999995E-2</v>
      </c>
      <c r="E159" s="16">
        <v>0.13489999999999999</v>
      </c>
      <c r="F159" s="16">
        <v>0.15029999999999999</v>
      </c>
      <c r="G159" s="16">
        <v>8.1100000000000005E-2</v>
      </c>
      <c r="H159" s="16">
        <v>0.2041</v>
      </c>
      <c r="I159" s="16">
        <v>5.8000000000000003E-2</v>
      </c>
      <c r="J159" s="16">
        <v>0.2271</v>
      </c>
      <c r="K159" s="16">
        <v>5.8000000000000003E-2</v>
      </c>
      <c r="L159" s="16">
        <v>0.21179999999999999</v>
      </c>
      <c r="M159" s="16">
        <v>7.3400000000000007E-2</v>
      </c>
      <c r="N159" s="16">
        <v>7.3400000000000007E-2</v>
      </c>
      <c r="O159" s="16">
        <v>0.21179999999999999</v>
      </c>
      <c r="P159" s="16">
        <v>9.64E-2</v>
      </c>
      <c r="Q159" s="16">
        <v>0.35930000000000001</v>
      </c>
      <c r="R159" s="16">
        <v>7.3499999999999996E-2</v>
      </c>
      <c r="S159" s="16">
        <v>9.9900000000000003E-2</v>
      </c>
      <c r="T159" s="16">
        <v>0.23649999999999999</v>
      </c>
      <c r="U159" s="16">
        <v>0.28910000000000002</v>
      </c>
      <c r="V159" s="16">
        <v>1.3896999999999999</v>
      </c>
      <c r="W159" s="16">
        <v>0.1195</v>
      </c>
      <c r="X159" s="16">
        <v>0.1656</v>
      </c>
      <c r="Y159" s="16">
        <v>9.9099999999999994E-2</v>
      </c>
      <c r="Z159" s="16">
        <v>0.30880000000000002</v>
      </c>
      <c r="AA159" s="16">
        <v>0.17330000000000001</v>
      </c>
      <c r="AB159" s="16">
        <v>0.3478</v>
      </c>
      <c r="AC159" s="16">
        <v>0.18099999999999999</v>
      </c>
      <c r="AD159" s="16">
        <v>0.16489999999999999</v>
      </c>
      <c r="AE159" s="16">
        <v>0.309</v>
      </c>
      <c r="AF159" s="16">
        <v>0.5353</v>
      </c>
      <c r="AG159" s="16">
        <v>0.25080000000000002</v>
      </c>
      <c r="AH159" s="16">
        <v>0.41739999999999999</v>
      </c>
      <c r="AI159" s="16">
        <v>0.27529999999999999</v>
      </c>
      <c r="AJ159" s="16">
        <v>0.46739999999999998</v>
      </c>
      <c r="AK159" s="16">
        <v>0.41670000000000001</v>
      </c>
      <c r="AL159" s="16">
        <v>0.49390000000000001</v>
      </c>
      <c r="AM159" s="16">
        <v>0.29830000000000001</v>
      </c>
      <c r="AN159" s="16">
        <v>0.38600000000000001</v>
      </c>
      <c r="AO159" s="16">
        <v>0.29949999999999999</v>
      </c>
      <c r="AP159" s="16">
        <v>0.33950000000000002</v>
      </c>
      <c r="AQ159" s="16">
        <v>0.75729999999999997</v>
      </c>
      <c r="AR159" s="16">
        <v>0.82179999999999997</v>
      </c>
      <c r="AS159" s="16">
        <v>0.84179999999999999</v>
      </c>
      <c r="AT159" s="16">
        <v>0.82199999999999995</v>
      </c>
      <c r="AU159" s="16">
        <v>0.72989999999999999</v>
      </c>
      <c r="AV159" s="16">
        <v>0.77080000000000004</v>
      </c>
      <c r="AW159" s="16">
        <v>0.92030000000000001</v>
      </c>
      <c r="AX159" s="16">
        <v>0.78339999999999999</v>
      </c>
    </row>
    <row r="160" spans="1:50" x14ac:dyDescent="0.25">
      <c r="A160" s="8" t="s">
        <v>208</v>
      </c>
      <c r="B160" s="10" t="s">
        <v>57</v>
      </c>
      <c r="C160" s="16">
        <v>0.1759</v>
      </c>
      <c r="D160" s="16">
        <v>0.15140000000000001</v>
      </c>
      <c r="E160" s="16">
        <v>0.11219999999999999</v>
      </c>
      <c r="F160" s="16">
        <v>0.19</v>
      </c>
      <c r="G160" s="16">
        <v>0.1014</v>
      </c>
      <c r="H160" s="16">
        <v>0.41239999999999999</v>
      </c>
      <c r="I160" s="16">
        <v>0.439</v>
      </c>
      <c r="J160" s="16">
        <v>0.2316</v>
      </c>
      <c r="K160" s="16">
        <v>0.1227</v>
      </c>
      <c r="L160" s="16">
        <v>0.20780000000000001</v>
      </c>
      <c r="M160" s="16">
        <v>0.1132</v>
      </c>
      <c r="N160" s="16">
        <v>8.8599999999999998E-2</v>
      </c>
      <c r="O160" s="16">
        <v>0.1012</v>
      </c>
      <c r="P160" s="16">
        <v>0.1232</v>
      </c>
      <c r="Q160" s="16">
        <v>0.22919999999999999</v>
      </c>
      <c r="R160" s="16">
        <v>0.1014</v>
      </c>
      <c r="S160" s="16">
        <v>3.4700000000000002E-2</v>
      </c>
      <c r="T160" s="16">
        <v>9.2999999999999999E-2</v>
      </c>
      <c r="U160" s="16">
        <v>0.1638</v>
      </c>
      <c r="V160" s="16">
        <v>0.18859999999999999</v>
      </c>
      <c r="W160" s="16">
        <v>0.14499999999999999</v>
      </c>
      <c r="X160" s="16">
        <v>4.48E-2</v>
      </c>
      <c r="Y160" s="16">
        <v>7.1999999999999995E-2</v>
      </c>
      <c r="Z160" s="16">
        <v>0.1426</v>
      </c>
      <c r="AA160" s="16">
        <v>0.23549999999999999</v>
      </c>
      <c r="AB160" s="16">
        <v>7.5600000000000001E-2</v>
      </c>
      <c r="AC160" s="16">
        <v>7.8299999999999995E-2</v>
      </c>
      <c r="AD160" s="16">
        <v>0.38840000000000002</v>
      </c>
      <c r="AE160" s="16">
        <v>0.1883</v>
      </c>
      <c r="AF160" s="16">
        <v>0.3382</v>
      </c>
      <c r="AG160" s="16">
        <v>0.1678</v>
      </c>
      <c r="AH160" s="16">
        <v>0.1772</v>
      </c>
      <c r="AI160" s="16">
        <v>0.15909999999999999</v>
      </c>
      <c r="AJ160" s="16">
        <v>0.98880000000000001</v>
      </c>
      <c r="AK160" s="16">
        <v>0.63849999999999996</v>
      </c>
      <c r="AL160" s="16">
        <v>0.1951</v>
      </c>
      <c r="AM160" s="16">
        <v>0.18010000000000001</v>
      </c>
      <c r="AN160" s="16">
        <v>0.51659999999999995</v>
      </c>
      <c r="AO160" s="16">
        <v>4.1000000000000002E-2</v>
      </c>
      <c r="AP160" s="16">
        <v>0.41909999999999997</v>
      </c>
      <c r="AQ160" s="16">
        <v>0.60099999999999998</v>
      </c>
      <c r="AR160" s="16">
        <v>0.94140000000000001</v>
      </c>
      <c r="AS160" s="16">
        <v>1.5353000000000001</v>
      </c>
      <c r="AT160" s="16">
        <v>0.78149999999999997</v>
      </c>
      <c r="AU160" s="16">
        <v>1.5056</v>
      </c>
      <c r="AV160" s="16">
        <v>0.76170000000000004</v>
      </c>
      <c r="AW160" s="16">
        <v>0.97989999999999999</v>
      </c>
      <c r="AX160" s="16">
        <v>0.67530000000000001</v>
      </c>
    </row>
    <row r="161" spans="1:50" x14ac:dyDescent="0.25">
      <c r="A161" s="17" t="s">
        <v>379</v>
      </c>
      <c r="B161" s="13" t="s">
        <v>222</v>
      </c>
      <c r="C161" s="18">
        <v>7.9699999999999993E-2</v>
      </c>
      <c r="D161" s="18">
        <v>0.18360000000000001</v>
      </c>
      <c r="E161" s="18">
        <v>0.05</v>
      </c>
      <c r="F161" s="18">
        <v>0.13159999999999999</v>
      </c>
      <c r="G161" s="18">
        <v>0.13159999999999999</v>
      </c>
      <c r="H161" s="18">
        <v>0.05</v>
      </c>
      <c r="I161" s="18">
        <v>0.191</v>
      </c>
      <c r="J161" s="18">
        <v>7.2300000000000003E-2</v>
      </c>
      <c r="K161" s="18">
        <v>0.05</v>
      </c>
      <c r="L161" s="18">
        <v>0.1762</v>
      </c>
      <c r="M161" s="18">
        <v>8.7099999999999997E-2</v>
      </c>
      <c r="N161" s="18">
        <v>0.05</v>
      </c>
      <c r="O161" s="18">
        <v>0.19839999999999999</v>
      </c>
      <c r="P161" s="18">
        <v>6.4799999999999996E-2</v>
      </c>
      <c r="Q161" s="18">
        <v>0.1019</v>
      </c>
      <c r="R161" s="18">
        <v>0.37669999999999998</v>
      </c>
      <c r="S161" s="18">
        <v>0.2402</v>
      </c>
      <c r="T161" s="18">
        <v>0.28939999999999999</v>
      </c>
      <c r="U161" s="18">
        <v>0.2152</v>
      </c>
      <c r="V161" s="18">
        <v>0.31269999999999998</v>
      </c>
      <c r="W161" s="18">
        <v>0.23769999999999999</v>
      </c>
      <c r="X161" s="18">
        <v>0.1101</v>
      </c>
      <c r="Y161" s="18">
        <v>0.51500000000000001</v>
      </c>
      <c r="Z161" s="18">
        <v>0.23649999999999999</v>
      </c>
      <c r="AA161" s="18">
        <v>0.40189999999999998</v>
      </c>
      <c r="AB161" s="18">
        <v>0.21940000000000001</v>
      </c>
      <c r="AC161" s="18">
        <v>5.5399999999999998E-2</v>
      </c>
      <c r="AD161" s="18">
        <v>0.1613</v>
      </c>
      <c r="AE161" s="18">
        <v>0.1046</v>
      </c>
      <c r="AF161" s="18">
        <v>8.1600000000000006E-2</v>
      </c>
      <c r="AG161" s="18">
        <v>0.27560000000000001</v>
      </c>
      <c r="AH161" s="18">
        <v>8.2900000000000001E-2</v>
      </c>
      <c r="AI161" s="18">
        <v>1.3722000000000001</v>
      </c>
      <c r="AJ161" s="18">
        <v>2.7713000000000001</v>
      </c>
      <c r="AK161" s="18">
        <v>1.3607</v>
      </c>
      <c r="AL161" s="18">
        <v>1.5951</v>
      </c>
      <c r="AM161" s="18">
        <v>0.1459</v>
      </c>
      <c r="AN161" s="18">
        <v>0.2697</v>
      </c>
      <c r="AO161" s="18">
        <v>5.2699999999999997E-2</v>
      </c>
      <c r="AP161" s="18">
        <v>0.23569999999999999</v>
      </c>
      <c r="AQ161" s="18">
        <v>0.50160000000000005</v>
      </c>
      <c r="AR161" s="18">
        <v>0.48830000000000001</v>
      </c>
      <c r="AS161" s="18">
        <v>0.7732</v>
      </c>
      <c r="AT161" s="18">
        <v>0.28050000000000003</v>
      </c>
      <c r="AU161" s="18">
        <v>0.31490000000000001</v>
      </c>
      <c r="AV161" s="18">
        <v>0.21659999999999999</v>
      </c>
      <c r="AW161" s="18">
        <v>0.39069999999999999</v>
      </c>
      <c r="AX161" s="18">
        <v>0.30259999999999998</v>
      </c>
    </row>
    <row r="162" spans="1:50" x14ac:dyDescent="0.25">
      <c r="A162" s="17" t="s">
        <v>381</v>
      </c>
      <c r="B162" s="13" t="s">
        <v>222</v>
      </c>
      <c r="C162" s="18">
        <v>0.40910000000000002</v>
      </c>
      <c r="D162" s="18">
        <v>5.3999999999999999E-2</v>
      </c>
      <c r="E162" s="18">
        <v>0.37269999999999998</v>
      </c>
      <c r="F162" s="18">
        <v>5.3999999999999999E-2</v>
      </c>
      <c r="G162" s="18">
        <v>5.3999999999999999E-2</v>
      </c>
      <c r="H162" s="18">
        <v>0.27260000000000001</v>
      </c>
      <c r="I162" s="18">
        <v>0.154</v>
      </c>
      <c r="J162" s="18">
        <v>5.3999999999999999E-2</v>
      </c>
      <c r="K162" s="18">
        <v>0.28939999999999999</v>
      </c>
      <c r="L162" s="18">
        <v>0.13730000000000001</v>
      </c>
      <c r="M162" s="18">
        <v>0.22800000000000001</v>
      </c>
      <c r="N162" s="18">
        <v>0.1986</v>
      </c>
      <c r="O162" s="18">
        <v>5.3999999999999999E-2</v>
      </c>
      <c r="P162" s="18">
        <v>0.37269999999999998</v>
      </c>
      <c r="Q162" s="18">
        <v>5.3999999999999999E-2</v>
      </c>
      <c r="R162" s="18">
        <v>0.19950000000000001</v>
      </c>
      <c r="S162" s="18">
        <v>0.2271</v>
      </c>
      <c r="T162" s="18">
        <v>1.0987</v>
      </c>
      <c r="U162" s="18">
        <v>0.37390000000000001</v>
      </c>
      <c r="V162" s="18">
        <v>0.4022</v>
      </c>
      <c r="W162" s="18">
        <v>0.52449999999999997</v>
      </c>
      <c r="X162" s="18">
        <v>1.1093</v>
      </c>
      <c r="Y162" s="18">
        <v>0.31</v>
      </c>
      <c r="Z162" s="18">
        <v>9.5799999999999996E-2</v>
      </c>
      <c r="AA162" s="18">
        <v>0.24840000000000001</v>
      </c>
      <c r="AB162" s="18">
        <v>1.0395000000000001</v>
      </c>
      <c r="AC162" s="18">
        <v>0.28699999999999998</v>
      </c>
      <c r="AD162" s="18">
        <v>1.5477000000000001</v>
      </c>
      <c r="AE162" s="18">
        <v>0.34060000000000001</v>
      </c>
      <c r="AF162" s="18">
        <v>0.32450000000000001</v>
      </c>
      <c r="AG162" s="18">
        <v>0.34639999999999999</v>
      </c>
      <c r="AH162" s="18">
        <v>0.42280000000000001</v>
      </c>
      <c r="AI162" s="18">
        <v>0.51380000000000003</v>
      </c>
      <c r="AJ162" s="18">
        <v>0.29210000000000003</v>
      </c>
      <c r="AK162" s="18">
        <v>0.2006</v>
      </c>
      <c r="AL162" s="18">
        <v>0.23419999999999999</v>
      </c>
      <c r="AM162" s="18">
        <v>0.1925</v>
      </c>
      <c r="AN162" s="18">
        <v>5.3999999999999999E-2</v>
      </c>
      <c r="AO162" s="18">
        <v>0.18870000000000001</v>
      </c>
      <c r="AP162" s="18">
        <v>0.23799999999999999</v>
      </c>
      <c r="AQ162" s="18">
        <v>0.16600000000000001</v>
      </c>
      <c r="AR162" s="18">
        <v>9.1300000000000006E-2</v>
      </c>
      <c r="AS162" s="18">
        <v>0.2233</v>
      </c>
      <c r="AT162" s="18">
        <v>0.217</v>
      </c>
      <c r="AU162" s="18">
        <v>0.88149999999999995</v>
      </c>
      <c r="AV162" s="18">
        <v>1.2473000000000001</v>
      </c>
      <c r="AW162" s="18">
        <v>0.88859999999999995</v>
      </c>
      <c r="AX162" s="18">
        <v>0.30520000000000003</v>
      </c>
    </row>
    <row r="163" spans="1:50" x14ac:dyDescent="0.25">
      <c r="A163" s="8" t="s">
        <v>210</v>
      </c>
      <c r="B163" s="10" t="s">
        <v>57</v>
      </c>
      <c r="C163" s="16">
        <v>0.1411</v>
      </c>
      <c r="D163" s="16">
        <v>0.11269999999999999</v>
      </c>
      <c r="E163" s="16">
        <v>4.9000000000000002E-2</v>
      </c>
      <c r="F163" s="16">
        <v>0.20480000000000001</v>
      </c>
      <c r="G163" s="16">
        <v>4.9000000000000002E-2</v>
      </c>
      <c r="H163" s="16">
        <v>0.1552</v>
      </c>
      <c r="I163" s="16">
        <v>9.8599999999999993E-2</v>
      </c>
      <c r="J163" s="16">
        <v>4.9000000000000002E-2</v>
      </c>
      <c r="K163" s="16">
        <v>0.13400000000000001</v>
      </c>
      <c r="L163" s="16">
        <v>0.1198</v>
      </c>
      <c r="M163" s="16">
        <v>4.9000000000000002E-2</v>
      </c>
      <c r="N163" s="16">
        <v>0.1411</v>
      </c>
      <c r="O163" s="16">
        <v>0.11269999999999999</v>
      </c>
      <c r="P163" s="16">
        <v>4.9000000000000002E-2</v>
      </c>
      <c r="Q163" s="16">
        <v>4.9000000000000002E-2</v>
      </c>
      <c r="R163" s="16">
        <v>0.1623</v>
      </c>
      <c r="S163" s="16">
        <v>9.1499999999999998E-2</v>
      </c>
      <c r="T163" s="16">
        <v>0.1198</v>
      </c>
      <c r="U163" s="16">
        <v>0.1789</v>
      </c>
      <c r="V163" s="16">
        <v>8.9300000000000004E-2</v>
      </c>
      <c r="W163" s="16">
        <v>0.21510000000000001</v>
      </c>
      <c r="X163" s="16">
        <v>4.9000000000000002E-2</v>
      </c>
      <c r="Y163" s="16">
        <v>5.6099999999999997E-2</v>
      </c>
      <c r="Z163" s="16">
        <v>0.19769999999999999</v>
      </c>
      <c r="AA163" s="16">
        <v>4.9000000000000002E-2</v>
      </c>
      <c r="AB163" s="16">
        <v>4.9000000000000002E-2</v>
      </c>
      <c r="AC163" s="16">
        <v>0.20480000000000001</v>
      </c>
      <c r="AD163" s="16">
        <v>7.7100000000000002E-2</v>
      </c>
      <c r="AE163" s="16">
        <v>8.2500000000000004E-2</v>
      </c>
      <c r="AF163" s="16">
        <v>0.23630000000000001</v>
      </c>
      <c r="AG163" s="16">
        <v>0.30690000000000001</v>
      </c>
      <c r="AH163" s="16">
        <v>0.43580000000000002</v>
      </c>
      <c r="AI163" s="16">
        <v>0.38929999999999998</v>
      </c>
      <c r="AJ163" s="16">
        <v>0.44340000000000002</v>
      </c>
      <c r="AK163" s="16">
        <v>0.34339999999999998</v>
      </c>
      <c r="AL163" s="16">
        <v>0.47120000000000001</v>
      </c>
      <c r="AM163" s="16">
        <v>0.3397</v>
      </c>
      <c r="AN163" s="16">
        <v>4.9000000000000002E-2</v>
      </c>
      <c r="AO163" s="16">
        <v>0.2361</v>
      </c>
      <c r="AP163" s="16">
        <v>0.37619999999999998</v>
      </c>
      <c r="AQ163" s="16">
        <v>0.61360000000000003</v>
      </c>
      <c r="AR163" s="16">
        <v>0.84870000000000001</v>
      </c>
      <c r="AS163" s="16">
        <v>0.79249999999999998</v>
      </c>
      <c r="AT163" s="16">
        <v>0.73170000000000002</v>
      </c>
      <c r="AU163" s="16">
        <v>1.5212000000000001</v>
      </c>
      <c r="AV163" s="16">
        <v>1.5654999999999999</v>
      </c>
      <c r="AW163" s="16">
        <v>3.1981000000000002</v>
      </c>
      <c r="AX163" s="16">
        <v>0.48959999999999998</v>
      </c>
    </row>
    <row r="164" spans="1:50" x14ac:dyDescent="0.25">
      <c r="A164" s="17" t="s">
        <v>383</v>
      </c>
      <c r="B164" s="13" t="s">
        <v>222</v>
      </c>
      <c r="C164" s="18">
        <v>0.26779999999999998</v>
      </c>
      <c r="D164" s="18">
        <v>0.39140000000000003</v>
      </c>
      <c r="E164" s="18">
        <v>5.0999999999999997E-2</v>
      </c>
      <c r="F164" s="18">
        <v>0.31630000000000003</v>
      </c>
      <c r="G164" s="18">
        <v>5.0999999999999997E-2</v>
      </c>
      <c r="H164" s="18">
        <v>0.1862</v>
      </c>
      <c r="I164" s="18">
        <v>7.2300000000000003E-2</v>
      </c>
      <c r="J164" s="18">
        <v>6.6500000000000004E-2</v>
      </c>
      <c r="K164" s="18">
        <v>0.30080000000000001</v>
      </c>
      <c r="L164" s="18">
        <v>5.0999999999999997E-2</v>
      </c>
      <c r="M164" s="18">
        <v>5.0999999999999997E-2</v>
      </c>
      <c r="N164" s="18">
        <v>0.3256</v>
      </c>
      <c r="O164" s="18">
        <v>0.3054</v>
      </c>
      <c r="P164" s="18">
        <v>0.22090000000000001</v>
      </c>
      <c r="Q164" s="18">
        <v>0.21110000000000001</v>
      </c>
      <c r="R164" s="18">
        <v>0.32450000000000001</v>
      </c>
      <c r="S164" s="18">
        <v>7.3300000000000004E-2</v>
      </c>
      <c r="T164" s="18">
        <v>0.30209999999999998</v>
      </c>
      <c r="U164" s="18">
        <v>0.2656</v>
      </c>
      <c r="V164" s="18">
        <v>0.14099999999999999</v>
      </c>
      <c r="W164" s="18">
        <v>0.23419999999999999</v>
      </c>
      <c r="X164" s="18">
        <v>0.26569999999999999</v>
      </c>
      <c r="Y164" s="18">
        <v>0.31630000000000003</v>
      </c>
      <c r="Z164" s="18">
        <v>5.0999999999999997E-2</v>
      </c>
      <c r="AA164" s="18">
        <v>0.28029999999999999</v>
      </c>
      <c r="AB164" s="18">
        <v>0.55169999999999997</v>
      </c>
      <c r="AC164" s="18">
        <v>7.6899999999999996E-2</v>
      </c>
      <c r="AD164" s="18">
        <v>0.25940000000000002</v>
      </c>
      <c r="AE164" s="18">
        <v>0.13039999999999999</v>
      </c>
      <c r="AF164" s="18">
        <v>0.1923</v>
      </c>
      <c r="AG164" s="18">
        <v>0.26690000000000003</v>
      </c>
      <c r="AH164" s="18">
        <v>0.11119999999999999</v>
      </c>
      <c r="AI164" s="18">
        <v>0.13589999999999999</v>
      </c>
      <c r="AJ164" s="18">
        <v>0.22339999999999999</v>
      </c>
      <c r="AK164" s="18">
        <v>0.1004</v>
      </c>
      <c r="AL164" s="18">
        <v>0.2142</v>
      </c>
      <c r="AM164" s="18">
        <v>0.18609999999999999</v>
      </c>
      <c r="AN164" s="18">
        <v>0.1714</v>
      </c>
      <c r="AO164" s="18">
        <v>0.32069999999999999</v>
      </c>
      <c r="AP164" s="18">
        <v>0.25190000000000001</v>
      </c>
      <c r="AQ164" s="18">
        <v>0.20699999999999999</v>
      </c>
      <c r="AR164" s="18">
        <v>0.1928</v>
      </c>
      <c r="AS164" s="18">
        <v>0.45400000000000001</v>
      </c>
      <c r="AT164" s="18">
        <v>0.1832</v>
      </c>
      <c r="AU164" s="18">
        <v>0.53</v>
      </c>
      <c r="AV164" s="18">
        <v>0.39860000000000001</v>
      </c>
      <c r="AW164" s="18">
        <v>0.2399</v>
      </c>
      <c r="AX164" s="18">
        <v>0.38179999999999997</v>
      </c>
    </row>
    <row r="165" spans="1:50" x14ac:dyDescent="0.25">
      <c r="A165" s="8" t="s">
        <v>212</v>
      </c>
      <c r="B165" s="10" t="s">
        <v>57</v>
      </c>
      <c r="C165" s="16">
        <v>0.11849999999999999</v>
      </c>
      <c r="D165" s="16">
        <v>0.14760000000000001</v>
      </c>
      <c r="E165" s="16">
        <v>5.2999999999999999E-2</v>
      </c>
      <c r="F165" s="16">
        <v>0.14760000000000001</v>
      </c>
      <c r="G165" s="16">
        <v>0.11849999999999999</v>
      </c>
      <c r="H165" s="16">
        <v>5.2999999999999999E-2</v>
      </c>
      <c r="I165" s="16">
        <v>0.11849999999999999</v>
      </c>
      <c r="J165" s="16">
        <v>0.14760000000000001</v>
      </c>
      <c r="K165" s="16">
        <v>5.2999999999999999E-2</v>
      </c>
      <c r="L165" s="16">
        <v>7.4800000000000005E-2</v>
      </c>
      <c r="M165" s="16">
        <v>0.1913</v>
      </c>
      <c r="N165" s="16">
        <v>5.2999999999999999E-2</v>
      </c>
      <c r="O165" s="16">
        <v>7.4800000000000005E-2</v>
      </c>
      <c r="P165" s="16">
        <v>0.1913</v>
      </c>
      <c r="Q165" s="16">
        <v>5.2999999999999999E-2</v>
      </c>
      <c r="R165" s="16">
        <v>5.2999999999999999E-2</v>
      </c>
      <c r="S165" s="16">
        <v>0.16220000000000001</v>
      </c>
      <c r="T165" s="16">
        <v>0.10390000000000001</v>
      </c>
      <c r="U165" s="16">
        <v>0.11119999999999999</v>
      </c>
      <c r="V165" s="16">
        <v>0.15490000000000001</v>
      </c>
      <c r="W165" s="16">
        <v>5.2999999999999999E-2</v>
      </c>
      <c r="X165" s="16">
        <v>0.21310000000000001</v>
      </c>
      <c r="Y165" s="16">
        <v>5.2999999999999999E-2</v>
      </c>
      <c r="Z165" s="16">
        <v>0.21310000000000001</v>
      </c>
      <c r="AA165" s="16">
        <v>5.2999999999999999E-2</v>
      </c>
      <c r="AB165" s="16">
        <v>5.2999999999999999E-2</v>
      </c>
      <c r="AC165" s="16">
        <v>7.4800000000000005E-2</v>
      </c>
      <c r="AD165" s="16">
        <v>0.1913</v>
      </c>
      <c r="AE165" s="16">
        <v>5.2999999999999999E-2</v>
      </c>
      <c r="AF165" s="16">
        <v>5.2999999999999999E-2</v>
      </c>
      <c r="AG165" s="16">
        <v>0.1986</v>
      </c>
      <c r="AH165" s="16">
        <v>6.7599999999999993E-2</v>
      </c>
      <c r="AI165" s="16">
        <v>8.4900000000000003E-2</v>
      </c>
      <c r="AJ165" s="16">
        <v>0.31869999999999998</v>
      </c>
      <c r="AK165" s="16">
        <v>6.2E-2</v>
      </c>
      <c r="AL165" s="16">
        <v>8.2100000000000006E-2</v>
      </c>
      <c r="AM165" s="16">
        <v>0.2094</v>
      </c>
      <c r="AN165" s="16">
        <v>5.2999999999999999E-2</v>
      </c>
      <c r="AO165" s="16">
        <v>0.17380000000000001</v>
      </c>
      <c r="AP165" s="16">
        <v>0.68030000000000002</v>
      </c>
      <c r="AQ165" s="16">
        <v>0.55110000000000003</v>
      </c>
      <c r="AR165" s="16">
        <v>0.51870000000000005</v>
      </c>
      <c r="AS165" s="16">
        <v>0.56989999999999996</v>
      </c>
      <c r="AT165" s="16">
        <v>0.37709999999999999</v>
      </c>
      <c r="AU165" s="16">
        <v>0.33510000000000001</v>
      </c>
      <c r="AV165" s="16">
        <v>5.2999999999999999E-2</v>
      </c>
      <c r="AW165" s="16">
        <v>0.16220000000000001</v>
      </c>
      <c r="AX165" s="16">
        <v>0.10390000000000001</v>
      </c>
    </row>
    <row r="166" spans="1:50" x14ac:dyDescent="0.25">
      <c r="A166" s="8" t="s">
        <v>214</v>
      </c>
      <c r="B166" s="10" t="s">
        <v>57</v>
      </c>
      <c r="C166" s="16">
        <v>7.22E-2</v>
      </c>
      <c r="D166" s="16">
        <v>0.31030000000000002</v>
      </c>
      <c r="E166" s="16">
        <v>0.14899999999999999</v>
      </c>
      <c r="F166" s="16">
        <v>0.3805</v>
      </c>
      <c r="G166" s="16">
        <v>0.15479999999999999</v>
      </c>
      <c r="H166" s="16">
        <v>0.1048</v>
      </c>
      <c r="I166" s="16">
        <v>0.45100000000000001</v>
      </c>
      <c r="J166" s="16">
        <v>0.1008</v>
      </c>
      <c r="K166" s="16">
        <v>0.27710000000000001</v>
      </c>
      <c r="L166" s="16">
        <v>0.2787</v>
      </c>
      <c r="M166" s="16">
        <v>0.13489999999999999</v>
      </c>
      <c r="N166" s="16">
        <v>0.30659999999999998</v>
      </c>
      <c r="O166" s="16">
        <v>0.22989999999999999</v>
      </c>
      <c r="P166" s="16">
        <v>0.124</v>
      </c>
      <c r="Q166" s="16">
        <v>0.2147</v>
      </c>
      <c r="R166" s="16">
        <v>0.15429999999999999</v>
      </c>
      <c r="S166" s="16">
        <v>8.5500000000000007E-2</v>
      </c>
      <c r="T166" s="16">
        <v>0.1469</v>
      </c>
      <c r="U166" s="16">
        <v>0.20369999999999999</v>
      </c>
      <c r="V166" s="16">
        <v>0.29849999999999999</v>
      </c>
      <c r="W166" s="16">
        <v>0.22339999999999999</v>
      </c>
      <c r="X166" s="16">
        <v>9.1499999999999998E-2</v>
      </c>
      <c r="Y166" s="16">
        <v>0.35160000000000002</v>
      </c>
      <c r="Z166" s="16">
        <v>0.28239999999999998</v>
      </c>
      <c r="AA166" s="16">
        <v>0.16520000000000001</v>
      </c>
      <c r="AB166" s="16">
        <v>0.34720000000000001</v>
      </c>
      <c r="AC166" s="16">
        <v>1.2067000000000001</v>
      </c>
      <c r="AD166" s="16">
        <v>1.2153</v>
      </c>
      <c r="AE166" s="16">
        <v>0.59230000000000005</v>
      </c>
      <c r="AF166" s="16">
        <v>0.72850000000000004</v>
      </c>
      <c r="AG166" s="16">
        <v>0.68300000000000005</v>
      </c>
      <c r="AH166" s="16">
        <v>0.3821</v>
      </c>
      <c r="AI166" s="16">
        <v>0.3044</v>
      </c>
      <c r="AJ166" s="16">
        <v>0.50119999999999998</v>
      </c>
      <c r="AK166" s="16">
        <v>0.51239999999999997</v>
      </c>
      <c r="AL166" s="16">
        <v>0.17749999999999999</v>
      </c>
      <c r="AM166" s="16">
        <v>0.4849</v>
      </c>
      <c r="AN166" s="16">
        <v>0.63019999999999998</v>
      </c>
      <c r="AO166" s="16">
        <v>0.20760000000000001</v>
      </c>
      <c r="AP166" s="16">
        <v>0.39510000000000001</v>
      </c>
      <c r="AQ166" s="16">
        <v>0.46910000000000002</v>
      </c>
      <c r="AR166" s="16">
        <v>0.74580000000000002</v>
      </c>
      <c r="AS166" s="16">
        <v>0.69789999999999996</v>
      </c>
      <c r="AT166" s="16">
        <v>0.3725</v>
      </c>
      <c r="AU166" s="16">
        <v>0.57369999999999999</v>
      </c>
      <c r="AV166" s="16">
        <v>9.8000000000000004E-2</v>
      </c>
      <c r="AW166" s="16">
        <v>0.30680000000000002</v>
      </c>
      <c r="AX166" s="16">
        <v>0.22320000000000001</v>
      </c>
    </row>
    <row r="167" spans="1:50" x14ac:dyDescent="0.25">
      <c r="A167" s="17" t="s">
        <v>385</v>
      </c>
      <c r="B167" s="13" t="s">
        <v>222</v>
      </c>
      <c r="C167" s="18">
        <v>0.69579999999999997</v>
      </c>
      <c r="D167" s="18">
        <v>0.3216</v>
      </c>
      <c r="E167" s="18">
        <v>0.31740000000000002</v>
      </c>
      <c r="F167" s="18">
        <v>0.1072</v>
      </c>
      <c r="G167" s="18">
        <v>0.2296</v>
      </c>
      <c r="H167" s="18">
        <v>0.2271</v>
      </c>
      <c r="I167" s="18">
        <v>6.3299999999999995E-2</v>
      </c>
      <c r="J167" s="18">
        <v>0.27189999999999998</v>
      </c>
      <c r="K167" s="18">
        <v>0.18870000000000001</v>
      </c>
      <c r="L167" s="18">
        <v>9.2499999999999999E-2</v>
      </c>
      <c r="M167" s="18">
        <v>0.30570000000000003</v>
      </c>
      <c r="N167" s="18">
        <v>0.1583</v>
      </c>
      <c r="O167" s="18">
        <v>0.19009999999999999</v>
      </c>
      <c r="P167" s="18">
        <v>0.17150000000000001</v>
      </c>
      <c r="Q167" s="18">
        <v>0.151</v>
      </c>
      <c r="R167" s="18">
        <v>8.6999999999999994E-2</v>
      </c>
      <c r="S167" s="18">
        <v>0.28199999999999997</v>
      </c>
      <c r="T167" s="18">
        <v>0.1711</v>
      </c>
      <c r="U167" s="18">
        <v>0.36919999999999997</v>
      </c>
      <c r="V167" s="18">
        <v>1.8138000000000001</v>
      </c>
      <c r="W167" s="18">
        <v>0.45610000000000001</v>
      </c>
      <c r="X167" s="18">
        <v>0.62319999999999998</v>
      </c>
      <c r="Y167" s="18">
        <v>0.87780000000000002</v>
      </c>
      <c r="Z167" s="18">
        <v>2.7397</v>
      </c>
      <c r="AA167" s="18">
        <v>2.6741999999999999</v>
      </c>
      <c r="AB167" s="18">
        <v>0.3291</v>
      </c>
      <c r="AC167" s="18">
        <v>0.2424</v>
      </c>
      <c r="AD167" s="18">
        <v>0.1686</v>
      </c>
      <c r="AE167" s="18">
        <v>0.12180000000000001</v>
      </c>
      <c r="AF167" s="18">
        <v>0.1321</v>
      </c>
      <c r="AG167" s="18">
        <v>0.1583</v>
      </c>
      <c r="AH167" s="18">
        <v>0.23499999999999999</v>
      </c>
      <c r="AI167" s="18">
        <v>0.18609999999999999</v>
      </c>
      <c r="AJ167" s="18">
        <v>0.17299999999999999</v>
      </c>
      <c r="AK167" s="18">
        <v>0.3201</v>
      </c>
      <c r="AL167" s="18">
        <v>5.6000000000000001E-2</v>
      </c>
      <c r="AM167" s="18">
        <v>0.3992</v>
      </c>
      <c r="AN167" s="18">
        <v>0.25480000000000003</v>
      </c>
      <c r="AO167" s="18">
        <v>0.27100000000000002</v>
      </c>
      <c r="AP167" s="18">
        <v>3.0238</v>
      </c>
      <c r="AQ167" s="18">
        <v>3.0947</v>
      </c>
      <c r="AR167" s="18">
        <v>1.8008</v>
      </c>
      <c r="AS167" s="18">
        <v>1.7814000000000001</v>
      </c>
      <c r="AT167" s="18">
        <v>1.675</v>
      </c>
      <c r="AU167" s="18">
        <v>1.1614</v>
      </c>
      <c r="AV167" s="18">
        <v>1.1428</v>
      </c>
      <c r="AW167" s="18">
        <v>5.6000000000000001E-2</v>
      </c>
      <c r="AX167" s="18">
        <v>8.5599999999999996E-2</v>
      </c>
    </row>
    <row r="168" spans="1:50" x14ac:dyDescent="0.25">
      <c r="A168" s="17" t="s">
        <v>387</v>
      </c>
      <c r="B168" s="13" t="s">
        <v>222</v>
      </c>
      <c r="C168" s="18">
        <v>0.18340000000000001</v>
      </c>
      <c r="D168" s="18">
        <v>0.2127</v>
      </c>
      <c r="E168" s="18">
        <v>0.19420000000000001</v>
      </c>
      <c r="F168" s="18">
        <v>0.16880000000000001</v>
      </c>
      <c r="G168" s="18">
        <v>0.17330000000000001</v>
      </c>
      <c r="H168" s="18">
        <v>0.192</v>
      </c>
      <c r="I168" s="18">
        <v>0.23860000000000001</v>
      </c>
      <c r="J168" s="18">
        <v>3.7999999999999999E-2</v>
      </c>
      <c r="K168" s="18">
        <v>0.3175</v>
      </c>
      <c r="L168" s="18">
        <v>0.1132</v>
      </c>
      <c r="M168" s="18">
        <v>0.15440000000000001</v>
      </c>
      <c r="N168" s="18">
        <v>0.2011</v>
      </c>
      <c r="O168" s="18">
        <v>0.1132</v>
      </c>
      <c r="P168" s="18">
        <v>0.1938</v>
      </c>
      <c r="Q168" s="18">
        <v>0.22939999999999999</v>
      </c>
      <c r="R168" s="18">
        <v>4.5499999999999999E-2</v>
      </c>
      <c r="S168" s="18">
        <v>0.33250000000000002</v>
      </c>
      <c r="T168" s="18">
        <v>9.8199999999999996E-2</v>
      </c>
      <c r="U168" s="18">
        <v>0.58050000000000002</v>
      </c>
      <c r="V168" s="18">
        <v>0.2137</v>
      </c>
      <c r="W168" s="18">
        <v>0.26279999999999998</v>
      </c>
      <c r="X168" s="18">
        <v>7.4899999999999994E-2</v>
      </c>
      <c r="Y168" s="18">
        <v>0.3715</v>
      </c>
      <c r="Z168" s="18">
        <v>8.6699999999999999E-2</v>
      </c>
      <c r="AA168" s="18">
        <v>0.5413</v>
      </c>
      <c r="AB168" s="18">
        <v>0.15079999999999999</v>
      </c>
      <c r="AC168" s="18">
        <v>0.87509999999999999</v>
      </c>
      <c r="AD168" s="18">
        <v>0.47160000000000002</v>
      </c>
      <c r="AE168" s="18">
        <v>0.99019999999999997</v>
      </c>
      <c r="AF168" s="18">
        <v>0.19040000000000001</v>
      </c>
      <c r="AG168" s="18">
        <v>0.26879999999999998</v>
      </c>
      <c r="AH168" s="18">
        <v>0.1739</v>
      </c>
      <c r="AI168" s="18">
        <v>0.26629999999999998</v>
      </c>
      <c r="AJ168" s="18">
        <v>0.2989</v>
      </c>
      <c r="AK168" s="18">
        <v>0.36009999999999998</v>
      </c>
      <c r="AL168" s="18">
        <v>0.90649999999999997</v>
      </c>
      <c r="AM168" s="18">
        <v>0.34910000000000002</v>
      </c>
      <c r="AN168" s="18">
        <v>0.36890000000000001</v>
      </c>
      <c r="AO168" s="18">
        <v>0.43080000000000002</v>
      </c>
      <c r="AP168" s="18">
        <v>0.5181</v>
      </c>
      <c r="AQ168" s="18">
        <v>0.69779999999999998</v>
      </c>
      <c r="AR168" s="18">
        <v>0.68610000000000004</v>
      </c>
      <c r="AS168" s="18">
        <v>0.86</v>
      </c>
      <c r="AT168" s="18">
        <v>0.46939999999999998</v>
      </c>
      <c r="AU168" s="18">
        <v>0.14330000000000001</v>
      </c>
      <c r="AV168" s="18">
        <v>0.21099999999999999</v>
      </c>
      <c r="AW168" s="18">
        <v>9.0899999999999995E-2</v>
      </c>
      <c r="AX168" s="18">
        <v>0.1197</v>
      </c>
    </row>
    <row r="169" spans="1:50" x14ac:dyDescent="0.25">
      <c r="A169" s="8" t="s">
        <v>216</v>
      </c>
      <c r="B169" s="10" t="s">
        <v>57</v>
      </c>
      <c r="C169" s="16">
        <v>4.3999999999999997E-2</v>
      </c>
      <c r="D169" s="16">
        <v>4.3999999999999997E-2</v>
      </c>
      <c r="E169" s="16">
        <v>0.1099</v>
      </c>
      <c r="F169" s="16">
        <v>4.3999999999999997E-2</v>
      </c>
      <c r="G169" s="16">
        <v>4.3999999999999997E-2</v>
      </c>
      <c r="H169" s="16">
        <v>8.7999999999999995E-2</v>
      </c>
      <c r="I169" s="16">
        <v>0.5282</v>
      </c>
      <c r="J169" s="16">
        <v>0.26050000000000001</v>
      </c>
      <c r="K169" s="16">
        <v>0.10630000000000001</v>
      </c>
      <c r="L169" s="16">
        <v>4.3999999999999997E-2</v>
      </c>
      <c r="M169" s="16">
        <v>8.7999999999999995E-2</v>
      </c>
      <c r="N169" s="16">
        <v>6.6000000000000003E-2</v>
      </c>
      <c r="O169" s="16">
        <v>0.1026</v>
      </c>
      <c r="P169" s="16">
        <v>5.1299999999999998E-2</v>
      </c>
      <c r="Q169" s="16">
        <v>4.3999999999999997E-2</v>
      </c>
      <c r="R169" s="16">
        <v>4.3999999999999997E-2</v>
      </c>
      <c r="S169" s="16">
        <v>6.2300000000000001E-2</v>
      </c>
      <c r="T169" s="16">
        <v>9.1600000000000001E-2</v>
      </c>
      <c r="U169" s="16">
        <v>4.3999999999999997E-2</v>
      </c>
      <c r="V169" s="16">
        <v>4.3999999999999997E-2</v>
      </c>
      <c r="W169" s="16">
        <v>0.34539999999999998</v>
      </c>
      <c r="X169" s="16">
        <v>0.57689999999999997</v>
      </c>
      <c r="Y169" s="16">
        <v>2.6089000000000002</v>
      </c>
      <c r="Z169" s="16">
        <v>2.7092999999999998</v>
      </c>
      <c r="AA169" s="16">
        <v>0.66349999999999998</v>
      </c>
      <c r="AB169" s="16">
        <v>0.17530000000000001</v>
      </c>
      <c r="AC169" s="16">
        <v>0.14660000000000001</v>
      </c>
      <c r="AD169" s="16">
        <v>6.0699999999999997E-2</v>
      </c>
      <c r="AE169" s="16">
        <v>4.3999999999999997E-2</v>
      </c>
      <c r="AF169" s="16">
        <v>8.0600000000000005E-2</v>
      </c>
      <c r="AG169" s="16">
        <v>7.3300000000000004E-2</v>
      </c>
      <c r="AH169" s="16">
        <v>5.1299999999999998E-2</v>
      </c>
      <c r="AI169" s="16">
        <v>0.1026</v>
      </c>
      <c r="AJ169" s="16">
        <v>4.3999999999999997E-2</v>
      </c>
      <c r="AK169" s="16">
        <v>0.1099</v>
      </c>
      <c r="AL169" s="16">
        <v>4.3999999999999997E-2</v>
      </c>
      <c r="AM169" s="16">
        <v>8.7999999999999995E-2</v>
      </c>
      <c r="AN169" s="16">
        <v>6.6000000000000003E-2</v>
      </c>
      <c r="AO169" s="16">
        <v>4.3999999999999997E-2</v>
      </c>
      <c r="AP169" s="16">
        <v>5.1299999999999998E-2</v>
      </c>
      <c r="AQ169" s="16">
        <v>0.1026</v>
      </c>
      <c r="AR169" s="16">
        <v>5.1299999999999998E-2</v>
      </c>
      <c r="AS169" s="16">
        <v>0.1026</v>
      </c>
      <c r="AT169" s="16">
        <v>0.1283</v>
      </c>
      <c r="AU169" s="16">
        <v>4.3999999999999997E-2</v>
      </c>
      <c r="AV169" s="16">
        <v>4.3999999999999997E-2</v>
      </c>
      <c r="AW169" s="16">
        <v>0.1268</v>
      </c>
      <c r="AX169" s="16">
        <v>0.26450000000000001</v>
      </c>
    </row>
    <row r="170" spans="1:50" x14ac:dyDescent="0.25">
      <c r="A170" s="17" t="s">
        <v>389</v>
      </c>
      <c r="B170" s="13" t="s">
        <v>222</v>
      </c>
      <c r="C170" s="18">
        <v>0.83760000000000001</v>
      </c>
      <c r="D170" s="18">
        <v>0.80179999999999996</v>
      </c>
      <c r="E170" s="18">
        <v>0.75760000000000005</v>
      </c>
      <c r="F170" s="18">
        <v>0.55300000000000005</v>
      </c>
      <c r="G170" s="18">
        <v>0.34229999999999999</v>
      </c>
      <c r="H170" s="18">
        <v>0.27250000000000002</v>
      </c>
      <c r="I170" s="18">
        <v>0.1288</v>
      </c>
      <c r="J170" s="18">
        <v>0.2082</v>
      </c>
      <c r="K170" s="18">
        <v>8.6300000000000002E-2</v>
      </c>
      <c r="L170" s="18">
        <v>9.5000000000000001E-2</v>
      </c>
      <c r="M170" s="18">
        <v>0.25929999999999997</v>
      </c>
      <c r="N170" s="18">
        <v>5.6000000000000001E-2</v>
      </c>
      <c r="O170" s="18">
        <v>0.1724</v>
      </c>
      <c r="P170" s="18">
        <v>0.18190000000000001</v>
      </c>
      <c r="Q170" s="18">
        <v>7.5999999999999998E-2</v>
      </c>
      <c r="R170" s="18">
        <v>0.97099999999999997</v>
      </c>
      <c r="S170" s="18">
        <v>0.1086</v>
      </c>
      <c r="T170" s="18">
        <v>0.30830000000000002</v>
      </c>
      <c r="U170" s="18">
        <v>5.6000000000000001E-2</v>
      </c>
      <c r="V170" s="18">
        <v>0.10829999999999999</v>
      </c>
      <c r="W170" s="18">
        <v>0.246</v>
      </c>
      <c r="X170" s="18">
        <v>5.6000000000000001E-2</v>
      </c>
      <c r="Y170" s="18">
        <v>0.26090000000000002</v>
      </c>
      <c r="Z170" s="18">
        <v>9.3299999999999994E-2</v>
      </c>
      <c r="AA170" s="18">
        <v>0.1158</v>
      </c>
      <c r="AB170" s="18">
        <v>0.16059999999999999</v>
      </c>
      <c r="AC170" s="18">
        <v>8.3900000000000002E-2</v>
      </c>
      <c r="AD170" s="18">
        <v>1.6366000000000001</v>
      </c>
      <c r="AE170" s="18">
        <v>0.1273</v>
      </c>
      <c r="AF170" s="18">
        <v>0.22270000000000001</v>
      </c>
      <c r="AG170" s="18">
        <v>0.13159999999999999</v>
      </c>
      <c r="AH170" s="18">
        <v>0.1429</v>
      </c>
      <c r="AI170" s="18">
        <v>0.2114</v>
      </c>
      <c r="AJ170" s="18">
        <v>6.9000000000000006E-2</v>
      </c>
      <c r="AK170" s="18">
        <v>0.121</v>
      </c>
      <c r="AL170" s="18">
        <v>0.18099999999999999</v>
      </c>
      <c r="AM170" s="18">
        <v>1.1003000000000001</v>
      </c>
      <c r="AN170" s="18">
        <v>0.56379999999999997</v>
      </c>
      <c r="AO170" s="18">
        <v>0.4461</v>
      </c>
      <c r="AP170" s="18">
        <v>0.10929999999999999</v>
      </c>
      <c r="AQ170" s="18">
        <v>0.18840000000000001</v>
      </c>
      <c r="AR170" s="18">
        <v>0.4546</v>
      </c>
      <c r="AS170" s="18">
        <v>0.49909999999999999</v>
      </c>
      <c r="AT170" s="18">
        <v>0.3911</v>
      </c>
      <c r="AU170" s="18">
        <v>0.55389999999999995</v>
      </c>
      <c r="AV170" s="18">
        <v>0.81410000000000005</v>
      </c>
      <c r="AW170" s="18">
        <v>0.61199999999999999</v>
      </c>
      <c r="AX170" s="18">
        <v>0.71799999999999997</v>
      </c>
    </row>
    <row r="171" spans="1:50" x14ac:dyDescent="0.25">
      <c r="A171" s="17" t="s">
        <v>391</v>
      </c>
      <c r="B171" s="13" t="s">
        <v>222</v>
      </c>
      <c r="C171" s="18">
        <v>0.1217</v>
      </c>
      <c r="D171" s="18">
        <v>8.3599999999999994E-2</v>
      </c>
      <c r="E171" s="18">
        <v>0.33210000000000001</v>
      </c>
      <c r="F171" s="18">
        <v>4.9000000000000002E-2</v>
      </c>
      <c r="G171" s="18">
        <v>0.2135</v>
      </c>
      <c r="H171" s="18">
        <v>7.4999999999999997E-2</v>
      </c>
      <c r="I171" s="18">
        <v>4.9000000000000002E-2</v>
      </c>
      <c r="J171" s="18">
        <v>0.34079999999999999</v>
      </c>
      <c r="K171" s="18">
        <v>7.4999999999999997E-2</v>
      </c>
      <c r="L171" s="18">
        <v>4.9000000000000002E-2</v>
      </c>
      <c r="M171" s="18">
        <v>0.17630000000000001</v>
      </c>
      <c r="N171" s="18">
        <v>6.6900000000000001E-2</v>
      </c>
      <c r="O171" s="18">
        <v>7.2099999999999997E-2</v>
      </c>
      <c r="P171" s="18">
        <v>0.58919999999999995</v>
      </c>
      <c r="Q171" s="18">
        <v>4.9000000000000002E-2</v>
      </c>
      <c r="R171" s="18">
        <v>0.22209999999999999</v>
      </c>
      <c r="S171" s="18">
        <v>0.19359999999999999</v>
      </c>
      <c r="T171" s="18">
        <v>4.9000000000000002E-2</v>
      </c>
      <c r="U171" s="18">
        <v>0.36670000000000003</v>
      </c>
      <c r="V171" s="18">
        <v>4.9000000000000002E-2</v>
      </c>
      <c r="W171" s="18">
        <v>7.6300000000000007E-2</v>
      </c>
      <c r="X171" s="18">
        <v>0.14899999999999999</v>
      </c>
      <c r="Y171" s="18">
        <v>0.2394</v>
      </c>
      <c r="Z171" s="18">
        <v>6.7199999999999996E-2</v>
      </c>
      <c r="AA171" s="18">
        <v>0.29659999999999997</v>
      </c>
      <c r="AB171" s="18">
        <v>0.1009</v>
      </c>
      <c r="AC171" s="18">
        <v>0.1799</v>
      </c>
      <c r="AD171" s="18">
        <v>0.3281</v>
      </c>
      <c r="AE171" s="18">
        <v>5.3699999999999998E-2</v>
      </c>
      <c r="AF171" s="18">
        <v>0.52729999999999999</v>
      </c>
      <c r="AG171" s="18">
        <v>0.66169999999999995</v>
      </c>
      <c r="AH171" s="18">
        <v>0.51649999999999996</v>
      </c>
      <c r="AI171" s="18">
        <v>1.2370000000000001</v>
      </c>
      <c r="AJ171" s="18">
        <v>0.4894</v>
      </c>
      <c r="AK171" s="18">
        <v>0.1757</v>
      </c>
      <c r="AL171" s="18">
        <v>0.37609999999999999</v>
      </c>
      <c r="AM171" s="18">
        <v>0.22650000000000001</v>
      </c>
      <c r="AN171" s="18">
        <v>0.19289999999999999</v>
      </c>
      <c r="AO171" s="18">
        <v>0.21990000000000001</v>
      </c>
      <c r="AP171" s="18">
        <v>1.3225</v>
      </c>
      <c r="AQ171" s="18">
        <v>0.56259999999999999</v>
      </c>
      <c r="AR171" s="18">
        <v>0.44169999999999998</v>
      </c>
      <c r="AS171" s="18">
        <v>0.40029999999999999</v>
      </c>
      <c r="AT171" s="18">
        <v>0.85709999999999997</v>
      </c>
      <c r="AU171" s="18">
        <v>0.3669</v>
      </c>
      <c r="AV171" s="18">
        <v>0.22209999999999999</v>
      </c>
      <c r="AW171" s="18">
        <v>0.19359999999999999</v>
      </c>
      <c r="AX171" s="18">
        <v>0.1096</v>
      </c>
    </row>
    <row r="172" spans="1:50" x14ac:dyDescent="0.25">
      <c r="A172" s="17" t="s">
        <v>393</v>
      </c>
      <c r="B172" s="13" t="s">
        <v>222</v>
      </c>
      <c r="C172" s="18">
        <v>0.20699999999999999</v>
      </c>
      <c r="D172" s="18">
        <v>9.3200000000000005E-2</v>
      </c>
      <c r="E172" s="18">
        <v>5.8000000000000003E-2</v>
      </c>
      <c r="F172" s="18">
        <v>8.4400000000000003E-2</v>
      </c>
      <c r="G172" s="18">
        <v>0.1108</v>
      </c>
      <c r="H172" s="18">
        <v>0.10199999999999999</v>
      </c>
      <c r="I172" s="18">
        <v>9.3200000000000005E-2</v>
      </c>
      <c r="J172" s="18">
        <v>5.8000000000000003E-2</v>
      </c>
      <c r="K172" s="18">
        <v>0.13719999999999999</v>
      </c>
      <c r="L172" s="18">
        <v>5.8000000000000003E-2</v>
      </c>
      <c r="M172" s="18">
        <v>5.8000000000000003E-2</v>
      </c>
      <c r="N172" s="18">
        <v>5.8000000000000003E-2</v>
      </c>
      <c r="O172" s="18">
        <v>0.10639999999999999</v>
      </c>
      <c r="P172" s="18">
        <v>8.8800000000000004E-2</v>
      </c>
      <c r="Q172" s="18">
        <v>0.40810000000000002</v>
      </c>
      <c r="R172" s="18">
        <v>0.35260000000000002</v>
      </c>
      <c r="S172" s="18">
        <v>0.21870000000000001</v>
      </c>
      <c r="T172" s="18">
        <v>0.45889999999999997</v>
      </c>
      <c r="U172" s="18">
        <v>0.23300000000000001</v>
      </c>
      <c r="V172" s="18">
        <v>0.63570000000000004</v>
      </c>
      <c r="W172" s="18">
        <v>1.2508999999999999</v>
      </c>
      <c r="X172" s="18">
        <v>0.87980000000000003</v>
      </c>
      <c r="Y172" s="18">
        <v>2.15</v>
      </c>
      <c r="Z172" s="18">
        <v>1.4409000000000001</v>
      </c>
      <c r="AA172" s="18">
        <v>0.10199999999999999</v>
      </c>
      <c r="AB172" s="18">
        <v>5.8000000000000003E-2</v>
      </c>
      <c r="AC172" s="18">
        <v>0.10199999999999999</v>
      </c>
      <c r="AD172" s="18">
        <v>9.3200000000000005E-2</v>
      </c>
      <c r="AE172" s="18">
        <v>0.15079999999999999</v>
      </c>
      <c r="AF172" s="18">
        <v>0.4158</v>
      </c>
      <c r="AG172" s="18">
        <v>0.3</v>
      </c>
      <c r="AH172" s="18">
        <v>0.58330000000000004</v>
      </c>
      <c r="AI172" s="18">
        <v>1.0207999999999999</v>
      </c>
      <c r="AJ172" s="18">
        <v>0.19819999999999999</v>
      </c>
      <c r="AK172" s="18">
        <v>0.2414</v>
      </c>
      <c r="AL172" s="18">
        <v>0.1138</v>
      </c>
      <c r="AM172" s="18">
        <v>0.36180000000000001</v>
      </c>
      <c r="AN172" s="18">
        <v>1.3096000000000001</v>
      </c>
      <c r="AO172" s="18">
        <v>0.1351</v>
      </c>
      <c r="AP172" s="18">
        <v>0.46139999999999998</v>
      </c>
      <c r="AQ172" s="18">
        <v>0.55230000000000001</v>
      </c>
      <c r="AR172" s="18">
        <v>0.27239999999999998</v>
      </c>
      <c r="AS172" s="18">
        <v>1.35</v>
      </c>
      <c r="AT172" s="18">
        <v>0.50519999999999998</v>
      </c>
      <c r="AU172" s="18">
        <v>0.59460000000000002</v>
      </c>
      <c r="AV172" s="18">
        <v>1.548</v>
      </c>
      <c r="AW172" s="18">
        <v>0.76129999999999998</v>
      </c>
      <c r="AX172" s="18">
        <v>1.1251</v>
      </c>
    </row>
    <row r="173" spans="1:50" x14ac:dyDescent="0.25">
      <c r="A173" s="8" t="s">
        <v>218</v>
      </c>
      <c r="B173" s="10" t="s">
        <v>57</v>
      </c>
      <c r="C173" s="16">
        <v>0.59930000000000005</v>
      </c>
      <c r="D173" s="16">
        <v>0.10150000000000001</v>
      </c>
      <c r="E173" s="16">
        <v>5.6000000000000001E-2</v>
      </c>
      <c r="F173" s="16">
        <v>5.6000000000000001E-2</v>
      </c>
      <c r="G173" s="16">
        <v>6.3600000000000004E-2</v>
      </c>
      <c r="H173" s="16">
        <v>0.21529999999999999</v>
      </c>
      <c r="I173" s="16">
        <v>5.6000000000000001E-2</v>
      </c>
      <c r="J173" s="16">
        <v>0.22289999999999999</v>
      </c>
      <c r="K173" s="16">
        <v>5.6000000000000001E-2</v>
      </c>
      <c r="L173" s="16">
        <v>5.6000000000000001E-2</v>
      </c>
      <c r="M173" s="16">
        <v>0.16980000000000001</v>
      </c>
      <c r="N173" s="16">
        <v>0.1091</v>
      </c>
      <c r="O173" s="16">
        <v>5.6000000000000001E-2</v>
      </c>
      <c r="P173" s="16">
        <v>0.19259999999999999</v>
      </c>
      <c r="Q173" s="16">
        <v>8.6400000000000005E-2</v>
      </c>
      <c r="R173" s="16">
        <v>0.10929999999999999</v>
      </c>
      <c r="S173" s="16">
        <v>0.20780000000000001</v>
      </c>
      <c r="T173" s="16">
        <v>0.25629999999999997</v>
      </c>
      <c r="U173" s="16">
        <v>1.4736</v>
      </c>
      <c r="V173" s="16">
        <v>2.0163000000000002</v>
      </c>
      <c r="W173" s="16">
        <v>1.0017</v>
      </c>
      <c r="X173" s="16">
        <v>5.6000000000000001E-2</v>
      </c>
      <c r="Y173" s="16">
        <v>9.3899999999999997E-2</v>
      </c>
      <c r="Z173" s="16">
        <v>0.185</v>
      </c>
      <c r="AA173" s="16">
        <v>5.6000000000000001E-2</v>
      </c>
      <c r="AB173" s="16">
        <v>6.3600000000000004E-2</v>
      </c>
      <c r="AC173" s="16">
        <v>0.21529999999999999</v>
      </c>
      <c r="AD173" s="16">
        <v>5.6000000000000001E-2</v>
      </c>
      <c r="AE173" s="16">
        <v>5.6000000000000001E-2</v>
      </c>
      <c r="AF173" s="16">
        <v>0.22289999999999999</v>
      </c>
      <c r="AG173" s="16">
        <v>5.6000000000000001E-2</v>
      </c>
      <c r="AH173" s="16">
        <v>5.6000000000000001E-2</v>
      </c>
      <c r="AI173" s="16">
        <v>0.2571</v>
      </c>
      <c r="AJ173" s="16">
        <v>0.1918</v>
      </c>
      <c r="AK173" s="16">
        <v>0.18379999999999999</v>
      </c>
      <c r="AL173" s="16">
        <v>0.3024</v>
      </c>
      <c r="AM173" s="16">
        <v>0.20530000000000001</v>
      </c>
      <c r="AN173" s="16">
        <v>0.32350000000000001</v>
      </c>
      <c r="AO173" s="16">
        <v>0.17660000000000001</v>
      </c>
      <c r="AP173" s="16">
        <v>0.6895</v>
      </c>
      <c r="AQ173" s="16">
        <v>0.67290000000000005</v>
      </c>
      <c r="AR173" s="16">
        <v>0.65129999999999999</v>
      </c>
      <c r="AS173" s="16">
        <v>0.72430000000000005</v>
      </c>
      <c r="AT173" s="16">
        <v>0.5655</v>
      </c>
      <c r="AU173" s="16">
        <v>0.42770000000000002</v>
      </c>
      <c r="AV173" s="16">
        <v>0.39800000000000002</v>
      </c>
      <c r="AW173" s="16">
        <v>0.70299999999999996</v>
      </c>
      <c r="AX173" s="16">
        <v>0.72019999999999995</v>
      </c>
    </row>
    <row r="174" spans="1:50" x14ac:dyDescent="0.25">
      <c r="A174" s="17" t="s">
        <v>395</v>
      </c>
      <c r="B174" s="13" t="s">
        <v>222</v>
      </c>
      <c r="C174" s="18">
        <v>0.03</v>
      </c>
      <c r="D174" s="18">
        <v>0.15909999999999999</v>
      </c>
      <c r="E174" s="18">
        <v>0.03</v>
      </c>
      <c r="F174" s="18">
        <v>0.11799999999999999</v>
      </c>
      <c r="G174" s="18">
        <v>7.1099999999999997E-2</v>
      </c>
      <c r="H174" s="18">
        <v>0.03</v>
      </c>
      <c r="I174" s="18">
        <v>0.15909999999999999</v>
      </c>
      <c r="J174" s="18">
        <v>0.03</v>
      </c>
      <c r="K174" s="18">
        <v>0.1356</v>
      </c>
      <c r="L174" s="18">
        <v>5.3499999999999999E-2</v>
      </c>
      <c r="M174" s="18">
        <v>0.03</v>
      </c>
      <c r="N174" s="18">
        <v>0.1474</v>
      </c>
      <c r="O174" s="18">
        <v>4.1700000000000001E-2</v>
      </c>
      <c r="P174" s="18">
        <v>0.03</v>
      </c>
      <c r="Q174" s="18">
        <v>0.03</v>
      </c>
      <c r="R174" s="18">
        <v>5.3499999999999999E-2</v>
      </c>
      <c r="S174" s="18">
        <v>0.1356</v>
      </c>
      <c r="T174" s="18">
        <v>0.03</v>
      </c>
      <c r="U174" s="18">
        <v>0.15909999999999999</v>
      </c>
      <c r="V174" s="18">
        <v>3.4299999999999997E-2</v>
      </c>
      <c r="W174" s="18">
        <v>6.5199999999999994E-2</v>
      </c>
      <c r="X174" s="18">
        <v>0.1239</v>
      </c>
      <c r="Y174" s="18">
        <v>0.03</v>
      </c>
      <c r="Z174" s="18">
        <v>5.9299999999999999E-2</v>
      </c>
      <c r="AA174" s="18">
        <v>0.1298</v>
      </c>
      <c r="AB174" s="18">
        <v>0.03</v>
      </c>
      <c r="AC174" s="18">
        <v>8.8700000000000001E-2</v>
      </c>
      <c r="AD174" s="18">
        <v>0.1004</v>
      </c>
      <c r="AE174" s="18">
        <v>0.03</v>
      </c>
      <c r="AF174" s="18">
        <v>0.03</v>
      </c>
      <c r="AG174" s="18">
        <v>0.15909999999999999</v>
      </c>
      <c r="AH174" s="18">
        <v>0.03</v>
      </c>
      <c r="AI174" s="18">
        <v>0.03</v>
      </c>
      <c r="AJ174" s="18">
        <v>0.18440000000000001</v>
      </c>
      <c r="AK174" s="18">
        <v>0.36309999999999998</v>
      </c>
      <c r="AL174" s="18">
        <v>7.6300000000000007E-2</v>
      </c>
      <c r="AM174" s="18">
        <v>0.1472</v>
      </c>
      <c r="AN174" s="18">
        <v>0.12909999999999999</v>
      </c>
      <c r="AO174" s="18">
        <v>9.6299999999999997E-2</v>
      </c>
      <c r="AP174" s="18">
        <v>0.59550000000000003</v>
      </c>
      <c r="AQ174" s="18">
        <v>0.43319999999999997</v>
      </c>
      <c r="AR174" s="18">
        <v>0.52739999999999998</v>
      </c>
      <c r="AS174" s="18">
        <v>0.57530000000000003</v>
      </c>
      <c r="AT174" s="18">
        <v>0.44069999999999998</v>
      </c>
      <c r="AU174" s="18">
        <v>0.15909999999999999</v>
      </c>
      <c r="AV174" s="18">
        <v>0.03</v>
      </c>
      <c r="AW174" s="18">
        <v>0.15909999999999999</v>
      </c>
      <c r="AX174" s="18">
        <v>0.03</v>
      </c>
    </row>
    <row r="175" spans="1:50" x14ac:dyDescent="0.25">
      <c r="A175" s="17" t="s">
        <v>397</v>
      </c>
      <c r="B175" s="13" t="s">
        <v>222</v>
      </c>
      <c r="C175" s="18">
        <v>6.6500000000000004E-2</v>
      </c>
      <c r="D175" s="18">
        <v>0.20580000000000001</v>
      </c>
      <c r="E175" s="18">
        <v>5.0999999999999997E-2</v>
      </c>
      <c r="F175" s="18">
        <v>0.15939999999999999</v>
      </c>
      <c r="G175" s="18">
        <v>0.1129</v>
      </c>
      <c r="H175" s="18">
        <v>5.0999999999999997E-2</v>
      </c>
      <c r="I175" s="18">
        <v>0.2213</v>
      </c>
      <c r="J175" s="18">
        <v>5.0999999999999997E-2</v>
      </c>
      <c r="K175" s="18">
        <v>0.15160000000000001</v>
      </c>
      <c r="L175" s="18">
        <v>0.1207</v>
      </c>
      <c r="M175" s="18">
        <v>5.0999999999999997E-2</v>
      </c>
      <c r="N175" s="18">
        <v>0.18260000000000001</v>
      </c>
      <c r="O175" s="18">
        <v>8.9700000000000002E-2</v>
      </c>
      <c r="P175" s="18">
        <v>5.0999999999999997E-2</v>
      </c>
      <c r="Q175" s="18">
        <v>0.1207</v>
      </c>
      <c r="R175" s="18">
        <v>0.15160000000000001</v>
      </c>
      <c r="S175" s="18">
        <v>5.0999999999999997E-2</v>
      </c>
      <c r="T175" s="18">
        <v>8.9700000000000002E-2</v>
      </c>
      <c r="U175" s="18">
        <v>0.18260000000000001</v>
      </c>
      <c r="V175" s="18">
        <v>5.0999999999999997E-2</v>
      </c>
      <c r="W175" s="18">
        <v>0.41360000000000002</v>
      </c>
      <c r="X175" s="18">
        <v>5.0999999999999997E-2</v>
      </c>
      <c r="Y175" s="18">
        <v>0.2422</v>
      </c>
      <c r="Z175" s="18">
        <v>0.37019999999999997</v>
      </c>
      <c r="AA175" s="18">
        <v>0.1424</v>
      </c>
      <c r="AB175" s="18">
        <v>0.28100000000000003</v>
      </c>
      <c r="AC175" s="18">
        <v>1.4220999999999999</v>
      </c>
      <c r="AD175" s="18">
        <v>5.0999999999999997E-2</v>
      </c>
      <c r="AE175" s="18">
        <v>5.0999999999999997E-2</v>
      </c>
      <c r="AF175" s="18">
        <v>0.2213</v>
      </c>
      <c r="AG175" s="18">
        <v>5.0999999999999997E-2</v>
      </c>
      <c r="AH175" s="18">
        <v>0.15939999999999999</v>
      </c>
      <c r="AI175" s="18">
        <v>0.1129</v>
      </c>
      <c r="AJ175" s="18">
        <v>5.0999999999999997E-2</v>
      </c>
      <c r="AK175" s="18">
        <v>0.30149999999999999</v>
      </c>
      <c r="AL175" s="18">
        <v>0.16089999999999999</v>
      </c>
      <c r="AM175" s="18">
        <v>0.26429999999999998</v>
      </c>
      <c r="AN175" s="18">
        <v>0.3049</v>
      </c>
      <c r="AO175" s="18">
        <v>0.74260000000000004</v>
      </c>
      <c r="AP175" s="18">
        <v>1.0427</v>
      </c>
      <c r="AQ175" s="18">
        <v>0.98480000000000001</v>
      </c>
      <c r="AR175" s="18">
        <v>0.45700000000000002</v>
      </c>
      <c r="AS175" s="18">
        <v>0.55830000000000002</v>
      </c>
      <c r="AT175" s="18">
        <v>0.61970000000000003</v>
      </c>
      <c r="AU175" s="18">
        <v>0.94669999999999999</v>
      </c>
      <c r="AV175" s="18">
        <v>0.7198</v>
      </c>
      <c r="AW175" s="18">
        <v>0.56159999999999999</v>
      </c>
      <c r="AX175" s="18">
        <v>0.40500000000000003</v>
      </c>
    </row>
    <row r="176" spans="1:50" x14ac:dyDescent="0.25">
      <c r="A176" s="17" t="s">
        <v>399</v>
      </c>
      <c r="B176" s="13" t="s">
        <v>222</v>
      </c>
      <c r="C176" s="18">
        <v>0.1401</v>
      </c>
      <c r="D176" s="18">
        <v>0.21229999999999999</v>
      </c>
      <c r="E176" s="18">
        <v>7.8100000000000003E-2</v>
      </c>
      <c r="F176" s="18">
        <v>0.19550000000000001</v>
      </c>
      <c r="G176" s="18">
        <v>0.1714</v>
      </c>
      <c r="H176" s="18">
        <v>0.1022</v>
      </c>
      <c r="I176" s="18">
        <v>0.19320000000000001</v>
      </c>
      <c r="J176" s="18">
        <v>0.1593</v>
      </c>
      <c r="K176" s="18">
        <v>0.1263</v>
      </c>
      <c r="L176" s="18">
        <v>0.2261</v>
      </c>
      <c r="M176" s="18">
        <v>9.2600000000000002E-2</v>
      </c>
      <c r="N176" s="18">
        <v>0.224</v>
      </c>
      <c r="O176" s="18">
        <v>8.9800000000000005E-2</v>
      </c>
      <c r="P176" s="18">
        <v>6.2700000000000006E-2</v>
      </c>
      <c r="Q176" s="18">
        <v>0.9496</v>
      </c>
      <c r="R176" s="18">
        <v>0.19980000000000001</v>
      </c>
      <c r="S176" s="18">
        <v>9.2600000000000002E-2</v>
      </c>
      <c r="T176" s="18">
        <v>0.13800000000000001</v>
      </c>
      <c r="U176" s="18">
        <v>0.23780000000000001</v>
      </c>
      <c r="V176" s="18">
        <v>0.12089999999999999</v>
      </c>
      <c r="W176" s="18">
        <v>0.24729999999999999</v>
      </c>
      <c r="X176" s="18">
        <v>0.1239</v>
      </c>
      <c r="Y176" s="18">
        <v>0.99299999999999999</v>
      </c>
      <c r="Z176" s="18">
        <v>0.70350000000000001</v>
      </c>
      <c r="AA176" s="18">
        <v>0.27210000000000001</v>
      </c>
      <c r="AB176" s="18">
        <v>0.31409999999999999</v>
      </c>
      <c r="AC176" s="18">
        <v>0.42459999999999998</v>
      </c>
      <c r="AD176" s="18">
        <v>7.4200000000000002E-2</v>
      </c>
      <c r="AE176" s="18">
        <v>0.2203</v>
      </c>
      <c r="AF176" s="18">
        <v>5.3999999999999999E-2</v>
      </c>
      <c r="AG176" s="18">
        <v>0.191</v>
      </c>
      <c r="AH176" s="18">
        <v>0.1615</v>
      </c>
      <c r="AI176" s="18">
        <v>0.14080000000000001</v>
      </c>
      <c r="AJ176" s="18">
        <v>5.3999999999999999E-2</v>
      </c>
      <c r="AK176" s="18">
        <v>0.1615</v>
      </c>
      <c r="AL176" s="18">
        <v>0.191</v>
      </c>
      <c r="AM176" s="18">
        <v>5.3999999999999999E-2</v>
      </c>
      <c r="AN176" s="18">
        <v>5.3999999999999999E-2</v>
      </c>
      <c r="AO176" s="18">
        <v>7.8100000000000003E-2</v>
      </c>
      <c r="AP176" s="18">
        <v>0.1167</v>
      </c>
      <c r="AQ176" s="18">
        <v>7.5499999999999998E-2</v>
      </c>
      <c r="AR176" s="18">
        <v>0.27689999999999998</v>
      </c>
      <c r="AS176" s="18">
        <v>5.3999999999999999E-2</v>
      </c>
      <c r="AT176" s="18">
        <v>0.2984</v>
      </c>
      <c r="AU176" s="18">
        <v>5.3999999999999999E-2</v>
      </c>
      <c r="AV176" s="18">
        <v>0.19009999999999999</v>
      </c>
      <c r="AW176" s="18">
        <v>0.1623</v>
      </c>
      <c r="AX176" s="18">
        <v>0.1041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92" width="13" customWidth="1"/>
  </cols>
  <sheetData>
    <row r="1" spans="1:92" ht="19.5" x14ac:dyDescent="0.3">
      <c r="A1" s="1" t="s">
        <v>453</v>
      </c>
    </row>
    <row r="2" spans="1:92" x14ac:dyDescent="0.25">
      <c r="A2" s="29" t="s">
        <v>454</v>
      </c>
      <c r="B2" s="27"/>
      <c r="C2" s="27"/>
      <c r="D2" s="27"/>
      <c r="E2" s="27"/>
      <c r="F2" s="27"/>
      <c r="G2" s="27"/>
      <c r="H2" s="27"/>
    </row>
    <row r="4" spans="1:92" ht="25.5" x14ac:dyDescent="0.25">
      <c r="A4" s="5" t="s">
        <v>455</v>
      </c>
      <c r="B4" s="5" t="s">
        <v>456</v>
      </c>
      <c r="C4" s="5" t="s">
        <v>457</v>
      </c>
      <c r="D4" s="5" t="s">
        <v>458</v>
      </c>
      <c r="E4" s="5" t="s">
        <v>459</v>
      </c>
      <c r="F4" s="5" t="s">
        <v>460</v>
      </c>
      <c r="G4" s="5" t="s">
        <v>461</v>
      </c>
      <c r="H4" s="5" t="s">
        <v>462</v>
      </c>
      <c r="I4" s="5" t="s">
        <v>463</v>
      </c>
      <c r="J4" s="5" t="s">
        <v>464</v>
      </c>
      <c r="K4" s="5" t="s">
        <v>465</v>
      </c>
      <c r="L4" s="5" t="s">
        <v>466</v>
      </c>
      <c r="M4" s="5" t="s">
        <v>467</v>
      </c>
      <c r="N4" s="5" t="s">
        <v>468</v>
      </c>
      <c r="O4" s="5" t="s">
        <v>469</v>
      </c>
      <c r="P4" s="5" t="s">
        <v>470</v>
      </c>
      <c r="Q4" s="5" t="s">
        <v>471</v>
      </c>
      <c r="R4" s="5" t="s">
        <v>472</v>
      </c>
      <c r="S4" s="5" t="s">
        <v>473</v>
      </c>
      <c r="T4" s="5" t="s">
        <v>474</v>
      </c>
      <c r="U4" s="5" t="s">
        <v>475</v>
      </c>
      <c r="V4" s="5" t="s">
        <v>476</v>
      </c>
      <c r="W4" s="5" t="s">
        <v>477</v>
      </c>
      <c r="X4" s="5" t="s">
        <v>478</v>
      </c>
      <c r="Y4" s="5" t="s">
        <v>479</v>
      </c>
      <c r="Z4" s="5" t="s">
        <v>480</v>
      </c>
      <c r="AA4" s="5" t="s">
        <v>481</v>
      </c>
      <c r="AB4" s="5" t="s">
        <v>482</v>
      </c>
      <c r="AC4" s="5" t="s">
        <v>483</v>
      </c>
      <c r="AD4" s="5" t="s">
        <v>484</v>
      </c>
      <c r="AE4" s="5" t="s">
        <v>485</v>
      </c>
      <c r="AF4" s="5" t="s">
        <v>486</v>
      </c>
      <c r="AG4" s="5" t="s">
        <v>487</v>
      </c>
      <c r="AH4" s="5" t="s">
        <v>488</v>
      </c>
      <c r="AI4" s="5" t="s">
        <v>489</v>
      </c>
      <c r="AJ4" s="5" t="s">
        <v>490</v>
      </c>
      <c r="AK4" s="5" t="s">
        <v>491</v>
      </c>
      <c r="AL4" s="5" t="s">
        <v>492</v>
      </c>
      <c r="AM4" s="5" t="s">
        <v>493</v>
      </c>
      <c r="AN4" s="5" t="s">
        <v>494</v>
      </c>
      <c r="AO4" s="5" t="s">
        <v>495</v>
      </c>
      <c r="AP4" s="5" t="s">
        <v>496</v>
      </c>
      <c r="AQ4" s="5" t="s">
        <v>497</v>
      </c>
      <c r="AR4" s="5" t="s">
        <v>498</v>
      </c>
      <c r="AS4" s="5" t="s">
        <v>499</v>
      </c>
      <c r="AT4" s="5" t="s">
        <v>500</v>
      </c>
      <c r="AU4" s="5" t="s">
        <v>501</v>
      </c>
      <c r="AV4" s="5" t="s">
        <v>502</v>
      </c>
      <c r="AW4" s="5" t="s">
        <v>503</v>
      </c>
      <c r="AX4" s="5" t="s">
        <v>504</v>
      </c>
      <c r="AY4" s="5" t="s">
        <v>505</v>
      </c>
      <c r="AZ4" s="5" t="s">
        <v>506</v>
      </c>
      <c r="BA4" s="5" t="s">
        <v>507</v>
      </c>
      <c r="BB4" s="5" t="s">
        <v>508</v>
      </c>
      <c r="BC4" s="5" t="s">
        <v>509</v>
      </c>
      <c r="BD4" s="5" t="s">
        <v>510</v>
      </c>
      <c r="BE4" s="5" t="s">
        <v>511</v>
      </c>
      <c r="BF4" s="5" t="s">
        <v>512</v>
      </c>
      <c r="BG4" s="5" t="s">
        <v>513</v>
      </c>
      <c r="BH4" s="5" t="s">
        <v>514</v>
      </c>
      <c r="BI4" s="5" t="s">
        <v>515</v>
      </c>
      <c r="BJ4" s="5" t="s">
        <v>516</v>
      </c>
      <c r="BK4" s="5" t="s">
        <v>517</v>
      </c>
      <c r="BL4" s="5" t="s">
        <v>518</v>
      </c>
      <c r="BM4" s="5" t="s">
        <v>519</v>
      </c>
      <c r="BN4" s="5" t="s">
        <v>520</v>
      </c>
      <c r="BO4" s="5" t="s">
        <v>521</v>
      </c>
      <c r="BP4" s="5" t="s">
        <v>522</v>
      </c>
      <c r="BQ4" s="5" t="s">
        <v>523</v>
      </c>
      <c r="BR4" s="5" t="s">
        <v>524</v>
      </c>
      <c r="BS4" s="5" t="s">
        <v>525</v>
      </c>
      <c r="BT4" s="5" t="s">
        <v>526</v>
      </c>
      <c r="BU4" s="5" t="s">
        <v>527</v>
      </c>
      <c r="BV4" s="5" t="s">
        <v>528</v>
      </c>
      <c r="BW4" s="5" t="s">
        <v>529</v>
      </c>
      <c r="BX4" s="5" t="s">
        <v>530</v>
      </c>
      <c r="BY4" s="5" t="s">
        <v>531</v>
      </c>
      <c r="BZ4" s="5" t="s">
        <v>532</v>
      </c>
      <c r="CA4" s="5" t="s">
        <v>533</v>
      </c>
      <c r="CB4" s="5" t="s">
        <v>534</v>
      </c>
      <c r="CC4" s="5" t="s">
        <v>535</v>
      </c>
      <c r="CD4" s="5" t="s">
        <v>536</v>
      </c>
      <c r="CE4" s="5" t="s">
        <v>537</v>
      </c>
      <c r="CF4" s="5" t="s">
        <v>538</v>
      </c>
      <c r="CG4" s="5" t="s">
        <v>539</v>
      </c>
      <c r="CH4" s="5" t="s">
        <v>540</v>
      </c>
      <c r="CI4" s="5" t="s">
        <v>541</v>
      </c>
      <c r="CJ4" s="5" t="s">
        <v>542</v>
      </c>
      <c r="CK4" s="5" t="s">
        <v>543</v>
      </c>
      <c r="CL4" s="5" t="s">
        <v>544</v>
      </c>
      <c r="CM4" s="5" t="s">
        <v>545</v>
      </c>
      <c r="CN4" s="5" t="s">
        <v>546</v>
      </c>
    </row>
    <row r="5" spans="1:92" x14ac:dyDescent="0.25">
      <c r="A5" s="8">
        <v>1</v>
      </c>
      <c r="B5" s="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</row>
    <row r="6" spans="1:92" x14ac:dyDescent="0.25">
      <c r="A6" s="8">
        <v>2</v>
      </c>
      <c r="B6" s="8">
        <v>0.5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</row>
    <row r="7" spans="1:92" x14ac:dyDescent="0.25">
      <c r="A7" s="8">
        <v>3</v>
      </c>
      <c r="B7" s="8">
        <v>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</row>
    <row r="8" spans="1:92" x14ac:dyDescent="0.25">
      <c r="A8" s="8">
        <v>4</v>
      </c>
      <c r="B8" s="8">
        <v>1.5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</row>
    <row r="9" spans="1:92" x14ac:dyDescent="0.25">
      <c r="A9" s="8">
        <v>5</v>
      </c>
      <c r="B9" s="8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</row>
    <row r="10" spans="1:92" x14ac:dyDescent="0.25">
      <c r="A10" s="8">
        <v>6</v>
      </c>
      <c r="B10" s="8">
        <v>2.5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</row>
    <row r="11" spans="1:92" x14ac:dyDescent="0.25">
      <c r="A11" s="8">
        <v>7</v>
      </c>
      <c r="B11" s="8">
        <v>3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</row>
    <row r="12" spans="1:92" x14ac:dyDescent="0.25">
      <c r="A12" s="8">
        <v>8</v>
      </c>
      <c r="B12" s="8">
        <v>3.5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</row>
    <row r="13" spans="1:92" x14ac:dyDescent="0.25">
      <c r="A13" s="8">
        <v>9</v>
      </c>
      <c r="B13" s="8">
        <v>4</v>
      </c>
      <c r="C13" s="18">
        <v>0</v>
      </c>
      <c r="D13" s="18">
        <v>1E-3</v>
      </c>
      <c r="E13" s="18">
        <v>0</v>
      </c>
      <c r="F13" s="18">
        <v>0</v>
      </c>
      <c r="G13" s="18">
        <v>8.0000000000000002E-3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2E-3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6.0000000000000001E-3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7.0000000000000001E-3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</row>
    <row r="14" spans="1:92" x14ac:dyDescent="0.25">
      <c r="A14" s="8">
        <v>10</v>
      </c>
      <c r="B14" s="8">
        <v>4.5</v>
      </c>
      <c r="C14" s="18">
        <v>0.126</v>
      </c>
      <c r="D14" s="18">
        <v>0.184</v>
      </c>
      <c r="E14" s="18">
        <v>0.114</v>
      </c>
      <c r="F14" s="18">
        <v>0.187</v>
      </c>
      <c r="G14" s="18">
        <v>0</v>
      </c>
      <c r="H14" s="18">
        <v>0</v>
      </c>
      <c r="I14" s="18">
        <v>0.188</v>
      </c>
      <c r="J14" s="18">
        <v>0.158</v>
      </c>
      <c r="K14" s="18">
        <v>1.2999999999999999E-2</v>
      </c>
      <c r="L14" s="18">
        <v>0</v>
      </c>
      <c r="M14" s="18">
        <v>0.122</v>
      </c>
      <c r="N14" s="18">
        <v>0.10299999999999999</v>
      </c>
      <c r="O14" s="18">
        <v>0.125</v>
      </c>
      <c r="P14" s="18">
        <v>6.4000000000000001E-2</v>
      </c>
      <c r="Q14" s="18">
        <v>9.2999999999999999E-2</v>
      </c>
      <c r="R14" s="18">
        <v>0.127</v>
      </c>
      <c r="S14" s="18">
        <v>0</v>
      </c>
      <c r="T14" s="18">
        <v>0.113</v>
      </c>
      <c r="U14" s="18">
        <v>6.8000000000000005E-2</v>
      </c>
      <c r="V14" s="18">
        <v>0.154</v>
      </c>
      <c r="W14" s="18">
        <v>0.13300000000000001</v>
      </c>
      <c r="X14" s="18">
        <v>2.1000000000000001E-2</v>
      </c>
      <c r="Y14" s="18">
        <v>0.10100000000000001</v>
      </c>
      <c r="Z14" s="18">
        <v>8.4000000000000005E-2</v>
      </c>
      <c r="AA14" s="18">
        <v>0</v>
      </c>
      <c r="AB14" s="18">
        <v>0.10100000000000001</v>
      </c>
      <c r="AC14" s="18">
        <v>0</v>
      </c>
      <c r="AD14" s="18">
        <v>6.5000000000000002E-2</v>
      </c>
      <c r="AE14" s="18">
        <v>0</v>
      </c>
      <c r="AF14" s="18">
        <v>0.124</v>
      </c>
      <c r="AG14" s="18">
        <v>9.0999999999999998E-2</v>
      </c>
      <c r="AH14" s="18">
        <v>0</v>
      </c>
      <c r="AI14" s="18">
        <v>0</v>
      </c>
      <c r="AJ14" s="18">
        <v>0</v>
      </c>
      <c r="AK14" s="18">
        <v>0</v>
      </c>
      <c r="AL14" s="18">
        <v>0.114</v>
      </c>
      <c r="AM14" s="18">
        <v>0.153</v>
      </c>
      <c r="AN14" s="18">
        <v>0.151</v>
      </c>
      <c r="AO14" s="18">
        <v>0</v>
      </c>
      <c r="AP14" s="18">
        <v>3.5000000000000003E-2</v>
      </c>
      <c r="AQ14" s="18">
        <v>0</v>
      </c>
      <c r="AR14" s="18">
        <v>6.3E-2</v>
      </c>
      <c r="AS14" s="18">
        <v>0.11700000000000001</v>
      </c>
      <c r="AT14" s="18">
        <v>0</v>
      </c>
      <c r="AU14" s="18">
        <v>0.06</v>
      </c>
      <c r="AV14" s="18">
        <v>1.9E-2</v>
      </c>
      <c r="AW14" s="18">
        <v>7.0000000000000007E-2</v>
      </c>
      <c r="AX14" s="18">
        <v>0</v>
      </c>
      <c r="AY14" s="18">
        <v>0</v>
      </c>
      <c r="AZ14" s="18">
        <v>2.8000000000000001E-2</v>
      </c>
      <c r="BA14" s="18">
        <v>0</v>
      </c>
      <c r="BB14" s="18">
        <v>9.5000000000000001E-2</v>
      </c>
      <c r="BC14" s="18">
        <v>9.1999999999999998E-2</v>
      </c>
      <c r="BD14" s="18">
        <v>0.12</v>
      </c>
      <c r="BE14" s="18">
        <v>0</v>
      </c>
      <c r="BF14" s="18">
        <v>0</v>
      </c>
      <c r="BG14" s="18">
        <v>0</v>
      </c>
      <c r="BH14" s="18">
        <v>3.7999999999999999E-2</v>
      </c>
      <c r="BI14" s="18">
        <v>0</v>
      </c>
      <c r="BJ14" s="18">
        <v>0.107</v>
      </c>
      <c r="BK14" s="18">
        <v>0.14899999999999999</v>
      </c>
      <c r="BL14" s="18">
        <v>3.6999999999999998E-2</v>
      </c>
      <c r="BM14" s="18">
        <v>0.17799999999999999</v>
      </c>
      <c r="BN14" s="18">
        <v>0</v>
      </c>
      <c r="BO14" s="18">
        <v>7.4999999999999997E-2</v>
      </c>
      <c r="BP14" s="18">
        <v>0.13</v>
      </c>
      <c r="BQ14" s="18">
        <v>9.8000000000000004E-2</v>
      </c>
      <c r="BR14" s="18">
        <v>1.7000000000000001E-2</v>
      </c>
      <c r="BS14" s="18">
        <v>0</v>
      </c>
      <c r="BT14" s="18">
        <v>0</v>
      </c>
      <c r="BU14" s="18">
        <v>0.128</v>
      </c>
      <c r="BV14" s="18">
        <v>6.4000000000000001E-2</v>
      </c>
      <c r="BW14" s="18">
        <v>7.3999999999999996E-2</v>
      </c>
      <c r="BX14" s="18">
        <v>0</v>
      </c>
      <c r="BY14" s="18">
        <v>8.7999999999999995E-2</v>
      </c>
      <c r="BZ14" s="18">
        <v>7.8E-2</v>
      </c>
      <c r="CA14" s="18">
        <v>1.7999999999999999E-2</v>
      </c>
      <c r="CB14" s="18">
        <v>0.18099999999999999</v>
      </c>
      <c r="CC14" s="18">
        <v>0.18099999999999999</v>
      </c>
      <c r="CD14" s="18">
        <v>0</v>
      </c>
      <c r="CE14" s="18">
        <v>8.0000000000000002E-3</v>
      </c>
      <c r="CF14" s="18">
        <v>6.5000000000000002E-2</v>
      </c>
      <c r="CG14" s="18">
        <v>0</v>
      </c>
      <c r="CH14" s="18">
        <v>0</v>
      </c>
      <c r="CI14" s="18">
        <v>0.13800000000000001</v>
      </c>
      <c r="CJ14" s="18">
        <v>0.125</v>
      </c>
      <c r="CK14" s="18">
        <v>0.14599999999999999</v>
      </c>
      <c r="CL14" s="18">
        <v>0.17899999999999999</v>
      </c>
      <c r="CM14" s="18">
        <v>0.112</v>
      </c>
      <c r="CN14" s="18">
        <v>7.0000000000000001E-3</v>
      </c>
    </row>
    <row r="15" spans="1:92" x14ac:dyDescent="0.25">
      <c r="A15" s="8">
        <v>11</v>
      </c>
      <c r="B15" s="8">
        <v>5</v>
      </c>
      <c r="C15" s="18">
        <v>8.4000000000000005E-2</v>
      </c>
      <c r="D15" s="18">
        <v>0.41199999999999998</v>
      </c>
      <c r="E15" s="18">
        <v>0.36299999999999999</v>
      </c>
      <c r="F15" s="18">
        <v>0.30599999999999999</v>
      </c>
      <c r="G15" s="18">
        <v>0.29099999999999998</v>
      </c>
      <c r="H15" s="18">
        <v>0.193</v>
      </c>
      <c r="I15" s="18">
        <v>0.32300000000000001</v>
      </c>
      <c r="J15" s="18">
        <v>0.247</v>
      </c>
      <c r="K15" s="18">
        <v>0.121</v>
      </c>
      <c r="L15" s="18">
        <v>0</v>
      </c>
      <c r="M15" s="18">
        <v>0.29399999999999998</v>
      </c>
      <c r="N15" s="18">
        <v>0.31900000000000001</v>
      </c>
      <c r="O15" s="18">
        <v>0.29699999999999999</v>
      </c>
      <c r="P15" s="18">
        <v>6.2E-2</v>
      </c>
      <c r="Q15" s="18">
        <v>0.29399999999999998</v>
      </c>
      <c r="R15" s="18">
        <v>0.41299999999999998</v>
      </c>
      <c r="S15" s="18">
        <v>0.11600000000000001</v>
      </c>
      <c r="T15" s="18">
        <v>0.19400000000000001</v>
      </c>
      <c r="U15" s="18">
        <v>0.105</v>
      </c>
      <c r="V15" s="18">
        <v>0.35399999999999998</v>
      </c>
      <c r="W15" s="18">
        <v>0.34799999999999998</v>
      </c>
      <c r="X15" s="18">
        <v>0.23699999999999999</v>
      </c>
      <c r="Y15" s="18">
        <v>0.248</v>
      </c>
      <c r="Z15" s="18">
        <v>0.214</v>
      </c>
      <c r="AA15" s="18">
        <v>0.21</v>
      </c>
      <c r="AB15" s="18">
        <v>0.41499999999999998</v>
      </c>
      <c r="AC15" s="18">
        <v>0.39300000000000002</v>
      </c>
      <c r="AD15" s="18">
        <v>0.41299999999999998</v>
      </c>
      <c r="AE15" s="18">
        <v>8.5999999999999993E-2</v>
      </c>
      <c r="AF15" s="18">
        <v>0.41499999999999998</v>
      </c>
      <c r="AG15" s="18">
        <v>0.17100000000000001</v>
      </c>
      <c r="AH15" s="18">
        <v>0.224</v>
      </c>
      <c r="AI15" s="18">
        <v>0.27700000000000002</v>
      </c>
      <c r="AJ15" s="18">
        <v>4.5999999999999999E-2</v>
      </c>
      <c r="AK15" s="18">
        <v>0.16300000000000001</v>
      </c>
      <c r="AL15" s="18">
        <v>0.126</v>
      </c>
      <c r="AM15" s="18">
        <v>0.27300000000000002</v>
      </c>
      <c r="AN15" s="18">
        <v>0.24299999999999999</v>
      </c>
      <c r="AO15" s="18">
        <v>0.35399999999999998</v>
      </c>
      <c r="AP15" s="18">
        <v>0.29899999999999999</v>
      </c>
      <c r="AQ15" s="18">
        <v>0.14199999999999999</v>
      </c>
      <c r="AR15" s="18">
        <v>0.17799999999999999</v>
      </c>
      <c r="AS15" s="18">
        <v>0.222</v>
      </c>
      <c r="AT15" s="18">
        <v>0.252</v>
      </c>
      <c r="AU15" s="18">
        <v>0.29199999999999998</v>
      </c>
      <c r="AV15" s="18">
        <v>0.14000000000000001</v>
      </c>
      <c r="AW15" s="18">
        <v>0.309</v>
      </c>
      <c r="AX15" s="18">
        <v>0.13100000000000001</v>
      </c>
      <c r="AY15" s="18">
        <v>8.5000000000000006E-2</v>
      </c>
      <c r="AZ15" s="18">
        <v>0.39500000000000002</v>
      </c>
      <c r="BA15" s="18">
        <v>0.23599999999999999</v>
      </c>
      <c r="BB15" s="18">
        <v>0.14599999999999999</v>
      </c>
      <c r="BC15" s="18">
        <v>0.23499999999999999</v>
      </c>
      <c r="BD15" s="18">
        <v>0.20300000000000001</v>
      </c>
      <c r="BE15" s="18">
        <v>6.7000000000000004E-2</v>
      </c>
      <c r="BF15" s="18">
        <v>0.17100000000000001</v>
      </c>
      <c r="BG15" s="18">
        <v>2.9000000000000001E-2</v>
      </c>
      <c r="BH15" s="18">
        <v>0.40699999999999997</v>
      </c>
      <c r="BI15" s="18">
        <v>0.28799999999999998</v>
      </c>
      <c r="BJ15" s="18">
        <v>0.32100000000000001</v>
      </c>
      <c r="BK15" s="18">
        <v>0.107</v>
      </c>
      <c r="BL15" s="18">
        <v>9.9000000000000005E-2</v>
      </c>
      <c r="BM15" s="18">
        <v>0.40600000000000003</v>
      </c>
      <c r="BN15" s="18">
        <v>0.30599999999999999</v>
      </c>
      <c r="BO15" s="18">
        <v>0.38400000000000001</v>
      </c>
      <c r="BP15" s="18">
        <v>0.21199999999999999</v>
      </c>
      <c r="BQ15" s="18">
        <v>0.35599999999999998</v>
      </c>
      <c r="BR15" s="18">
        <v>0.19800000000000001</v>
      </c>
      <c r="BS15" s="18">
        <v>0.104</v>
      </c>
      <c r="BT15" s="18">
        <v>6.8000000000000005E-2</v>
      </c>
      <c r="BU15" s="18">
        <v>0.35399999999999998</v>
      </c>
      <c r="BV15" s="18">
        <v>0.17899999999999999</v>
      </c>
      <c r="BW15" s="18">
        <v>0.11600000000000001</v>
      </c>
      <c r="BX15" s="18">
        <v>0.17399999999999999</v>
      </c>
      <c r="BY15" s="18">
        <v>0.33600000000000002</v>
      </c>
      <c r="BZ15" s="18">
        <v>0.193</v>
      </c>
      <c r="CA15" s="18">
        <v>0.187</v>
      </c>
      <c r="CB15" s="18">
        <v>0.155</v>
      </c>
      <c r="CC15" s="18">
        <v>0.255</v>
      </c>
      <c r="CD15" s="18">
        <v>0.20100000000000001</v>
      </c>
      <c r="CE15" s="18">
        <v>0.06</v>
      </c>
      <c r="CF15" s="18">
        <v>0.18</v>
      </c>
      <c r="CG15" s="18">
        <v>0</v>
      </c>
      <c r="CH15" s="18">
        <v>1.9E-2</v>
      </c>
      <c r="CI15" s="18">
        <v>0.20200000000000001</v>
      </c>
      <c r="CJ15" s="18">
        <v>0.17</v>
      </c>
      <c r="CK15" s="18">
        <v>0.34599999999999997</v>
      </c>
      <c r="CL15" s="18">
        <v>0.43099999999999999</v>
      </c>
      <c r="CM15" s="18">
        <v>0.41</v>
      </c>
      <c r="CN15" s="18">
        <v>0.36899999999999999</v>
      </c>
    </row>
    <row r="16" spans="1:92" x14ac:dyDescent="0.25">
      <c r="A16" s="8">
        <v>12</v>
      </c>
      <c r="B16" s="8">
        <v>5.5</v>
      </c>
      <c r="C16" s="18">
        <v>0.19600000000000001</v>
      </c>
      <c r="D16" s="18">
        <v>0.69299999999999995</v>
      </c>
      <c r="E16" s="18">
        <v>0.61</v>
      </c>
      <c r="F16" s="18">
        <v>0.69599999999999995</v>
      </c>
      <c r="G16" s="18">
        <v>0.7</v>
      </c>
      <c r="H16" s="18">
        <v>0.503</v>
      </c>
      <c r="I16" s="18">
        <v>0.69699999999999995</v>
      </c>
      <c r="J16" s="18">
        <v>0.4</v>
      </c>
      <c r="K16" s="18">
        <v>0.58899999999999997</v>
      </c>
      <c r="L16" s="18">
        <v>0.22600000000000001</v>
      </c>
      <c r="M16" s="18">
        <v>0.504</v>
      </c>
      <c r="N16" s="18">
        <v>0.54900000000000004</v>
      </c>
      <c r="O16" s="18">
        <v>0.49099999999999999</v>
      </c>
      <c r="P16" s="18">
        <v>0.219</v>
      </c>
      <c r="Q16" s="18">
        <v>0.25600000000000001</v>
      </c>
      <c r="R16" s="18">
        <v>0.60499999999999998</v>
      </c>
      <c r="S16" s="18">
        <v>0.113</v>
      </c>
      <c r="T16" s="18">
        <v>0.41599999999999998</v>
      </c>
      <c r="U16" s="18">
        <v>0.32300000000000001</v>
      </c>
      <c r="V16" s="18">
        <v>0.59899999999999998</v>
      </c>
      <c r="W16" s="18">
        <v>0.42199999999999999</v>
      </c>
      <c r="X16" s="18">
        <v>0</v>
      </c>
      <c r="Y16" s="18">
        <v>0.623</v>
      </c>
      <c r="Z16" s="18">
        <v>0.17399999999999999</v>
      </c>
      <c r="AA16" s="18">
        <v>0.53400000000000003</v>
      </c>
      <c r="AB16" s="18">
        <v>0.53800000000000003</v>
      </c>
      <c r="AC16" s="18">
        <v>0.48599999999999999</v>
      </c>
      <c r="AD16" s="18">
        <v>0.628</v>
      </c>
      <c r="AE16" s="18">
        <v>0.318</v>
      </c>
      <c r="AF16" s="18">
        <v>0.69599999999999995</v>
      </c>
      <c r="AG16" s="18">
        <v>0.41</v>
      </c>
      <c r="AH16" s="18">
        <v>0.40600000000000003</v>
      </c>
      <c r="AI16" s="18">
        <v>0.54800000000000004</v>
      </c>
      <c r="AJ16" s="18">
        <v>5.8000000000000003E-2</v>
      </c>
      <c r="AK16" s="18">
        <v>0.189</v>
      </c>
      <c r="AL16" s="18">
        <v>0.45</v>
      </c>
      <c r="AM16" s="18">
        <v>0.59299999999999997</v>
      </c>
      <c r="AN16" s="18">
        <v>0.59599999999999997</v>
      </c>
      <c r="AO16" s="18">
        <v>0.44500000000000001</v>
      </c>
      <c r="AP16" s="18">
        <v>0.61</v>
      </c>
      <c r="AQ16" s="18">
        <v>0.496</v>
      </c>
      <c r="AR16" s="18">
        <v>0.316</v>
      </c>
      <c r="AS16" s="18">
        <v>0.59</v>
      </c>
      <c r="AT16" s="18">
        <v>0.42799999999999999</v>
      </c>
      <c r="AU16" s="18">
        <v>0.45800000000000002</v>
      </c>
      <c r="AV16" s="18">
        <v>0.17699999999999999</v>
      </c>
      <c r="AW16" s="18">
        <v>0.51900000000000002</v>
      </c>
      <c r="AX16" s="18">
        <v>0.129</v>
      </c>
      <c r="AY16" s="18">
        <v>0.41399999999999998</v>
      </c>
      <c r="AZ16" s="18">
        <v>0.61899999999999999</v>
      </c>
      <c r="BA16" s="18">
        <v>0.33600000000000002</v>
      </c>
      <c r="BB16" s="18">
        <v>0.19900000000000001</v>
      </c>
      <c r="BC16" s="18">
        <v>0.41099999999999998</v>
      </c>
      <c r="BD16" s="18">
        <v>0.502</v>
      </c>
      <c r="BE16" s="18">
        <v>0.126</v>
      </c>
      <c r="BF16" s="18">
        <v>0.24199999999999999</v>
      </c>
      <c r="BG16" s="18">
        <v>0.16800000000000001</v>
      </c>
      <c r="BH16" s="18">
        <v>0.48599999999999999</v>
      </c>
      <c r="BI16" s="18">
        <v>0.44700000000000001</v>
      </c>
      <c r="BJ16" s="18">
        <v>0.56100000000000005</v>
      </c>
      <c r="BK16" s="18">
        <v>0.58899999999999997</v>
      </c>
      <c r="BL16" s="18">
        <v>7.4999999999999997E-2</v>
      </c>
      <c r="BM16" s="18">
        <v>0.68700000000000006</v>
      </c>
      <c r="BN16" s="18">
        <v>0.624</v>
      </c>
      <c r="BO16" s="18">
        <v>0.69799999999999995</v>
      </c>
      <c r="BP16" s="18">
        <v>0.38200000000000001</v>
      </c>
      <c r="BQ16" s="18">
        <v>0.67400000000000004</v>
      </c>
      <c r="BR16" s="18">
        <v>0.53100000000000003</v>
      </c>
      <c r="BS16" s="18">
        <v>0.184</v>
      </c>
      <c r="BT16" s="18">
        <v>0.23400000000000001</v>
      </c>
      <c r="BU16" s="18">
        <v>0.316</v>
      </c>
      <c r="BV16" s="18">
        <v>0.31900000000000001</v>
      </c>
      <c r="BW16" s="18">
        <v>0.501</v>
      </c>
      <c r="BX16" s="18">
        <v>0.314</v>
      </c>
      <c r="BY16" s="18">
        <v>0.69599999999999995</v>
      </c>
      <c r="BZ16" s="18">
        <v>0.25800000000000001</v>
      </c>
      <c r="CA16" s="18">
        <v>0.437</v>
      </c>
      <c r="CB16" s="18">
        <v>0.69</v>
      </c>
      <c r="CC16" s="18">
        <v>0.69</v>
      </c>
      <c r="CD16" s="18">
        <v>0.41399999999999998</v>
      </c>
      <c r="CE16" s="18">
        <v>0.26500000000000001</v>
      </c>
      <c r="CF16" s="18">
        <v>4.4999999999999998E-2</v>
      </c>
      <c r="CG16" s="18">
        <v>0.12</v>
      </c>
      <c r="CH16" s="18">
        <v>7.6999999999999999E-2</v>
      </c>
      <c r="CI16" s="18">
        <v>0.68600000000000005</v>
      </c>
      <c r="CJ16" s="18">
        <v>0.48899999999999999</v>
      </c>
      <c r="CK16" s="18">
        <v>0.59099999999999997</v>
      </c>
      <c r="CL16" s="18">
        <v>0.59399999999999997</v>
      </c>
      <c r="CM16" s="18">
        <v>0.55900000000000005</v>
      </c>
      <c r="CN16" s="18">
        <v>0.51800000000000002</v>
      </c>
    </row>
    <row r="17" spans="1:92" x14ac:dyDescent="0.25">
      <c r="A17" s="8">
        <v>13</v>
      </c>
      <c r="B17" s="8">
        <v>6</v>
      </c>
      <c r="C17" s="18">
        <v>0.56999999999999995</v>
      </c>
      <c r="D17" s="18">
        <v>0.999</v>
      </c>
      <c r="E17" s="18">
        <v>0.93799999999999994</v>
      </c>
      <c r="F17" s="18">
        <v>0.81699999999999995</v>
      </c>
      <c r="G17" s="18">
        <v>0.86599999999999999</v>
      </c>
      <c r="H17" s="18">
        <v>0.73899999999999999</v>
      </c>
      <c r="I17" s="18">
        <v>0.94699999999999995</v>
      </c>
      <c r="J17" s="18">
        <v>0.871</v>
      </c>
      <c r="K17" s="18">
        <v>0.56499999999999995</v>
      </c>
      <c r="L17" s="18">
        <v>0.46600000000000003</v>
      </c>
      <c r="M17" s="18">
        <v>0.73399999999999999</v>
      </c>
      <c r="N17" s="18">
        <v>0.88</v>
      </c>
      <c r="O17" s="18">
        <v>0.71899999999999997</v>
      </c>
      <c r="P17" s="18">
        <v>0.47199999999999998</v>
      </c>
      <c r="Q17" s="18">
        <v>0.73399999999999999</v>
      </c>
      <c r="R17" s="18">
        <v>0.93799999999999994</v>
      </c>
      <c r="S17" s="18">
        <v>0.26200000000000001</v>
      </c>
      <c r="T17" s="18">
        <v>0.77100000000000002</v>
      </c>
      <c r="U17" s="18">
        <v>0.46300000000000002</v>
      </c>
      <c r="V17" s="18">
        <v>0.86699999999999999</v>
      </c>
      <c r="W17" s="18">
        <v>0.80400000000000005</v>
      </c>
      <c r="X17" s="18">
        <v>0</v>
      </c>
      <c r="Y17" s="18">
        <v>0.90800000000000003</v>
      </c>
      <c r="Z17" s="18">
        <v>0.59299999999999997</v>
      </c>
      <c r="AA17" s="18">
        <v>0.89100000000000001</v>
      </c>
      <c r="AB17" s="18">
        <v>1.002</v>
      </c>
      <c r="AC17" s="18">
        <v>1.002</v>
      </c>
      <c r="AD17" s="18">
        <v>0.94599999999999995</v>
      </c>
      <c r="AE17" s="18">
        <v>0.40200000000000002</v>
      </c>
      <c r="AF17" s="18">
        <v>0.84899999999999998</v>
      </c>
      <c r="AG17" s="18">
        <v>0.56899999999999995</v>
      </c>
      <c r="AH17" s="18">
        <v>0.48099999999999998</v>
      </c>
      <c r="AI17" s="18">
        <v>0.89600000000000002</v>
      </c>
      <c r="AJ17" s="18">
        <v>0.27100000000000002</v>
      </c>
      <c r="AK17" s="18">
        <v>0.46899999999999997</v>
      </c>
      <c r="AL17" s="18">
        <v>0.54200000000000004</v>
      </c>
      <c r="AM17" s="18">
        <v>0.95099999999999996</v>
      </c>
      <c r="AN17" s="18">
        <v>0.81799999999999995</v>
      </c>
      <c r="AO17" s="18">
        <v>0.86699999999999999</v>
      </c>
      <c r="AP17" s="18">
        <v>0.82</v>
      </c>
      <c r="AQ17" s="18">
        <v>0.45100000000000001</v>
      </c>
      <c r="AR17" s="18">
        <v>0.39600000000000002</v>
      </c>
      <c r="AS17" s="18">
        <v>0.85799999999999998</v>
      </c>
      <c r="AT17" s="18">
        <v>0.45500000000000002</v>
      </c>
      <c r="AU17" s="18">
        <v>0.92300000000000004</v>
      </c>
      <c r="AV17" s="18">
        <v>0.48299999999999998</v>
      </c>
      <c r="AW17" s="18">
        <v>0.66800000000000004</v>
      </c>
      <c r="AX17" s="18">
        <v>0.311</v>
      </c>
      <c r="AY17" s="18">
        <v>0.443</v>
      </c>
      <c r="AZ17" s="18">
        <v>0.89</v>
      </c>
      <c r="BA17" s="18">
        <v>0.42699999999999999</v>
      </c>
      <c r="BB17" s="18">
        <v>0.60499999999999998</v>
      </c>
      <c r="BC17" s="18">
        <v>0.60199999999999998</v>
      </c>
      <c r="BD17" s="18">
        <v>0.66200000000000003</v>
      </c>
      <c r="BE17" s="18">
        <v>0.40699999999999997</v>
      </c>
      <c r="BF17" s="18">
        <v>0.54900000000000004</v>
      </c>
      <c r="BG17" s="18">
        <v>0.31</v>
      </c>
      <c r="BH17" s="18">
        <v>0.95599999999999996</v>
      </c>
      <c r="BI17" s="18">
        <v>0.56899999999999995</v>
      </c>
      <c r="BJ17" s="18">
        <v>0.89400000000000002</v>
      </c>
      <c r="BK17" s="18">
        <v>0.66100000000000003</v>
      </c>
      <c r="BL17" s="18">
        <v>0.34300000000000003</v>
      </c>
      <c r="BM17" s="18">
        <v>0.99299999999999999</v>
      </c>
      <c r="BN17" s="18">
        <v>0.79500000000000004</v>
      </c>
      <c r="BO17" s="18">
        <v>0.85699999999999998</v>
      </c>
      <c r="BP17" s="18">
        <v>0.73399999999999999</v>
      </c>
      <c r="BQ17" s="18">
        <v>0.79100000000000004</v>
      </c>
      <c r="BR17" s="18">
        <v>0.65900000000000003</v>
      </c>
      <c r="BS17" s="18">
        <v>0.32400000000000001</v>
      </c>
      <c r="BT17" s="18">
        <v>0.35699999999999998</v>
      </c>
      <c r="BU17" s="18">
        <v>0.97699999999999998</v>
      </c>
      <c r="BV17" s="18">
        <v>0.47199999999999998</v>
      </c>
      <c r="BW17" s="18">
        <v>0.73099999999999998</v>
      </c>
      <c r="BX17" s="18">
        <v>0.33400000000000002</v>
      </c>
      <c r="BY17" s="18">
        <v>0.84399999999999997</v>
      </c>
      <c r="BZ17" s="18">
        <v>0.48599999999999999</v>
      </c>
      <c r="CA17" s="18">
        <v>0.53200000000000003</v>
      </c>
      <c r="CB17" s="18">
        <v>0.92600000000000005</v>
      </c>
      <c r="CC17" s="18">
        <v>0.84799999999999998</v>
      </c>
      <c r="CD17" s="18">
        <v>0.45700000000000002</v>
      </c>
      <c r="CE17" s="18">
        <v>0.60099999999999998</v>
      </c>
      <c r="CF17" s="18">
        <v>0.219</v>
      </c>
      <c r="CG17" s="18">
        <v>0.20300000000000001</v>
      </c>
      <c r="CH17" s="18">
        <v>0.28000000000000003</v>
      </c>
      <c r="CI17" s="18">
        <v>0.876</v>
      </c>
      <c r="CJ17" s="18">
        <v>0.71399999999999997</v>
      </c>
      <c r="CK17" s="18">
        <v>0.81100000000000005</v>
      </c>
      <c r="CL17" s="18">
        <v>1.006</v>
      </c>
      <c r="CM17" s="18">
        <v>0.95799999999999996</v>
      </c>
      <c r="CN17" s="18">
        <v>0.95799999999999996</v>
      </c>
    </row>
    <row r="18" spans="1:92" x14ac:dyDescent="0.25">
      <c r="A18" s="8">
        <v>14</v>
      </c>
      <c r="B18" s="8">
        <v>6.5</v>
      </c>
      <c r="C18" s="18">
        <v>0</v>
      </c>
      <c r="D18" s="18">
        <v>1.3089999999999999</v>
      </c>
      <c r="E18" s="18">
        <v>1.304</v>
      </c>
      <c r="F18" s="18">
        <v>1.3120000000000001</v>
      </c>
      <c r="G18" s="18">
        <v>1.101</v>
      </c>
      <c r="H18" s="18">
        <v>1.034</v>
      </c>
      <c r="I18" s="18">
        <v>1.2749999999999999</v>
      </c>
      <c r="J18" s="18">
        <v>0.93899999999999995</v>
      </c>
      <c r="K18" s="18">
        <v>1.0209999999999999</v>
      </c>
      <c r="L18" s="18">
        <v>0.54600000000000004</v>
      </c>
      <c r="M18" s="18">
        <v>0.96599999999999997</v>
      </c>
      <c r="N18" s="18">
        <v>1.3109999999999999</v>
      </c>
      <c r="O18" s="18">
        <v>0.95099999999999996</v>
      </c>
      <c r="P18" s="18">
        <v>0.53400000000000003</v>
      </c>
      <c r="Q18" s="18">
        <v>0.81599999999999995</v>
      </c>
      <c r="R18" s="18">
        <v>1.282</v>
      </c>
      <c r="S18" s="18">
        <v>0.29899999999999999</v>
      </c>
      <c r="T18" s="18">
        <v>0.94199999999999995</v>
      </c>
      <c r="U18" s="18">
        <v>0.56599999999999995</v>
      </c>
      <c r="V18" s="18">
        <v>1.1379999999999999</v>
      </c>
      <c r="W18" s="18">
        <v>1.1319999999999999</v>
      </c>
      <c r="X18" s="18">
        <v>0.376</v>
      </c>
      <c r="Y18" s="18">
        <v>1.1910000000000001</v>
      </c>
      <c r="Z18" s="18">
        <v>0.71199999999999997</v>
      </c>
      <c r="AA18" s="18">
        <v>1.304</v>
      </c>
      <c r="AB18" s="18">
        <v>1.1679999999999999</v>
      </c>
      <c r="AC18" s="18">
        <v>1.2450000000000001</v>
      </c>
      <c r="AD18" s="18">
        <v>1.31</v>
      </c>
      <c r="AE18" s="18">
        <v>9.1999999999999998E-2</v>
      </c>
      <c r="AF18" s="18">
        <v>1.3120000000000001</v>
      </c>
      <c r="AG18" s="18">
        <v>0.76300000000000001</v>
      </c>
      <c r="AH18" s="18">
        <v>0.751</v>
      </c>
      <c r="AI18" s="18">
        <v>1.145</v>
      </c>
      <c r="AJ18" s="18">
        <v>0.40899999999999997</v>
      </c>
      <c r="AK18" s="18">
        <v>0.439</v>
      </c>
      <c r="AL18" s="18">
        <v>0.92300000000000004</v>
      </c>
      <c r="AM18" s="18">
        <v>1.2330000000000001</v>
      </c>
      <c r="AN18" s="18">
        <v>1.0740000000000001</v>
      </c>
      <c r="AO18" s="18">
        <v>1.0680000000000001</v>
      </c>
      <c r="AP18" s="18">
        <v>1.3089999999999999</v>
      </c>
      <c r="AQ18" s="18">
        <v>0.95799999999999996</v>
      </c>
      <c r="AR18" s="18">
        <v>0.499</v>
      </c>
      <c r="AS18" s="18">
        <v>0.97899999999999998</v>
      </c>
      <c r="AT18" s="18">
        <v>0.81299999999999994</v>
      </c>
      <c r="AU18" s="18">
        <v>1.214</v>
      </c>
      <c r="AV18" s="18">
        <v>0.436</v>
      </c>
      <c r="AW18" s="18">
        <v>0.98099999999999998</v>
      </c>
      <c r="AX18" s="18">
        <v>0.37</v>
      </c>
      <c r="AY18" s="18">
        <v>0.69799999999999995</v>
      </c>
      <c r="AZ18" s="18">
        <v>1.1359999999999999</v>
      </c>
      <c r="BA18" s="18">
        <v>0.79700000000000004</v>
      </c>
      <c r="BB18" s="18">
        <v>0.69099999999999995</v>
      </c>
      <c r="BC18" s="18">
        <v>0.79600000000000004</v>
      </c>
      <c r="BD18" s="18">
        <v>0.94499999999999995</v>
      </c>
      <c r="BE18" s="18">
        <v>0.51500000000000001</v>
      </c>
      <c r="BF18" s="18">
        <v>0.79900000000000004</v>
      </c>
      <c r="BG18" s="18">
        <v>0.34399999999999997</v>
      </c>
      <c r="BH18" s="18">
        <v>1.304</v>
      </c>
      <c r="BI18" s="18">
        <v>0.96</v>
      </c>
      <c r="BJ18" s="18">
        <v>1.3080000000000001</v>
      </c>
      <c r="BK18" s="18">
        <v>1.0880000000000001</v>
      </c>
      <c r="BL18" s="18">
        <v>0.28199999999999997</v>
      </c>
      <c r="BM18" s="18">
        <v>1.173</v>
      </c>
      <c r="BN18" s="18">
        <v>1.1559999999999999</v>
      </c>
      <c r="BO18" s="18">
        <v>1.3140000000000001</v>
      </c>
      <c r="BP18" s="18">
        <v>0.85899999999999999</v>
      </c>
      <c r="BQ18" s="18">
        <v>1.3</v>
      </c>
      <c r="BR18" s="18">
        <v>1.079</v>
      </c>
      <c r="BS18" s="18">
        <v>0.46500000000000002</v>
      </c>
      <c r="BT18" s="18">
        <v>0.63300000000000001</v>
      </c>
      <c r="BU18" s="18">
        <v>1.1619999999999999</v>
      </c>
      <c r="BV18" s="18">
        <v>0.627</v>
      </c>
      <c r="BW18" s="18">
        <v>0.96299999999999997</v>
      </c>
      <c r="BX18" s="18">
        <v>0</v>
      </c>
      <c r="BY18" s="18">
        <v>1.2689999999999999</v>
      </c>
      <c r="BZ18" s="18">
        <v>0.56599999999999995</v>
      </c>
      <c r="CA18" s="18">
        <v>0.97799999999999998</v>
      </c>
      <c r="CB18" s="18">
        <v>0.92900000000000005</v>
      </c>
      <c r="CC18" s="18">
        <v>1.2989999999999999</v>
      </c>
      <c r="CD18" s="18">
        <v>0.78400000000000003</v>
      </c>
      <c r="CE18" s="18">
        <v>0.47599999999999998</v>
      </c>
      <c r="CF18" s="18">
        <v>0.45800000000000002</v>
      </c>
      <c r="CG18" s="18">
        <v>0.33800000000000002</v>
      </c>
      <c r="CH18" s="18">
        <v>0.315</v>
      </c>
      <c r="CI18" s="18">
        <v>1.1759999999999999</v>
      </c>
      <c r="CJ18" s="18">
        <v>0.42899999999999999</v>
      </c>
      <c r="CK18" s="18">
        <v>1.099</v>
      </c>
      <c r="CL18" s="18">
        <v>1.3280000000000001</v>
      </c>
      <c r="CM18" s="18">
        <v>1.3069999999999999</v>
      </c>
      <c r="CN18" s="18">
        <v>1.2949999999999999</v>
      </c>
    </row>
    <row r="19" spans="1:92" x14ac:dyDescent="0.25">
      <c r="A19" s="8">
        <v>15</v>
      </c>
      <c r="B19" s="8">
        <v>7</v>
      </c>
      <c r="C19" s="18">
        <v>0.95599999999999996</v>
      </c>
      <c r="D19" s="18">
        <v>1.56</v>
      </c>
      <c r="E19" s="18">
        <v>1.524</v>
      </c>
      <c r="F19" s="18">
        <v>1.49</v>
      </c>
      <c r="G19" s="18">
        <v>1.393</v>
      </c>
      <c r="H19" s="18">
        <v>1.4</v>
      </c>
      <c r="I19" s="18">
        <v>1.621</v>
      </c>
      <c r="J19" s="18">
        <v>1.3009999999999999</v>
      </c>
      <c r="K19" s="18">
        <v>1.1890000000000001</v>
      </c>
      <c r="L19" s="18">
        <v>0.55100000000000005</v>
      </c>
      <c r="M19" s="18">
        <v>1.1970000000000001</v>
      </c>
      <c r="N19" s="18">
        <v>1.581</v>
      </c>
      <c r="O19" s="18">
        <v>0.97499999999999998</v>
      </c>
      <c r="P19" s="18">
        <v>0.66300000000000003</v>
      </c>
      <c r="Q19" s="18">
        <v>0.86299999999999999</v>
      </c>
      <c r="R19" s="18">
        <v>1.4430000000000001</v>
      </c>
      <c r="S19" s="18">
        <v>0.52500000000000002</v>
      </c>
      <c r="T19" s="18">
        <v>1.34</v>
      </c>
      <c r="U19" s="18">
        <v>0.746</v>
      </c>
      <c r="V19" s="18">
        <v>1.3540000000000001</v>
      </c>
      <c r="W19" s="18">
        <v>1.2450000000000001</v>
      </c>
      <c r="X19" s="18">
        <v>1.147</v>
      </c>
      <c r="Y19" s="18">
        <v>1.56</v>
      </c>
      <c r="Z19" s="18">
        <v>0.91200000000000003</v>
      </c>
      <c r="AA19" s="18">
        <v>1.3660000000000001</v>
      </c>
      <c r="AB19" s="18">
        <v>1.6060000000000001</v>
      </c>
      <c r="AC19" s="18">
        <v>1.454</v>
      </c>
      <c r="AD19" s="18">
        <v>1.57</v>
      </c>
      <c r="AE19" s="18">
        <v>0</v>
      </c>
      <c r="AF19" s="18">
        <v>1.5269999999999999</v>
      </c>
      <c r="AG19" s="18">
        <v>0.98699999999999999</v>
      </c>
      <c r="AH19" s="18">
        <v>0.82099999999999995</v>
      </c>
      <c r="AI19" s="18">
        <v>1.361</v>
      </c>
      <c r="AJ19" s="18">
        <v>0.32600000000000001</v>
      </c>
      <c r="AK19" s="18">
        <v>0</v>
      </c>
      <c r="AL19" s="18">
        <v>1.073</v>
      </c>
      <c r="AM19" s="18">
        <v>1.367</v>
      </c>
      <c r="AN19" s="18">
        <v>1.405</v>
      </c>
      <c r="AO19" s="18">
        <v>1.3240000000000001</v>
      </c>
      <c r="AP19" s="18">
        <v>1.042</v>
      </c>
      <c r="AQ19" s="18">
        <v>0.96099999999999997</v>
      </c>
      <c r="AR19" s="18">
        <v>0.69299999999999995</v>
      </c>
      <c r="AS19" s="18">
        <v>1.399</v>
      </c>
      <c r="AT19" s="18">
        <v>0.998</v>
      </c>
      <c r="AU19" s="18">
        <v>1.407</v>
      </c>
      <c r="AV19" s="18">
        <v>0.79200000000000004</v>
      </c>
      <c r="AW19" s="18">
        <v>1.131</v>
      </c>
      <c r="AX19" s="18">
        <v>0.44900000000000001</v>
      </c>
      <c r="AY19" s="18">
        <v>0.96699999999999997</v>
      </c>
      <c r="AZ19" s="18">
        <v>1.524</v>
      </c>
      <c r="BA19" s="18">
        <v>0.91400000000000003</v>
      </c>
      <c r="BB19" s="18">
        <v>0.99099999999999999</v>
      </c>
      <c r="BC19" s="18">
        <v>0.98799999999999999</v>
      </c>
      <c r="BD19" s="18">
        <v>1.1950000000000001</v>
      </c>
      <c r="BE19" s="18">
        <v>0.58699999999999997</v>
      </c>
      <c r="BF19" s="18">
        <v>0.78</v>
      </c>
      <c r="BG19" s="18">
        <v>0.437</v>
      </c>
      <c r="BH19" s="18">
        <v>1.429</v>
      </c>
      <c r="BI19" s="18">
        <v>0.998</v>
      </c>
      <c r="BJ19" s="18">
        <v>0.53600000000000003</v>
      </c>
      <c r="BK19" s="18">
        <v>1.4139999999999999</v>
      </c>
      <c r="BL19" s="18">
        <v>0.57499999999999996</v>
      </c>
      <c r="BM19" s="18">
        <v>1.383</v>
      </c>
      <c r="BN19" s="18">
        <v>1.4790000000000001</v>
      </c>
      <c r="BO19" s="18">
        <v>1.6020000000000001</v>
      </c>
      <c r="BP19" s="18">
        <v>1.105</v>
      </c>
      <c r="BQ19" s="18">
        <v>1.5720000000000001</v>
      </c>
      <c r="BR19" s="18">
        <v>1.347</v>
      </c>
      <c r="BS19" s="18">
        <v>0.50600000000000001</v>
      </c>
      <c r="BT19" s="18">
        <v>0.68500000000000005</v>
      </c>
      <c r="BU19" s="18">
        <v>0.627</v>
      </c>
      <c r="BV19" s="18">
        <v>0.72499999999999998</v>
      </c>
      <c r="BW19" s="18">
        <v>0.97399999999999998</v>
      </c>
      <c r="BX19" s="18">
        <v>0.60299999999999998</v>
      </c>
      <c r="BY19" s="18">
        <v>1.276</v>
      </c>
      <c r="BZ19" s="18">
        <v>0.79500000000000004</v>
      </c>
      <c r="CA19" s="18">
        <v>1.1279999999999999</v>
      </c>
      <c r="CB19" s="18">
        <v>1.395</v>
      </c>
      <c r="CC19" s="18">
        <v>1.6140000000000001</v>
      </c>
      <c r="CD19" s="18">
        <v>0.93899999999999995</v>
      </c>
      <c r="CE19" s="18">
        <v>0.98699999999999999</v>
      </c>
      <c r="CF19" s="18">
        <v>0.622</v>
      </c>
      <c r="CG19" s="18">
        <v>0.47399999999999998</v>
      </c>
      <c r="CH19" s="18">
        <v>0.39500000000000002</v>
      </c>
      <c r="CI19" s="18">
        <v>1.59</v>
      </c>
      <c r="CJ19" s="18">
        <v>1.2</v>
      </c>
      <c r="CK19" s="18">
        <v>1.05</v>
      </c>
      <c r="CL19" s="18">
        <v>1.6359999999999999</v>
      </c>
      <c r="CM19" s="18">
        <v>1.5449999999999999</v>
      </c>
      <c r="CN19" s="18">
        <v>0.71599999999999997</v>
      </c>
    </row>
    <row r="20" spans="1:92" x14ac:dyDescent="0.25">
      <c r="A20" s="8">
        <v>16</v>
      </c>
      <c r="B20" s="8">
        <v>7.5</v>
      </c>
      <c r="C20" s="18">
        <v>5.8999999999999997E-2</v>
      </c>
      <c r="D20" s="18">
        <v>0.58699999999999997</v>
      </c>
      <c r="E20" s="18">
        <v>1.4079999999999999</v>
      </c>
      <c r="F20" s="18">
        <v>1.5249999999999999</v>
      </c>
      <c r="G20" s="18">
        <v>1.7170000000000001</v>
      </c>
      <c r="H20" s="18">
        <v>1.365</v>
      </c>
      <c r="I20" s="18">
        <v>1.07</v>
      </c>
      <c r="J20" s="18">
        <v>1.5780000000000001</v>
      </c>
      <c r="K20" s="18">
        <v>0</v>
      </c>
      <c r="L20" s="18">
        <v>0.755</v>
      </c>
      <c r="M20" s="18">
        <v>1.3720000000000001</v>
      </c>
      <c r="N20" s="18">
        <v>1.6870000000000001</v>
      </c>
      <c r="O20" s="18">
        <v>1.4139999999999999</v>
      </c>
      <c r="P20" s="18">
        <v>0.93100000000000005</v>
      </c>
      <c r="Q20" s="18">
        <v>1.429</v>
      </c>
      <c r="R20" s="18">
        <v>1.9119999999999999</v>
      </c>
      <c r="S20" s="18">
        <v>0.52100000000000002</v>
      </c>
      <c r="T20" s="18">
        <v>1.6140000000000001</v>
      </c>
      <c r="U20" s="18">
        <v>0.9</v>
      </c>
      <c r="V20" s="18">
        <v>1.6240000000000001</v>
      </c>
      <c r="W20" s="18">
        <v>1.601</v>
      </c>
      <c r="X20" s="18">
        <v>1.395</v>
      </c>
      <c r="Y20" s="18">
        <v>1.7609999999999999</v>
      </c>
      <c r="Z20" s="18">
        <v>1.075</v>
      </c>
      <c r="AA20" s="18">
        <v>1.8420000000000001</v>
      </c>
      <c r="AB20" s="18">
        <v>1.9039999999999999</v>
      </c>
      <c r="AC20" s="18">
        <v>1.871</v>
      </c>
      <c r="AD20" s="18">
        <v>1.1120000000000001</v>
      </c>
      <c r="AE20" s="18">
        <v>0.78500000000000003</v>
      </c>
      <c r="AF20" s="18">
        <v>1.403</v>
      </c>
      <c r="AG20" s="18">
        <v>1.117</v>
      </c>
      <c r="AH20" s="18">
        <v>1.141</v>
      </c>
      <c r="AI20" s="18">
        <v>1.74</v>
      </c>
      <c r="AJ20" s="18">
        <v>0.55700000000000005</v>
      </c>
      <c r="AK20" s="18">
        <v>1.2E-2</v>
      </c>
      <c r="AL20" s="18">
        <v>1.2609999999999999</v>
      </c>
      <c r="AM20" s="18">
        <v>1.5009999999999999</v>
      </c>
      <c r="AN20" s="18">
        <v>1.5669999999999999</v>
      </c>
      <c r="AO20" s="18">
        <v>1.673</v>
      </c>
      <c r="AP20" s="18">
        <v>0</v>
      </c>
      <c r="AQ20" s="18">
        <v>1.375</v>
      </c>
      <c r="AR20" s="18">
        <v>0.78600000000000003</v>
      </c>
      <c r="AS20" s="18">
        <v>1.526</v>
      </c>
      <c r="AT20" s="18">
        <v>1.0189999999999999</v>
      </c>
      <c r="AU20" s="18">
        <v>1.742</v>
      </c>
      <c r="AV20" s="18">
        <v>0.86899999999999999</v>
      </c>
      <c r="AW20" s="18">
        <v>1.3340000000000001</v>
      </c>
      <c r="AX20" s="18">
        <v>0.629</v>
      </c>
      <c r="AY20" s="18">
        <v>0.94599999999999995</v>
      </c>
      <c r="AZ20" s="18">
        <v>1.49</v>
      </c>
      <c r="BA20" s="18">
        <v>1.0920000000000001</v>
      </c>
      <c r="BB20" s="18">
        <v>1.153</v>
      </c>
      <c r="BC20" s="18">
        <v>1.181</v>
      </c>
      <c r="BD20" s="18">
        <v>1.427</v>
      </c>
      <c r="BE20" s="18">
        <v>0.84399999999999997</v>
      </c>
      <c r="BF20" s="18">
        <v>1.1839999999999999</v>
      </c>
      <c r="BG20" s="18">
        <v>0.64800000000000002</v>
      </c>
      <c r="BH20" s="18">
        <v>1.863</v>
      </c>
      <c r="BI20" s="18">
        <v>1.431</v>
      </c>
      <c r="BJ20" s="18">
        <v>1.69</v>
      </c>
      <c r="BK20" s="18">
        <v>1.5740000000000001</v>
      </c>
      <c r="BL20" s="18">
        <v>0.60199999999999998</v>
      </c>
      <c r="BM20" s="18">
        <v>1.792</v>
      </c>
      <c r="BN20" s="18">
        <v>1.6739999999999999</v>
      </c>
      <c r="BO20" s="18">
        <v>1.252</v>
      </c>
      <c r="BP20" s="18">
        <v>1.351</v>
      </c>
      <c r="BQ20" s="18">
        <v>1.7470000000000001</v>
      </c>
      <c r="BR20" s="18">
        <v>1.5349999999999999</v>
      </c>
      <c r="BS20" s="18">
        <v>0.69599999999999995</v>
      </c>
      <c r="BT20" s="18">
        <v>0.85799999999999998</v>
      </c>
      <c r="BU20" s="18">
        <v>0.28799999999999998</v>
      </c>
      <c r="BV20" s="18">
        <v>0.93500000000000005</v>
      </c>
      <c r="BW20" s="18">
        <v>1.4259999999999999</v>
      </c>
      <c r="BX20" s="18">
        <v>0.80600000000000005</v>
      </c>
      <c r="BY20" s="18">
        <v>1.657</v>
      </c>
      <c r="BZ20" s="18">
        <v>0.89900000000000002</v>
      </c>
      <c r="CA20" s="18">
        <v>1.204</v>
      </c>
      <c r="CB20" s="18">
        <v>1.4970000000000001</v>
      </c>
      <c r="CC20" s="18">
        <v>1.5980000000000001</v>
      </c>
      <c r="CD20" s="18">
        <v>0.85699999999999998</v>
      </c>
      <c r="CE20" s="18">
        <v>1.0349999999999999</v>
      </c>
      <c r="CF20" s="18">
        <v>0.66300000000000003</v>
      </c>
      <c r="CG20" s="18">
        <v>0.65400000000000003</v>
      </c>
      <c r="CH20" s="18">
        <v>0.69499999999999995</v>
      </c>
      <c r="CI20" s="18">
        <v>1.004</v>
      </c>
      <c r="CJ20" s="18">
        <v>1.2589999999999999</v>
      </c>
      <c r="CK20" s="18">
        <v>1.375</v>
      </c>
      <c r="CL20" s="18">
        <v>0.92600000000000005</v>
      </c>
      <c r="CM20" s="18">
        <v>0.54200000000000004</v>
      </c>
      <c r="CN20" s="18">
        <v>1.7749999999999999</v>
      </c>
    </row>
    <row r="21" spans="1:92" x14ac:dyDescent="0.25">
      <c r="A21" s="8">
        <v>17</v>
      </c>
      <c r="B21" s="8">
        <v>8</v>
      </c>
      <c r="C21" s="18">
        <v>1.153</v>
      </c>
      <c r="D21" s="18">
        <v>0</v>
      </c>
      <c r="E21" s="18">
        <v>0</v>
      </c>
      <c r="F21" s="18">
        <v>0</v>
      </c>
      <c r="G21" s="18">
        <v>1.823</v>
      </c>
      <c r="H21" s="18">
        <v>6.9000000000000006E-2</v>
      </c>
      <c r="I21" s="18">
        <v>0</v>
      </c>
      <c r="J21" s="18">
        <v>1.321</v>
      </c>
      <c r="K21" s="18">
        <v>1.5209999999999999</v>
      </c>
      <c r="L21" s="18">
        <v>1.0589999999999999</v>
      </c>
      <c r="M21" s="18">
        <v>0.73899999999999999</v>
      </c>
      <c r="N21" s="18">
        <v>0.92800000000000005</v>
      </c>
      <c r="O21" s="18">
        <v>0.78600000000000003</v>
      </c>
      <c r="P21" s="18">
        <v>0.94299999999999995</v>
      </c>
      <c r="Q21" s="18">
        <v>1.494</v>
      </c>
      <c r="R21" s="18">
        <v>1.0409999999999999</v>
      </c>
      <c r="S21" s="18">
        <v>0.74399999999999999</v>
      </c>
      <c r="T21" s="18">
        <v>1.304</v>
      </c>
      <c r="U21" s="18">
        <v>1.0760000000000001</v>
      </c>
      <c r="V21" s="18">
        <v>0.14899999999999999</v>
      </c>
      <c r="W21" s="18">
        <v>1.415</v>
      </c>
      <c r="X21" s="18">
        <v>1.3460000000000001</v>
      </c>
      <c r="Y21" s="18">
        <v>0.192</v>
      </c>
      <c r="Z21" s="18">
        <v>1.2170000000000001</v>
      </c>
      <c r="AA21" s="18">
        <v>1.139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1.109</v>
      </c>
      <c r="AH21" s="18">
        <v>1.2549999999999999</v>
      </c>
      <c r="AI21" s="18">
        <v>1.03</v>
      </c>
      <c r="AJ21" s="18">
        <v>2E-3</v>
      </c>
      <c r="AK21" s="18">
        <v>0</v>
      </c>
      <c r="AL21" s="18">
        <v>1.258</v>
      </c>
      <c r="AM21" s="18">
        <v>0.37</v>
      </c>
      <c r="AN21" s="18">
        <v>0</v>
      </c>
      <c r="AO21" s="18">
        <v>0</v>
      </c>
      <c r="AP21" s="18">
        <v>0</v>
      </c>
      <c r="AQ21" s="18">
        <v>1.56</v>
      </c>
      <c r="AR21" s="18">
        <v>0.97299999999999998</v>
      </c>
      <c r="AS21" s="18">
        <v>0.65900000000000003</v>
      </c>
      <c r="AT21" s="18">
        <v>1.3720000000000001</v>
      </c>
      <c r="AU21" s="18">
        <v>1.871</v>
      </c>
      <c r="AV21" s="18">
        <v>0.96699999999999997</v>
      </c>
      <c r="AW21" s="18">
        <v>1.36</v>
      </c>
      <c r="AX21" s="18">
        <v>0.68100000000000005</v>
      </c>
      <c r="AY21" s="18">
        <v>1.365</v>
      </c>
      <c r="AZ21" s="18">
        <v>0.69499999999999995</v>
      </c>
      <c r="BA21" s="18">
        <v>1.2549999999999999</v>
      </c>
      <c r="BB21" s="18">
        <v>1.288</v>
      </c>
      <c r="BC21" s="18">
        <v>1.3620000000000001</v>
      </c>
      <c r="BD21" s="18">
        <v>1.5269999999999999</v>
      </c>
      <c r="BE21" s="18">
        <v>0.996</v>
      </c>
      <c r="BF21" s="18">
        <v>0.33200000000000002</v>
      </c>
      <c r="BG21" s="18">
        <v>0.67500000000000004</v>
      </c>
      <c r="BH21" s="18">
        <v>1.17</v>
      </c>
      <c r="BI21" s="18">
        <v>1.488</v>
      </c>
      <c r="BJ21" s="18">
        <v>1.3959999999999999</v>
      </c>
      <c r="BK21" s="18">
        <v>1.0009999999999999</v>
      </c>
      <c r="BL21" s="18">
        <v>0.70099999999999996</v>
      </c>
      <c r="BM21" s="18">
        <v>0.20300000000000001</v>
      </c>
      <c r="BN21" s="18">
        <v>1.6040000000000001</v>
      </c>
      <c r="BO21" s="18">
        <v>0</v>
      </c>
      <c r="BP21" s="18">
        <v>1.462</v>
      </c>
      <c r="BQ21" s="18">
        <v>0.80900000000000005</v>
      </c>
      <c r="BR21" s="18">
        <v>1.704</v>
      </c>
      <c r="BS21" s="18">
        <v>0.73099999999999998</v>
      </c>
      <c r="BT21" s="18">
        <v>0.91100000000000003</v>
      </c>
      <c r="BU21" s="18">
        <v>0.83199999999999996</v>
      </c>
      <c r="BV21" s="18">
        <v>1.08</v>
      </c>
      <c r="BW21" s="18">
        <v>1.54</v>
      </c>
      <c r="BX21" s="18">
        <v>1.024</v>
      </c>
      <c r="BY21" s="18">
        <v>0.67500000000000004</v>
      </c>
      <c r="BZ21" s="18">
        <v>1.069</v>
      </c>
      <c r="CA21" s="18">
        <v>1.6519999999999999</v>
      </c>
      <c r="CB21" s="18">
        <v>0.85199999999999998</v>
      </c>
      <c r="CC21" s="18">
        <v>0.05</v>
      </c>
      <c r="CD21" s="18">
        <v>1.175</v>
      </c>
      <c r="CE21" s="18">
        <v>1.1879999999999999</v>
      </c>
      <c r="CF21" s="18">
        <v>1.0589999999999999</v>
      </c>
      <c r="CG21" s="18">
        <v>0.56699999999999995</v>
      </c>
      <c r="CH21" s="18">
        <v>0.51700000000000002</v>
      </c>
      <c r="CI21" s="18">
        <v>2.1560000000000001</v>
      </c>
      <c r="CJ21" s="18">
        <v>1.5049999999999999</v>
      </c>
      <c r="CK21" s="18">
        <v>0.35899999999999999</v>
      </c>
      <c r="CL21" s="18">
        <v>0</v>
      </c>
      <c r="CM21" s="18">
        <v>0</v>
      </c>
      <c r="CN21" s="18">
        <v>1.1479999999999999</v>
      </c>
    </row>
    <row r="22" spans="1:92" x14ac:dyDescent="0.25">
      <c r="A22" s="8">
        <v>18</v>
      </c>
      <c r="B22" s="8">
        <v>8.5</v>
      </c>
      <c r="C22" s="18">
        <v>1.575</v>
      </c>
      <c r="D22" s="18">
        <v>0</v>
      </c>
      <c r="E22" s="18">
        <v>0</v>
      </c>
      <c r="F22" s="18">
        <v>0</v>
      </c>
      <c r="G22" s="18">
        <v>0</v>
      </c>
      <c r="H22" s="18">
        <v>1.883</v>
      </c>
      <c r="I22" s="18">
        <v>0</v>
      </c>
      <c r="J22" s="18">
        <v>0</v>
      </c>
      <c r="K22" s="18">
        <v>1.863</v>
      </c>
      <c r="L22" s="18">
        <v>0.92400000000000004</v>
      </c>
      <c r="M22" s="18">
        <v>0</v>
      </c>
      <c r="N22" s="18">
        <v>0</v>
      </c>
      <c r="O22" s="18">
        <v>0</v>
      </c>
      <c r="P22" s="18">
        <v>1.111</v>
      </c>
      <c r="Q22" s="18">
        <v>0.76400000000000001</v>
      </c>
      <c r="R22" s="18">
        <v>0</v>
      </c>
      <c r="S22" s="18">
        <v>0.83499999999999996</v>
      </c>
      <c r="T22" s="18">
        <v>0</v>
      </c>
      <c r="U22" s="18">
        <v>1.151</v>
      </c>
      <c r="V22" s="18">
        <v>0</v>
      </c>
      <c r="W22" s="18">
        <v>0</v>
      </c>
      <c r="X22" s="18">
        <v>1.857</v>
      </c>
      <c r="Y22" s="18">
        <v>0</v>
      </c>
      <c r="Z22" s="18">
        <v>1.5369999999999999</v>
      </c>
      <c r="AA22" s="18">
        <v>0</v>
      </c>
      <c r="AB22" s="18">
        <v>0</v>
      </c>
      <c r="AC22" s="18">
        <v>0</v>
      </c>
      <c r="AD22" s="18">
        <v>0</v>
      </c>
      <c r="AE22" s="18">
        <v>0.57899999999999996</v>
      </c>
      <c r="AF22" s="18">
        <v>0</v>
      </c>
      <c r="AG22" s="18">
        <v>0.89700000000000002</v>
      </c>
      <c r="AH22" s="18">
        <v>1.476</v>
      </c>
      <c r="AI22" s="18">
        <v>0</v>
      </c>
      <c r="AJ22" s="18">
        <v>0.81299999999999994</v>
      </c>
      <c r="AK22" s="18">
        <v>0</v>
      </c>
      <c r="AL22" s="18">
        <v>1.24</v>
      </c>
      <c r="AM22" s="18">
        <v>0</v>
      </c>
      <c r="AN22" s="18">
        <v>0</v>
      </c>
      <c r="AO22" s="18">
        <v>0</v>
      </c>
      <c r="AP22" s="18">
        <v>0</v>
      </c>
      <c r="AQ22" s="18">
        <v>1.004</v>
      </c>
      <c r="AR22" s="18">
        <v>1.2150000000000001</v>
      </c>
      <c r="AS22" s="18">
        <v>0</v>
      </c>
      <c r="AT22" s="18">
        <v>0.92400000000000004</v>
      </c>
      <c r="AU22" s="18">
        <v>0</v>
      </c>
      <c r="AV22" s="18">
        <v>1.155</v>
      </c>
      <c r="AW22" s="18">
        <v>1.597</v>
      </c>
      <c r="AX22" s="18">
        <v>0.81200000000000006</v>
      </c>
      <c r="AY22" s="18">
        <v>1.373</v>
      </c>
      <c r="AZ22" s="18">
        <v>0</v>
      </c>
      <c r="BA22" s="18">
        <v>1.39</v>
      </c>
      <c r="BB22" s="18">
        <v>1.0509999999999999</v>
      </c>
      <c r="BC22" s="18">
        <v>0.13800000000000001</v>
      </c>
      <c r="BD22" s="18">
        <v>0.32800000000000001</v>
      </c>
      <c r="BE22" s="18">
        <v>1.2010000000000001</v>
      </c>
      <c r="BF22" s="18">
        <v>1.407</v>
      </c>
      <c r="BG22" s="18">
        <v>0.80400000000000005</v>
      </c>
      <c r="BH22" s="18">
        <v>0</v>
      </c>
      <c r="BI22" s="18">
        <v>1.004</v>
      </c>
      <c r="BJ22" s="18">
        <v>0</v>
      </c>
      <c r="BK22" s="18">
        <v>0</v>
      </c>
      <c r="BL22" s="18">
        <v>0.90100000000000002</v>
      </c>
      <c r="BM22" s="18">
        <v>0</v>
      </c>
      <c r="BN22" s="18">
        <v>0</v>
      </c>
      <c r="BO22" s="18">
        <v>0</v>
      </c>
      <c r="BP22" s="18">
        <v>0.48599999999999999</v>
      </c>
      <c r="BQ22" s="18">
        <v>0</v>
      </c>
      <c r="BR22" s="18">
        <v>0</v>
      </c>
      <c r="BS22" s="18">
        <v>0.90700000000000003</v>
      </c>
      <c r="BT22" s="18">
        <v>1.204</v>
      </c>
      <c r="BU22" s="18">
        <v>1.9450000000000001</v>
      </c>
      <c r="BV22" s="18">
        <v>1.103</v>
      </c>
      <c r="BW22" s="18">
        <v>0.47499999999999998</v>
      </c>
      <c r="BX22" s="18">
        <v>0.75</v>
      </c>
      <c r="BY22" s="18">
        <v>0</v>
      </c>
      <c r="BZ22" s="18">
        <v>1.23</v>
      </c>
      <c r="CA22" s="18">
        <v>0.55000000000000004</v>
      </c>
      <c r="CB22" s="18">
        <v>0</v>
      </c>
      <c r="CC22" s="18">
        <v>0</v>
      </c>
      <c r="CD22" s="18">
        <v>1.296</v>
      </c>
      <c r="CE22" s="18">
        <v>0.48699999999999999</v>
      </c>
      <c r="CF22" s="18">
        <v>0.96599999999999997</v>
      </c>
      <c r="CG22" s="18">
        <v>0.78</v>
      </c>
      <c r="CH22" s="18">
        <v>0.85299999999999998</v>
      </c>
      <c r="CI22" s="18">
        <v>0.14299999999999999</v>
      </c>
      <c r="CJ22" s="18">
        <v>0.86499999999999999</v>
      </c>
      <c r="CK22" s="18">
        <v>0</v>
      </c>
      <c r="CL22" s="18">
        <v>0</v>
      </c>
      <c r="CM22" s="18">
        <v>0</v>
      </c>
      <c r="CN22" s="18">
        <v>0</v>
      </c>
    </row>
    <row r="23" spans="1:92" x14ac:dyDescent="0.25">
      <c r="A23" s="8">
        <v>19</v>
      </c>
      <c r="B23" s="8">
        <v>9</v>
      </c>
      <c r="C23" s="18">
        <v>1.5</v>
      </c>
      <c r="D23" s="18">
        <v>0</v>
      </c>
      <c r="E23" s="18">
        <v>0</v>
      </c>
      <c r="F23" s="18">
        <v>0</v>
      </c>
      <c r="G23" s="18">
        <v>0</v>
      </c>
      <c r="H23" s="18">
        <v>0.78300000000000003</v>
      </c>
      <c r="I23" s="18">
        <v>0</v>
      </c>
      <c r="J23" s="18">
        <v>0</v>
      </c>
      <c r="K23" s="18">
        <v>1.5</v>
      </c>
      <c r="L23" s="18">
        <v>1.2869999999999999</v>
      </c>
      <c r="M23" s="18">
        <v>0</v>
      </c>
      <c r="N23" s="18">
        <v>0</v>
      </c>
      <c r="O23" s="18">
        <v>0</v>
      </c>
      <c r="P23" s="18">
        <v>1.2749999999999999</v>
      </c>
      <c r="Q23" s="18">
        <v>1.226</v>
      </c>
      <c r="R23" s="18">
        <v>0</v>
      </c>
      <c r="S23" s="18">
        <v>0.80800000000000005</v>
      </c>
      <c r="T23" s="18">
        <v>0</v>
      </c>
      <c r="U23" s="18">
        <v>0.72499999999999998</v>
      </c>
      <c r="V23" s="18">
        <v>0</v>
      </c>
      <c r="W23" s="18">
        <v>0</v>
      </c>
      <c r="X23" s="18">
        <v>1.597</v>
      </c>
      <c r="Y23" s="18">
        <v>0</v>
      </c>
      <c r="Z23" s="18">
        <v>0.28899999999999998</v>
      </c>
      <c r="AA23" s="18">
        <v>0</v>
      </c>
      <c r="AB23" s="18">
        <v>0</v>
      </c>
      <c r="AC23" s="18">
        <v>0</v>
      </c>
      <c r="AD23" s="18">
        <v>0</v>
      </c>
      <c r="AE23" s="18">
        <v>1.083</v>
      </c>
      <c r="AF23" s="18">
        <v>0</v>
      </c>
      <c r="AG23" s="18">
        <v>0</v>
      </c>
      <c r="AH23" s="18">
        <v>1.4139999999999999</v>
      </c>
      <c r="AI23" s="18">
        <v>0</v>
      </c>
      <c r="AJ23" s="18">
        <v>0.91100000000000003</v>
      </c>
      <c r="AK23" s="18">
        <v>8.7999999999999995E-2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0.69399999999999995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0.996</v>
      </c>
      <c r="AY23" s="18">
        <v>0.372</v>
      </c>
      <c r="AZ23" s="18">
        <v>0</v>
      </c>
      <c r="BA23" s="18">
        <v>0.19600000000000001</v>
      </c>
      <c r="BB23" s="18">
        <v>0</v>
      </c>
      <c r="BC23" s="18">
        <v>0</v>
      </c>
      <c r="BD23" s="18">
        <v>0</v>
      </c>
      <c r="BE23" s="18">
        <v>0.81299999999999994</v>
      </c>
      <c r="BF23" s="18">
        <v>1.3640000000000001</v>
      </c>
      <c r="BG23" s="18">
        <v>0.81799999999999995</v>
      </c>
      <c r="BH23" s="18">
        <v>0</v>
      </c>
      <c r="BI23" s="18">
        <v>0</v>
      </c>
      <c r="BJ23" s="18">
        <v>4.7E-2</v>
      </c>
      <c r="BK23" s="18">
        <v>0</v>
      </c>
      <c r="BL23" s="18">
        <v>0.81100000000000005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0.92</v>
      </c>
      <c r="BT23" s="18">
        <v>1.216</v>
      </c>
      <c r="BU23" s="18">
        <v>0</v>
      </c>
      <c r="BV23" s="18">
        <v>0.29799999999999999</v>
      </c>
      <c r="BW23" s="18">
        <v>0</v>
      </c>
      <c r="BX23" s="18">
        <v>1.2090000000000001</v>
      </c>
      <c r="BY23" s="18">
        <v>0</v>
      </c>
      <c r="BZ23" s="18">
        <v>0.42099999999999999</v>
      </c>
      <c r="CA23" s="18">
        <v>0</v>
      </c>
      <c r="CB23" s="18">
        <v>0</v>
      </c>
      <c r="CC23" s="18">
        <v>0</v>
      </c>
      <c r="CD23" s="18">
        <v>0.23100000000000001</v>
      </c>
      <c r="CE23" s="18">
        <v>1.3560000000000001</v>
      </c>
      <c r="CF23" s="18">
        <v>1.119</v>
      </c>
      <c r="CG23" s="18">
        <v>0.66900000000000004</v>
      </c>
      <c r="CH23" s="18">
        <v>0.45800000000000002</v>
      </c>
      <c r="CI23" s="18">
        <v>0</v>
      </c>
      <c r="CJ23" s="18">
        <v>0</v>
      </c>
      <c r="CK23" s="18">
        <v>4.1000000000000002E-2</v>
      </c>
      <c r="CL23" s="18">
        <v>0</v>
      </c>
      <c r="CM23" s="18">
        <v>0</v>
      </c>
      <c r="CN23" s="18">
        <v>0</v>
      </c>
    </row>
    <row r="24" spans="1:92" x14ac:dyDescent="0.25">
      <c r="A24" s="8">
        <v>20</v>
      </c>
      <c r="B24" s="8">
        <v>9.5</v>
      </c>
      <c r="C24" s="18">
        <v>1.2549999999999999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1.331</v>
      </c>
      <c r="M24" s="18">
        <v>0</v>
      </c>
      <c r="N24" s="18">
        <v>0</v>
      </c>
      <c r="O24" s="18">
        <v>0</v>
      </c>
      <c r="P24" s="18">
        <v>1.268</v>
      </c>
      <c r="Q24" s="18">
        <v>0</v>
      </c>
      <c r="R24" s="18">
        <v>0</v>
      </c>
      <c r="S24" s="18">
        <v>0.95799999999999996</v>
      </c>
      <c r="T24" s="18">
        <v>0</v>
      </c>
      <c r="U24" s="18">
        <v>0</v>
      </c>
      <c r="V24" s="18">
        <v>0</v>
      </c>
      <c r="W24" s="18">
        <v>0</v>
      </c>
      <c r="X24" s="18">
        <v>0.251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1.1160000000000001</v>
      </c>
      <c r="AF24" s="18">
        <v>0</v>
      </c>
      <c r="AG24" s="18">
        <v>0</v>
      </c>
      <c r="AH24" s="18">
        <v>0</v>
      </c>
      <c r="AI24" s="18">
        <v>0</v>
      </c>
      <c r="AJ24" s="18">
        <v>1.0649999999999999</v>
      </c>
      <c r="AK24" s="18">
        <v>1.22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1.0169999999999999</v>
      </c>
      <c r="AW24" s="18">
        <v>0</v>
      </c>
      <c r="AX24" s="18">
        <v>0.92300000000000004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1.403</v>
      </c>
      <c r="BF24" s="18">
        <v>0</v>
      </c>
      <c r="BG24" s="18">
        <v>0.91500000000000004</v>
      </c>
      <c r="BH24" s="18">
        <v>0</v>
      </c>
      <c r="BI24" s="18">
        <v>0</v>
      </c>
      <c r="BJ24" s="18">
        <v>8.5000000000000006E-2</v>
      </c>
      <c r="BK24" s="18">
        <v>0</v>
      </c>
      <c r="BL24" s="18">
        <v>0.83399999999999996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1.0680000000000001</v>
      </c>
      <c r="BT24" s="18">
        <v>0.67600000000000005</v>
      </c>
      <c r="BU24" s="18">
        <v>0</v>
      </c>
      <c r="BV24" s="18">
        <v>0</v>
      </c>
      <c r="BW24" s="18">
        <v>0</v>
      </c>
      <c r="BX24" s="18">
        <v>1.3240000000000001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0.71599999999999997</v>
      </c>
      <c r="CF24" s="18">
        <v>1.3420000000000001</v>
      </c>
      <c r="CG24" s="18">
        <v>0</v>
      </c>
      <c r="CH24" s="18">
        <v>0.89900000000000002</v>
      </c>
      <c r="CI24" s="18">
        <v>0</v>
      </c>
      <c r="CJ24" s="18">
        <v>0</v>
      </c>
      <c r="CK24" s="18">
        <v>0.25600000000000001</v>
      </c>
      <c r="CL24" s="18">
        <v>0</v>
      </c>
      <c r="CM24" s="18">
        <v>0</v>
      </c>
      <c r="CN24" s="18">
        <v>0</v>
      </c>
    </row>
    <row r="25" spans="1:92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0.156</v>
      </c>
      <c r="M25" s="18">
        <v>0.46400000000000002</v>
      </c>
      <c r="N25" s="18">
        <v>0</v>
      </c>
      <c r="O25" s="18">
        <v>0</v>
      </c>
      <c r="P25" s="18">
        <v>0.42599999999999999</v>
      </c>
      <c r="Q25" s="18">
        <v>0</v>
      </c>
      <c r="R25" s="18">
        <v>0</v>
      </c>
      <c r="S25" s="18">
        <v>1.0469999999999999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1.369</v>
      </c>
      <c r="AF25" s="18">
        <v>0</v>
      </c>
      <c r="AG25" s="18">
        <v>0</v>
      </c>
      <c r="AH25" s="18">
        <v>0</v>
      </c>
      <c r="AI25" s="18">
        <v>0</v>
      </c>
      <c r="AJ25" s="18">
        <v>0.58399999999999996</v>
      </c>
      <c r="AK25" s="18">
        <v>1.2949999999999999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1.0269999999999999</v>
      </c>
      <c r="AW25" s="18">
        <v>0</v>
      </c>
      <c r="AX25" s="18">
        <v>0.88200000000000001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1.0089999999999999</v>
      </c>
      <c r="BF25" s="18">
        <v>0</v>
      </c>
      <c r="BG25" s="18">
        <v>0.77800000000000002</v>
      </c>
      <c r="BH25" s="18">
        <v>0</v>
      </c>
      <c r="BI25" s="18">
        <v>0</v>
      </c>
      <c r="BJ25" s="18">
        <v>0</v>
      </c>
      <c r="BK25" s="18">
        <v>0</v>
      </c>
      <c r="BL25" s="18">
        <v>1.006</v>
      </c>
      <c r="BM25" s="18">
        <v>0</v>
      </c>
      <c r="BN25" s="18">
        <v>0</v>
      </c>
      <c r="BO25" s="18">
        <v>0</v>
      </c>
      <c r="BP25" s="18">
        <v>0.95799999999999996</v>
      </c>
      <c r="BQ25" s="18">
        <v>0</v>
      </c>
      <c r="BR25" s="18">
        <v>0</v>
      </c>
      <c r="BS25" s="18">
        <v>1.1339999999999999</v>
      </c>
      <c r="BT25" s="18">
        <v>0</v>
      </c>
      <c r="BU25" s="18">
        <v>0</v>
      </c>
      <c r="BV25" s="18">
        <v>0</v>
      </c>
      <c r="BW25" s="18">
        <v>0</v>
      </c>
      <c r="BX25" s="18">
        <v>0.93500000000000005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0.438</v>
      </c>
      <c r="CG25" s="18">
        <v>0.72099999999999997</v>
      </c>
      <c r="CH25" s="18">
        <v>0.91500000000000004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</row>
    <row r="26" spans="1:92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0.38100000000000001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1.5229999999999999</v>
      </c>
      <c r="AF26" s="18">
        <v>0</v>
      </c>
      <c r="AG26" s="18">
        <v>0</v>
      </c>
      <c r="AH26" s="18">
        <v>0</v>
      </c>
      <c r="AI26" s="18">
        <v>0</v>
      </c>
      <c r="AJ26" s="18">
        <v>1.0049999999999999</v>
      </c>
      <c r="AK26" s="18">
        <v>1.2390000000000001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0.79</v>
      </c>
      <c r="BH26" s="18">
        <v>0</v>
      </c>
      <c r="BI26" s="18">
        <v>0</v>
      </c>
      <c r="BJ26" s="18">
        <v>0</v>
      </c>
      <c r="BK26" s="18">
        <v>0</v>
      </c>
      <c r="BL26" s="18">
        <v>0.24199999999999999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0.185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0.60799999999999998</v>
      </c>
      <c r="CH26" s="18">
        <v>1.1559999999999999</v>
      </c>
      <c r="CI26" s="18">
        <v>0</v>
      </c>
      <c r="CJ26" s="18">
        <v>0</v>
      </c>
      <c r="CK26" s="18">
        <v>0.69399999999999995</v>
      </c>
      <c r="CL26" s="18">
        <v>0</v>
      </c>
      <c r="CM26" s="18">
        <v>0.32</v>
      </c>
      <c r="CN26" s="18">
        <v>0</v>
      </c>
    </row>
    <row r="27" spans="1:92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0.40300000000000002</v>
      </c>
      <c r="AF27" s="18">
        <v>0</v>
      </c>
      <c r="AG27" s="18">
        <v>0</v>
      </c>
      <c r="AH27" s="18">
        <v>0</v>
      </c>
      <c r="AI27" s="18">
        <v>0</v>
      </c>
      <c r="AJ27" s="18">
        <v>0.627</v>
      </c>
      <c r="AK27" s="18">
        <v>1.544</v>
      </c>
      <c r="AL27" s="18">
        <v>0</v>
      </c>
      <c r="AM27" s="18">
        <v>0</v>
      </c>
      <c r="AN27" s="18">
        <v>0.222</v>
      </c>
      <c r="AO27" s="18">
        <v>2.9999999999999997E-4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0.39200000000000002</v>
      </c>
      <c r="CH27" s="18">
        <v>6.5000000000000002E-2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</row>
    <row r="28" spans="1:92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1.508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0.34499999999999997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</row>
    <row r="29" spans="1:92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0.85199999999999998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0.46200000000000002</v>
      </c>
      <c r="AO29" s="18">
        <v>0.54200000000000004</v>
      </c>
      <c r="AP29" s="18">
        <v>0.41899999999999998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0.109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0.24099999999999999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0.17100000000000001</v>
      </c>
      <c r="CI29" s="18">
        <v>0</v>
      </c>
      <c r="CJ29" s="18">
        <v>0</v>
      </c>
      <c r="CK29" s="18">
        <v>0</v>
      </c>
      <c r="CL29" s="18">
        <v>0</v>
      </c>
      <c r="CM29" s="18">
        <v>0.16900000000000001</v>
      </c>
      <c r="CN29" s="18">
        <v>0</v>
      </c>
    </row>
    <row r="30" spans="1:92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0.36599999999999999</v>
      </c>
      <c r="AO30" s="18">
        <v>0</v>
      </c>
      <c r="AP30" s="18">
        <v>3.6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0.95299999999999996</v>
      </c>
      <c r="CH30" s="18">
        <v>6.9000000000000006E-2</v>
      </c>
      <c r="CI30" s="18">
        <v>0</v>
      </c>
      <c r="CJ30" s="18">
        <v>0</v>
      </c>
      <c r="CK30" s="18">
        <v>0</v>
      </c>
      <c r="CL30" s="18">
        <v>0</v>
      </c>
      <c r="CM30" s="18">
        <v>1.05</v>
      </c>
      <c r="CN30" s="18">
        <v>0</v>
      </c>
    </row>
    <row r="31" spans="1:92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0.61499999999999999</v>
      </c>
      <c r="AO31" s="18">
        <v>0</v>
      </c>
      <c r="AP31" s="18">
        <v>3.6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0.26300000000000001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1.0089999999999999</v>
      </c>
      <c r="CH31" s="18">
        <v>0</v>
      </c>
      <c r="CI31" s="18">
        <v>0</v>
      </c>
      <c r="CJ31" s="18">
        <v>0</v>
      </c>
      <c r="CK31" s="18">
        <v>3.9E-2</v>
      </c>
      <c r="CL31" s="18">
        <v>0</v>
      </c>
      <c r="CM31" s="18">
        <v>0</v>
      </c>
      <c r="CN31" s="18">
        <v>0</v>
      </c>
    </row>
    <row r="32" spans="1:92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0.218</v>
      </c>
      <c r="AL32" s="18">
        <v>0</v>
      </c>
      <c r="AM32" s="18">
        <v>0</v>
      </c>
      <c r="AN32" s="18">
        <v>0.57399999999999995</v>
      </c>
      <c r="AO32" s="18">
        <v>0</v>
      </c>
      <c r="AP32" s="18">
        <v>0.156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1.036</v>
      </c>
      <c r="CH32" s="18">
        <v>6.5000000000000002E-2</v>
      </c>
      <c r="CI32" s="18">
        <v>0</v>
      </c>
      <c r="CJ32" s="18">
        <v>0</v>
      </c>
      <c r="CK32" s="18">
        <v>0.46800000000000003</v>
      </c>
      <c r="CL32" s="18">
        <v>0</v>
      </c>
      <c r="CM32" s="18">
        <v>0.32400000000000001</v>
      </c>
      <c r="CN32" s="18">
        <v>0</v>
      </c>
    </row>
    <row r="33" spans="1:92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1.028</v>
      </c>
      <c r="CH33" s="18">
        <v>0</v>
      </c>
      <c r="CI33" s="18">
        <v>0</v>
      </c>
      <c r="CJ33" s="18">
        <v>0</v>
      </c>
      <c r="CK33" s="18">
        <v>0.46600000000000003</v>
      </c>
      <c r="CL33" s="18">
        <v>0</v>
      </c>
      <c r="CM33" s="18">
        <v>0.14000000000000001</v>
      </c>
      <c r="CN33" s="18">
        <v>0</v>
      </c>
    </row>
    <row r="34" spans="1:92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0.42799999999999999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0.94699999999999995</v>
      </c>
      <c r="CH34" s="18">
        <v>0</v>
      </c>
      <c r="CI34" s="18">
        <v>0</v>
      </c>
      <c r="CJ34" s="18">
        <v>0</v>
      </c>
      <c r="CK34" s="18">
        <v>0.498</v>
      </c>
      <c r="CL34" s="18">
        <v>0</v>
      </c>
      <c r="CM34" s="18">
        <v>0.57799999999999996</v>
      </c>
      <c r="CN34" s="18">
        <v>0</v>
      </c>
    </row>
    <row r="35" spans="1:92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0.105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0.65100000000000002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0.84599999999999997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0.49399999999999999</v>
      </c>
      <c r="CN35" s="18">
        <v>0</v>
      </c>
    </row>
    <row r="36" spans="1:92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0.63900000000000001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0.78800000000000003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0.251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0.11600000000000001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0.55600000000000005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0.749</v>
      </c>
      <c r="CN36" s="18">
        <v>0</v>
      </c>
    </row>
    <row r="37" spans="1:92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0.48399999999999999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0.88800000000000001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</row>
    <row r="38" spans="1:92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0.54500000000000004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0.41499999999999998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0.91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</row>
    <row r="39" spans="1:92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0.52800000000000002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0.69099999999999995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</row>
    <row r="40" spans="1:92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0.56200000000000006</v>
      </c>
      <c r="AH40" s="18">
        <v>0</v>
      </c>
      <c r="AI40" s="18">
        <v>0</v>
      </c>
      <c r="AJ40" s="18">
        <v>0</v>
      </c>
      <c r="AK40" s="18">
        <v>0.45900000000000002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0.47599999999999998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</row>
    <row r="41" spans="1:92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0.56799999999999995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0.47</v>
      </c>
      <c r="P41" s="18">
        <v>0</v>
      </c>
      <c r="Q41" s="18">
        <v>2.7E-2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0.747</v>
      </c>
      <c r="AD41" s="18">
        <v>0</v>
      </c>
      <c r="AE41" s="18">
        <v>0</v>
      </c>
      <c r="AF41" s="18">
        <v>0</v>
      </c>
      <c r="AG41" s="18">
        <v>0.30399999999999999</v>
      </c>
      <c r="AH41" s="18">
        <v>0</v>
      </c>
      <c r="AI41" s="18">
        <v>0</v>
      </c>
      <c r="AJ41" s="18">
        <v>0</v>
      </c>
      <c r="AK41" s="18">
        <v>0.17799999999999999</v>
      </c>
      <c r="AL41" s="18">
        <v>0</v>
      </c>
      <c r="AM41" s="18">
        <v>0.46100000000000002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0.307</v>
      </c>
      <c r="BC41" s="18">
        <v>0</v>
      </c>
      <c r="BD41" s="18">
        <v>0</v>
      </c>
      <c r="BE41" s="18">
        <v>0</v>
      </c>
      <c r="BF41" s="18">
        <v>0.115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0.20300000000000001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0.43099999999999999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</row>
    <row r="42" spans="1:92" x14ac:dyDescent="0.25">
      <c r="A42" s="8">
        <v>38</v>
      </c>
      <c r="B42" s="8">
        <v>18.5</v>
      </c>
      <c r="C42" s="18">
        <v>0.27200000000000002</v>
      </c>
      <c r="D42" s="18">
        <v>0</v>
      </c>
      <c r="E42" s="18">
        <v>0</v>
      </c>
      <c r="F42" s="18">
        <v>0</v>
      </c>
      <c r="G42" s="18">
        <v>5.0999999999999997E-2</v>
      </c>
      <c r="H42" s="18">
        <v>0</v>
      </c>
      <c r="I42" s="18">
        <v>0</v>
      </c>
      <c r="J42" s="18">
        <v>0.124</v>
      </c>
      <c r="K42" s="18">
        <v>0</v>
      </c>
      <c r="L42" s="18">
        <v>0</v>
      </c>
      <c r="M42" s="18">
        <v>0</v>
      </c>
      <c r="N42" s="18">
        <v>0</v>
      </c>
      <c r="O42" s="18">
        <v>0.14699999999999999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0.57899999999999996</v>
      </c>
      <c r="AC42" s="18">
        <v>0.49399999999999999</v>
      </c>
      <c r="AD42" s="18">
        <v>0</v>
      </c>
      <c r="AE42" s="18">
        <v>0</v>
      </c>
      <c r="AF42" s="18">
        <v>0</v>
      </c>
      <c r="AG42" s="18">
        <v>0.11600000000000001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0.32100000000000001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0.312</v>
      </c>
      <c r="BA42" s="18">
        <v>0</v>
      </c>
      <c r="BB42" s="18">
        <v>0.11</v>
      </c>
      <c r="BC42" s="18">
        <v>0</v>
      </c>
      <c r="BD42" s="18">
        <v>0</v>
      </c>
      <c r="BE42" s="18">
        <v>6.0999999999999999E-2</v>
      </c>
      <c r="BF42" s="18">
        <v>5.3999999999999999E-2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0.55700000000000005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0.125</v>
      </c>
      <c r="CE42" s="18">
        <v>0</v>
      </c>
      <c r="CF42" s="18">
        <v>0</v>
      </c>
      <c r="CG42" s="18">
        <v>0</v>
      </c>
      <c r="CH42" s="18">
        <v>0</v>
      </c>
      <c r="CI42" s="18">
        <v>6.7000000000000004E-2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</row>
    <row r="43" spans="1:92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0.23899999999999999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9.8000000000000004E-2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0.26400000000000001</v>
      </c>
      <c r="AC43" s="18">
        <v>0.245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3.7999999999999999E-2</v>
      </c>
      <c r="BI43" s="18">
        <v>0</v>
      </c>
      <c r="BJ43" s="18">
        <v>0</v>
      </c>
      <c r="BK43" s="18">
        <v>0.218</v>
      </c>
      <c r="BL43" s="18">
        <v>1.7999999999999999E-2</v>
      </c>
      <c r="BM43" s="18">
        <v>0</v>
      </c>
      <c r="BN43" s="18">
        <v>0</v>
      </c>
      <c r="BO43" s="18">
        <v>0.15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0.17799999999999999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0.187</v>
      </c>
      <c r="CL43" s="18">
        <v>0</v>
      </c>
      <c r="CM43" s="18">
        <v>0</v>
      </c>
      <c r="CN43" s="18">
        <v>0</v>
      </c>
    </row>
    <row r="44" spans="1:92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4.8000000000000001E-2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2.1999999999999999E-2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</row>
    <row r="45" spans="1:92" x14ac:dyDescent="0.25">
      <c r="A45" s="8">
        <v>41</v>
      </c>
      <c r="B45" s="8">
        <v>20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</row>
    <row r="46" spans="1:92" x14ac:dyDescent="0.25">
      <c r="A46" s="8">
        <v>42</v>
      </c>
      <c r="B46" s="8">
        <v>20.5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</row>
    <row r="47" spans="1:92" x14ac:dyDescent="0.25">
      <c r="A47" s="8">
        <v>43</v>
      </c>
      <c r="B47" s="8">
        <v>21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</row>
    <row r="48" spans="1:92" x14ac:dyDescent="0.25">
      <c r="A48" s="8">
        <v>44</v>
      </c>
      <c r="B48" s="8">
        <v>21.5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</row>
    <row r="49" spans="1:92" x14ac:dyDescent="0.25">
      <c r="A49" s="8">
        <v>45</v>
      </c>
      <c r="B49" s="8">
        <v>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</row>
    <row r="50" spans="1:92" x14ac:dyDescent="0.25">
      <c r="A50" s="8">
        <v>46</v>
      </c>
      <c r="B50" s="8">
        <v>22.5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</row>
    <row r="51" spans="1:92" x14ac:dyDescent="0.25">
      <c r="A51" s="8">
        <v>47</v>
      </c>
      <c r="B51" s="8">
        <v>23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</row>
    <row r="52" spans="1:92" x14ac:dyDescent="0.25">
      <c r="A52" s="8">
        <v>48</v>
      </c>
      <c r="B52" s="8">
        <v>23.5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92" width="13" customWidth="1"/>
  </cols>
  <sheetData>
    <row r="1" spans="1:92" ht="19.5" x14ac:dyDescent="0.3">
      <c r="A1" s="1" t="s">
        <v>547</v>
      </c>
    </row>
    <row r="2" spans="1:92" x14ac:dyDescent="0.25">
      <c r="A2" s="29" t="s">
        <v>548</v>
      </c>
      <c r="B2" s="27"/>
      <c r="C2" s="27"/>
      <c r="D2" s="27"/>
      <c r="E2" s="27"/>
      <c r="F2" s="27"/>
      <c r="G2" s="27"/>
      <c r="H2" s="27"/>
    </row>
    <row r="4" spans="1:92" ht="25.5" x14ac:dyDescent="0.25">
      <c r="A4" s="5" t="s">
        <v>455</v>
      </c>
      <c r="B4" s="5" t="s">
        <v>456</v>
      </c>
      <c r="C4" s="5" t="s">
        <v>457</v>
      </c>
      <c r="D4" s="5" t="s">
        <v>458</v>
      </c>
      <c r="E4" s="5" t="s">
        <v>459</v>
      </c>
      <c r="F4" s="5" t="s">
        <v>460</v>
      </c>
      <c r="G4" s="5" t="s">
        <v>461</v>
      </c>
      <c r="H4" s="5" t="s">
        <v>462</v>
      </c>
      <c r="I4" s="5" t="s">
        <v>463</v>
      </c>
      <c r="J4" s="5" t="s">
        <v>464</v>
      </c>
      <c r="K4" s="5" t="s">
        <v>465</v>
      </c>
      <c r="L4" s="5" t="s">
        <v>466</v>
      </c>
      <c r="M4" s="5" t="s">
        <v>467</v>
      </c>
      <c r="N4" s="5" t="s">
        <v>468</v>
      </c>
      <c r="O4" s="5" t="s">
        <v>469</v>
      </c>
      <c r="P4" s="5" t="s">
        <v>470</v>
      </c>
      <c r="Q4" s="5" t="s">
        <v>471</v>
      </c>
      <c r="R4" s="5" t="s">
        <v>472</v>
      </c>
      <c r="S4" s="5" t="s">
        <v>473</v>
      </c>
      <c r="T4" s="5" t="s">
        <v>474</v>
      </c>
      <c r="U4" s="5" t="s">
        <v>475</v>
      </c>
      <c r="V4" s="5" t="s">
        <v>476</v>
      </c>
      <c r="W4" s="5" t="s">
        <v>477</v>
      </c>
      <c r="X4" s="5" t="s">
        <v>478</v>
      </c>
      <c r="Y4" s="5" t="s">
        <v>479</v>
      </c>
      <c r="Z4" s="5" t="s">
        <v>480</v>
      </c>
      <c r="AA4" s="5" t="s">
        <v>481</v>
      </c>
      <c r="AB4" s="5" t="s">
        <v>482</v>
      </c>
      <c r="AC4" s="5" t="s">
        <v>483</v>
      </c>
      <c r="AD4" s="5" t="s">
        <v>484</v>
      </c>
      <c r="AE4" s="5" t="s">
        <v>485</v>
      </c>
      <c r="AF4" s="5" t="s">
        <v>486</v>
      </c>
      <c r="AG4" s="5" t="s">
        <v>487</v>
      </c>
      <c r="AH4" s="5" t="s">
        <v>488</v>
      </c>
      <c r="AI4" s="5" t="s">
        <v>489</v>
      </c>
      <c r="AJ4" s="5" t="s">
        <v>490</v>
      </c>
      <c r="AK4" s="5" t="s">
        <v>491</v>
      </c>
      <c r="AL4" s="5" t="s">
        <v>492</v>
      </c>
      <c r="AM4" s="5" t="s">
        <v>493</v>
      </c>
      <c r="AN4" s="5" t="s">
        <v>494</v>
      </c>
      <c r="AO4" s="5" t="s">
        <v>495</v>
      </c>
      <c r="AP4" s="5" t="s">
        <v>496</v>
      </c>
      <c r="AQ4" s="5" t="s">
        <v>497</v>
      </c>
      <c r="AR4" s="5" t="s">
        <v>498</v>
      </c>
      <c r="AS4" s="5" t="s">
        <v>499</v>
      </c>
      <c r="AT4" s="5" t="s">
        <v>500</v>
      </c>
      <c r="AU4" s="5" t="s">
        <v>501</v>
      </c>
      <c r="AV4" s="5" t="s">
        <v>502</v>
      </c>
      <c r="AW4" s="5" t="s">
        <v>503</v>
      </c>
      <c r="AX4" s="5" t="s">
        <v>504</v>
      </c>
      <c r="AY4" s="5" t="s">
        <v>505</v>
      </c>
      <c r="AZ4" s="5" t="s">
        <v>506</v>
      </c>
      <c r="BA4" s="5" t="s">
        <v>507</v>
      </c>
      <c r="BB4" s="5" t="s">
        <v>508</v>
      </c>
      <c r="BC4" s="5" t="s">
        <v>509</v>
      </c>
      <c r="BD4" s="5" t="s">
        <v>510</v>
      </c>
      <c r="BE4" s="5" t="s">
        <v>511</v>
      </c>
      <c r="BF4" s="5" t="s">
        <v>512</v>
      </c>
      <c r="BG4" s="5" t="s">
        <v>513</v>
      </c>
      <c r="BH4" s="5" t="s">
        <v>514</v>
      </c>
      <c r="BI4" s="5" t="s">
        <v>515</v>
      </c>
      <c r="BJ4" s="5" t="s">
        <v>516</v>
      </c>
      <c r="BK4" s="5" t="s">
        <v>517</v>
      </c>
      <c r="BL4" s="5" t="s">
        <v>518</v>
      </c>
      <c r="BM4" s="5" t="s">
        <v>519</v>
      </c>
      <c r="BN4" s="5" t="s">
        <v>520</v>
      </c>
      <c r="BO4" s="5" t="s">
        <v>521</v>
      </c>
      <c r="BP4" s="5" t="s">
        <v>522</v>
      </c>
      <c r="BQ4" s="5" t="s">
        <v>523</v>
      </c>
      <c r="BR4" s="5" t="s">
        <v>524</v>
      </c>
      <c r="BS4" s="5" t="s">
        <v>525</v>
      </c>
      <c r="BT4" s="5" t="s">
        <v>526</v>
      </c>
      <c r="BU4" s="5" t="s">
        <v>527</v>
      </c>
      <c r="BV4" s="5" t="s">
        <v>528</v>
      </c>
      <c r="BW4" s="5" t="s">
        <v>529</v>
      </c>
      <c r="BX4" s="5" t="s">
        <v>530</v>
      </c>
      <c r="BY4" s="5" t="s">
        <v>531</v>
      </c>
      <c r="BZ4" s="5" t="s">
        <v>532</v>
      </c>
      <c r="CA4" s="5" t="s">
        <v>533</v>
      </c>
      <c r="CB4" s="5" t="s">
        <v>534</v>
      </c>
      <c r="CC4" s="5" t="s">
        <v>535</v>
      </c>
      <c r="CD4" s="5" t="s">
        <v>536</v>
      </c>
      <c r="CE4" s="5" t="s">
        <v>537</v>
      </c>
      <c r="CF4" s="5" t="s">
        <v>538</v>
      </c>
      <c r="CG4" s="5" t="s">
        <v>539</v>
      </c>
      <c r="CH4" s="5" t="s">
        <v>540</v>
      </c>
      <c r="CI4" s="5" t="s">
        <v>541</v>
      </c>
      <c r="CJ4" s="5" t="s">
        <v>542</v>
      </c>
      <c r="CK4" s="5" t="s">
        <v>543</v>
      </c>
      <c r="CL4" s="5" t="s">
        <v>544</v>
      </c>
      <c r="CM4" s="5" t="s">
        <v>545</v>
      </c>
      <c r="CN4" s="5" t="s">
        <v>546</v>
      </c>
    </row>
    <row r="5" spans="1:92" x14ac:dyDescent="0.25">
      <c r="A5" s="8">
        <v>1</v>
      </c>
      <c r="B5" s="8">
        <v>0</v>
      </c>
      <c r="C5" s="18">
        <v>4.8000000000000001E-2</v>
      </c>
      <c r="D5" s="18">
        <v>4.9000000000000002E-2</v>
      </c>
      <c r="E5" s="18">
        <v>5.3999999999999999E-2</v>
      </c>
      <c r="F5" s="18">
        <v>0.11700000000000001</v>
      </c>
      <c r="G5" s="18">
        <v>0.57699999999999996</v>
      </c>
      <c r="H5" s="18">
        <v>0.59399999999999997</v>
      </c>
      <c r="I5" s="18">
        <v>4.4999999999999998E-2</v>
      </c>
      <c r="J5" s="18">
        <v>0.21099999999999999</v>
      </c>
      <c r="K5" s="18">
        <v>0.14499999999999999</v>
      </c>
      <c r="L5" s="18">
        <v>0.156</v>
      </c>
      <c r="M5" s="18">
        <v>5.1999999999999998E-2</v>
      </c>
      <c r="N5" s="18">
        <v>0.70599999999999996</v>
      </c>
      <c r="O5" s="18">
        <v>4.9000000000000002E-2</v>
      </c>
      <c r="P5" s="18">
        <v>1.0469999999999999</v>
      </c>
      <c r="Q5" s="18">
        <v>1.071</v>
      </c>
      <c r="R5" s="18">
        <v>0.56999999999999995</v>
      </c>
      <c r="S5" s="18">
        <v>0.1</v>
      </c>
      <c r="T5" s="18">
        <v>4.5999999999999999E-2</v>
      </c>
      <c r="U5" s="18">
        <v>6.0999999999999999E-2</v>
      </c>
      <c r="V5" s="18">
        <v>8.2000000000000003E-2</v>
      </c>
      <c r="W5" s="18">
        <v>0.28799999999999998</v>
      </c>
      <c r="X5" s="18">
        <v>4.4999999999999998E-2</v>
      </c>
      <c r="Y5" s="18">
        <v>5.5E-2</v>
      </c>
      <c r="Z5" s="18">
        <v>0.16400000000000001</v>
      </c>
      <c r="AA5" s="18">
        <v>0.75</v>
      </c>
      <c r="AB5" s="18">
        <v>0.10299999999999999</v>
      </c>
      <c r="AC5" s="18">
        <v>4.5999999999999999E-2</v>
      </c>
      <c r="AD5" s="18">
        <v>4.8000000000000001E-2</v>
      </c>
      <c r="AE5" s="18">
        <v>0.104</v>
      </c>
      <c r="AF5" s="18">
        <v>4.5999999999999999E-2</v>
      </c>
      <c r="AG5" s="18">
        <v>5.3999999999999999E-2</v>
      </c>
      <c r="AH5" s="18">
        <v>0.59899999999999998</v>
      </c>
      <c r="AI5" s="18">
        <v>0.14399999999999999</v>
      </c>
      <c r="AJ5" s="18">
        <v>0.16500000000000001</v>
      </c>
      <c r="AK5" s="18">
        <v>0.13100000000000001</v>
      </c>
      <c r="AL5" s="18">
        <v>0.14899999999999999</v>
      </c>
      <c r="AM5" s="18">
        <v>0.14899999999999999</v>
      </c>
      <c r="AN5" s="18">
        <v>5.2999999999999999E-2</v>
      </c>
      <c r="AO5" s="18">
        <v>0.14799999999999999</v>
      </c>
      <c r="AP5" s="18">
        <v>8.1000000000000003E-2</v>
      </c>
      <c r="AQ5" s="18">
        <v>0.06</v>
      </c>
      <c r="AR5" s="18">
        <v>5.2999999999999999E-2</v>
      </c>
      <c r="AS5" s="18">
        <v>5.8999999999999997E-2</v>
      </c>
      <c r="AT5" s="18">
        <v>0.111</v>
      </c>
      <c r="AU5" s="18">
        <v>0.499</v>
      </c>
      <c r="AV5" s="18">
        <v>0.152</v>
      </c>
      <c r="AW5" s="18">
        <v>5.5E-2</v>
      </c>
      <c r="AX5" s="18">
        <v>0.14899999999999999</v>
      </c>
      <c r="AY5" s="18">
        <v>7.9000000000000001E-2</v>
      </c>
      <c r="AZ5" s="18">
        <v>0.156</v>
      </c>
      <c r="BA5" s="18">
        <v>0.11</v>
      </c>
      <c r="BB5" s="18">
        <v>0.127</v>
      </c>
      <c r="BC5" s="18">
        <v>5.2999999999999999E-2</v>
      </c>
      <c r="BD5" s="18">
        <v>0.68300000000000005</v>
      </c>
      <c r="BE5" s="18">
        <v>0.73399999999999999</v>
      </c>
      <c r="BF5" s="18">
        <v>0.16</v>
      </c>
      <c r="BG5" s="18">
        <v>0.13300000000000001</v>
      </c>
      <c r="BH5" s="18">
        <v>0.16800000000000001</v>
      </c>
      <c r="BI5" s="18">
        <v>0.76900000000000002</v>
      </c>
      <c r="BJ5" s="18">
        <v>0.37</v>
      </c>
      <c r="BK5" s="18">
        <v>0.20100000000000001</v>
      </c>
      <c r="BL5" s="18">
        <v>0.16300000000000001</v>
      </c>
      <c r="BM5" s="18">
        <v>0.24299999999999999</v>
      </c>
      <c r="BN5" s="18">
        <v>0.308</v>
      </c>
      <c r="BO5" s="18">
        <v>8.4000000000000005E-2</v>
      </c>
      <c r="BP5" s="18">
        <v>0.129</v>
      </c>
      <c r="BQ5" s="18">
        <v>0.187</v>
      </c>
      <c r="BR5" s="18">
        <v>0.21</v>
      </c>
      <c r="BS5" s="18">
        <v>0.58499999999999996</v>
      </c>
      <c r="BT5" s="18">
        <v>0.316</v>
      </c>
      <c r="BU5" s="18">
        <v>6.0999999999999999E-2</v>
      </c>
      <c r="BV5" s="18">
        <v>5.1999999999999998E-2</v>
      </c>
      <c r="BW5" s="18">
        <v>0.20599999999999999</v>
      </c>
      <c r="BX5" s="18">
        <v>0.252</v>
      </c>
      <c r="BY5" s="18">
        <v>0.41199999999999998</v>
      </c>
      <c r="BZ5" s="18">
        <v>0.109</v>
      </c>
      <c r="CA5" s="18">
        <v>0.105</v>
      </c>
      <c r="CB5" s="18">
        <v>0.111</v>
      </c>
      <c r="CC5" s="18">
        <v>0.42799999999999999</v>
      </c>
      <c r="CD5" s="18">
        <v>0.08</v>
      </c>
      <c r="CE5" s="18">
        <v>0.40899999999999997</v>
      </c>
      <c r="CF5" s="18">
        <v>0.26800000000000002</v>
      </c>
      <c r="CG5" s="18">
        <v>0.69599999999999995</v>
      </c>
      <c r="CH5" s="18">
        <v>0.183</v>
      </c>
      <c r="CI5" s="18">
        <v>0.83799999999999997</v>
      </c>
      <c r="CJ5" s="18">
        <v>0.122</v>
      </c>
      <c r="CK5" s="18">
        <v>0.20699999999999999</v>
      </c>
      <c r="CL5" s="18">
        <v>0.03</v>
      </c>
      <c r="CM5" s="18">
        <v>6.6000000000000003E-2</v>
      </c>
      <c r="CN5" s="18">
        <v>0.14000000000000001</v>
      </c>
    </row>
    <row r="6" spans="1:92" x14ac:dyDescent="0.25">
      <c r="A6" s="8">
        <v>2</v>
      </c>
      <c r="B6" s="8">
        <v>0.5</v>
      </c>
      <c r="C6" s="18">
        <v>0.1</v>
      </c>
      <c r="D6" s="18">
        <v>4.9000000000000002E-2</v>
      </c>
      <c r="E6" s="18">
        <v>0.215</v>
      </c>
      <c r="F6" s="18">
        <v>8.5000000000000006E-2</v>
      </c>
      <c r="G6" s="18">
        <v>0.49</v>
      </c>
      <c r="H6" s="18">
        <v>0.57199999999999995</v>
      </c>
      <c r="I6" s="18">
        <v>0.13900000000000001</v>
      </c>
      <c r="J6" s="18">
        <v>4.5999999999999999E-2</v>
      </c>
      <c r="K6" s="18">
        <v>0.19800000000000001</v>
      </c>
      <c r="L6" s="18">
        <v>0.29299999999999998</v>
      </c>
      <c r="M6" s="18">
        <v>0.114</v>
      </c>
      <c r="N6" s="18">
        <v>0.13600000000000001</v>
      </c>
      <c r="O6" s="18">
        <v>4.9000000000000002E-2</v>
      </c>
      <c r="P6" s="18">
        <v>0.57399999999999995</v>
      </c>
      <c r="Q6" s="18">
        <v>1.0429999999999999</v>
      </c>
      <c r="R6" s="18">
        <v>0.71299999999999997</v>
      </c>
      <c r="S6" s="18">
        <v>0.122</v>
      </c>
      <c r="T6" s="18">
        <v>0.159</v>
      </c>
      <c r="U6" s="18">
        <v>5.1999999999999998E-2</v>
      </c>
      <c r="V6" s="18">
        <v>0.125</v>
      </c>
      <c r="W6" s="18">
        <v>0.375</v>
      </c>
      <c r="X6" s="18">
        <v>0.30499999999999999</v>
      </c>
      <c r="Y6" s="18">
        <v>0.127</v>
      </c>
      <c r="Z6" s="18">
        <v>4.8000000000000001E-2</v>
      </c>
      <c r="AA6" s="18">
        <v>0.25700000000000001</v>
      </c>
      <c r="AB6" s="18">
        <v>8.8999999999999996E-2</v>
      </c>
      <c r="AC6" s="18">
        <v>0.107</v>
      </c>
      <c r="AD6" s="18">
        <v>0.21</v>
      </c>
      <c r="AE6" s="18">
        <v>0.17100000000000001</v>
      </c>
      <c r="AF6" s="18">
        <v>0.19900000000000001</v>
      </c>
      <c r="AG6" s="18">
        <v>0.17199999999999999</v>
      </c>
      <c r="AH6" s="18">
        <v>0.54400000000000004</v>
      </c>
      <c r="AI6" s="18">
        <v>0.23</v>
      </c>
      <c r="AJ6" s="18">
        <v>4.7E-2</v>
      </c>
      <c r="AK6" s="18">
        <v>5.5E-2</v>
      </c>
      <c r="AL6" s="18">
        <v>0.17</v>
      </c>
      <c r="AM6" s="18">
        <v>0.13900000000000001</v>
      </c>
      <c r="AN6" s="18">
        <v>5.2999999999999999E-2</v>
      </c>
      <c r="AO6" s="18">
        <v>0.106</v>
      </c>
      <c r="AP6" s="18">
        <v>0.28000000000000003</v>
      </c>
      <c r="AQ6" s="18">
        <v>0.24299999999999999</v>
      </c>
      <c r="AR6" s="18">
        <v>5.2999999999999999E-2</v>
      </c>
      <c r="AS6" s="18">
        <v>0.14799999999999999</v>
      </c>
      <c r="AT6" s="18">
        <v>0.14099999999999999</v>
      </c>
      <c r="AU6" s="18">
        <v>0.621</v>
      </c>
      <c r="AV6" s="18">
        <v>4.1000000000000002E-2</v>
      </c>
      <c r="AW6" s="18">
        <v>0.32</v>
      </c>
      <c r="AX6" s="18">
        <v>8.2000000000000003E-2</v>
      </c>
      <c r="AY6" s="18">
        <v>0.19600000000000001</v>
      </c>
      <c r="AZ6" s="18">
        <v>0.24199999999999999</v>
      </c>
      <c r="BA6" s="18">
        <v>9.5000000000000001E-2</v>
      </c>
      <c r="BB6" s="18">
        <v>0.05</v>
      </c>
      <c r="BC6" s="18">
        <v>5.2999999999999999E-2</v>
      </c>
      <c r="BD6" s="18">
        <v>0.14899999999999999</v>
      </c>
      <c r="BE6" s="18">
        <v>0.438</v>
      </c>
      <c r="BF6" s="18">
        <v>0.14599999999999999</v>
      </c>
      <c r="BG6" s="18">
        <v>0.17299999999999999</v>
      </c>
      <c r="BH6" s="18">
        <v>0.20200000000000001</v>
      </c>
      <c r="BI6" s="18">
        <v>0.109</v>
      </c>
      <c r="BJ6" s="18">
        <v>4.9000000000000002E-2</v>
      </c>
      <c r="BK6" s="18">
        <v>4.3999999999999997E-2</v>
      </c>
      <c r="BL6" s="18">
        <v>0.05</v>
      </c>
      <c r="BM6" s="18">
        <v>0.32900000000000001</v>
      </c>
      <c r="BN6" s="18">
        <v>0.61299999999999999</v>
      </c>
      <c r="BO6" s="18">
        <v>0.151</v>
      </c>
      <c r="BP6" s="18">
        <v>0.153</v>
      </c>
      <c r="BQ6" s="18">
        <v>0.183</v>
      </c>
      <c r="BR6" s="18">
        <v>0.17699999999999999</v>
      </c>
      <c r="BS6" s="18">
        <v>0.61799999999999999</v>
      </c>
      <c r="BT6" s="18">
        <v>0.14799999999999999</v>
      </c>
      <c r="BU6" s="18">
        <v>0.185</v>
      </c>
      <c r="BV6" s="18">
        <v>5.1999999999999998E-2</v>
      </c>
      <c r="BW6" s="18">
        <v>0.124</v>
      </c>
      <c r="BX6" s="18">
        <v>5.7000000000000002E-2</v>
      </c>
      <c r="BY6" s="18">
        <v>0.22700000000000001</v>
      </c>
      <c r="BZ6" s="18">
        <v>4.2000000000000003E-2</v>
      </c>
      <c r="CA6" s="18">
        <v>0.28599999999999998</v>
      </c>
      <c r="CB6" s="18">
        <v>0.247</v>
      </c>
      <c r="CC6" s="18">
        <v>5.1999999999999998E-2</v>
      </c>
      <c r="CD6" s="18">
        <v>0.184</v>
      </c>
      <c r="CE6" s="18">
        <v>5.3999999999999999E-2</v>
      </c>
      <c r="CF6" s="18">
        <v>0.39100000000000001</v>
      </c>
      <c r="CG6" s="18">
        <v>0.32200000000000001</v>
      </c>
      <c r="CH6" s="18">
        <v>0.21299999999999999</v>
      </c>
      <c r="CI6" s="18">
        <v>0.80200000000000005</v>
      </c>
      <c r="CJ6" s="18">
        <v>8.4000000000000005E-2</v>
      </c>
      <c r="CK6" s="18">
        <v>9.2999999999999999E-2</v>
      </c>
      <c r="CL6" s="18">
        <v>0.159</v>
      </c>
      <c r="CM6" s="18">
        <v>0.20599999999999999</v>
      </c>
      <c r="CN6" s="18">
        <v>0.21199999999999999</v>
      </c>
    </row>
    <row r="7" spans="1:92" x14ac:dyDescent="0.25">
      <c r="A7" s="8">
        <v>3</v>
      </c>
      <c r="B7" s="8">
        <v>1</v>
      </c>
      <c r="C7" s="18">
        <v>0.30399999999999999</v>
      </c>
      <c r="D7" s="18">
        <v>4.9000000000000002E-2</v>
      </c>
      <c r="E7" s="18">
        <v>5.8000000000000003E-2</v>
      </c>
      <c r="F7" s="18">
        <v>5.3999999999999999E-2</v>
      </c>
      <c r="G7" s="18">
        <v>0.27300000000000002</v>
      </c>
      <c r="H7" s="18">
        <v>0.56299999999999994</v>
      </c>
      <c r="I7" s="18">
        <v>4.4999999999999998E-2</v>
      </c>
      <c r="J7" s="18">
        <v>0.316</v>
      </c>
      <c r="K7" s="18">
        <v>0.17100000000000001</v>
      </c>
      <c r="L7" s="18">
        <v>0.121</v>
      </c>
      <c r="M7" s="18">
        <v>0.11799999999999999</v>
      </c>
      <c r="N7" s="18">
        <v>0.14899999999999999</v>
      </c>
      <c r="O7" s="18">
        <v>4.9000000000000002E-2</v>
      </c>
      <c r="P7" s="18">
        <v>0.77</v>
      </c>
      <c r="Q7" s="18">
        <v>5.8000000000000003E-2</v>
      </c>
      <c r="R7" s="18">
        <v>9.2999999999999999E-2</v>
      </c>
      <c r="S7" s="18">
        <v>0.11600000000000001</v>
      </c>
      <c r="T7" s="18">
        <v>0.11899999999999999</v>
      </c>
      <c r="U7" s="18">
        <v>0.121</v>
      </c>
      <c r="V7" s="18">
        <v>5.5E-2</v>
      </c>
      <c r="W7" s="18">
        <v>0.216</v>
      </c>
      <c r="X7" s="18">
        <v>8.7999999999999995E-2</v>
      </c>
      <c r="Y7" s="18">
        <v>0.218</v>
      </c>
      <c r="Z7" s="18">
        <v>0.309</v>
      </c>
      <c r="AA7" s="18">
        <v>5.3999999999999999E-2</v>
      </c>
      <c r="AB7" s="18">
        <v>0.20799999999999999</v>
      </c>
      <c r="AC7" s="18">
        <v>0.191</v>
      </c>
      <c r="AD7" s="18">
        <v>4.8000000000000001E-2</v>
      </c>
      <c r="AE7" s="18">
        <v>9.8000000000000004E-2</v>
      </c>
      <c r="AF7" s="18">
        <v>4.5999999999999999E-2</v>
      </c>
      <c r="AG7" s="18">
        <v>7.9000000000000001E-2</v>
      </c>
      <c r="AH7" s="18">
        <v>0.54800000000000004</v>
      </c>
      <c r="AI7" s="18">
        <v>0.161</v>
      </c>
      <c r="AJ7" s="18">
        <v>0.221</v>
      </c>
      <c r="AK7" s="18">
        <v>8.6999999999999994E-2</v>
      </c>
      <c r="AL7" s="18">
        <v>0.22</v>
      </c>
      <c r="AM7" s="18">
        <v>8.3000000000000004E-2</v>
      </c>
      <c r="AN7" s="18">
        <v>0.161</v>
      </c>
      <c r="AO7" s="18">
        <v>0.05</v>
      </c>
      <c r="AP7" s="18">
        <v>4.9000000000000002E-2</v>
      </c>
      <c r="AQ7" s="18">
        <v>0.152</v>
      </c>
      <c r="AR7" s="18">
        <v>5.2999999999999999E-2</v>
      </c>
      <c r="AS7" s="18">
        <v>0.12</v>
      </c>
      <c r="AT7" s="18">
        <v>3.5999999999999997E-2</v>
      </c>
      <c r="AU7" s="18">
        <v>0.26800000000000002</v>
      </c>
      <c r="AV7" s="18">
        <v>0.24299999999999999</v>
      </c>
      <c r="AW7" s="18">
        <v>6.2E-2</v>
      </c>
      <c r="AX7" s="18">
        <v>4.2000000000000003E-2</v>
      </c>
      <c r="AY7" s="18">
        <v>0.13700000000000001</v>
      </c>
      <c r="AZ7" s="18">
        <v>5.8999999999999997E-2</v>
      </c>
      <c r="BA7" s="18">
        <v>0.218</v>
      </c>
      <c r="BB7" s="18">
        <v>0.05</v>
      </c>
      <c r="BC7" s="18">
        <v>5.2999999999999999E-2</v>
      </c>
      <c r="BD7" s="18">
        <v>0.14299999999999999</v>
      </c>
      <c r="BE7" s="18">
        <v>0.83099999999999996</v>
      </c>
      <c r="BF7" s="18">
        <v>9.9000000000000005E-2</v>
      </c>
      <c r="BG7" s="18">
        <v>0.104</v>
      </c>
      <c r="BH7" s="18">
        <v>5.3999999999999999E-2</v>
      </c>
      <c r="BI7" s="18">
        <v>0.217</v>
      </c>
      <c r="BJ7" s="18">
        <v>0.12</v>
      </c>
      <c r="BK7" s="18">
        <v>4.3999999999999997E-2</v>
      </c>
      <c r="BL7" s="18">
        <v>0.22800000000000001</v>
      </c>
      <c r="BM7" s="18">
        <v>0.32800000000000001</v>
      </c>
      <c r="BN7" s="18">
        <v>0.13100000000000001</v>
      </c>
      <c r="BO7" s="18">
        <v>4.3999999999999997E-2</v>
      </c>
      <c r="BP7" s="18">
        <v>0.155</v>
      </c>
      <c r="BQ7" s="18">
        <v>0.05</v>
      </c>
      <c r="BR7" s="18">
        <v>0.21099999999999999</v>
      </c>
      <c r="BS7" s="18">
        <v>4.8000000000000001E-2</v>
      </c>
      <c r="BT7" s="18">
        <v>4.5999999999999999E-2</v>
      </c>
      <c r="BU7" s="18">
        <v>0.13500000000000001</v>
      </c>
      <c r="BV7" s="18">
        <v>5.1999999999999998E-2</v>
      </c>
      <c r="BW7" s="18">
        <v>0.158</v>
      </c>
      <c r="BX7" s="18">
        <v>0.22600000000000001</v>
      </c>
      <c r="BY7" s="18">
        <v>0.17399999999999999</v>
      </c>
      <c r="BZ7" s="18">
        <v>3.7999999999999999E-2</v>
      </c>
      <c r="CA7" s="18">
        <v>0.04</v>
      </c>
      <c r="CB7" s="18">
        <v>5.1999999999999998E-2</v>
      </c>
      <c r="CC7" s="18">
        <v>0.20599999999999999</v>
      </c>
      <c r="CD7" s="18">
        <v>0.05</v>
      </c>
      <c r="CE7" s="18">
        <v>0.373</v>
      </c>
      <c r="CF7" s="18">
        <v>5.0999999999999997E-2</v>
      </c>
      <c r="CG7" s="18">
        <v>0.317</v>
      </c>
      <c r="CH7" s="18">
        <v>0.19400000000000001</v>
      </c>
      <c r="CI7" s="18">
        <v>0.751</v>
      </c>
      <c r="CJ7" s="18">
        <v>0.33200000000000002</v>
      </c>
      <c r="CK7" s="18">
        <v>5.8000000000000003E-2</v>
      </c>
      <c r="CL7" s="18">
        <v>0.03</v>
      </c>
      <c r="CM7" s="18">
        <v>5.0999999999999997E-2</v>
      </c>
      <c r="CN7" s="18">
        <v>7.8E-2</v>
      </c>
    </row>
    <row r="8" spans="1:92" x14ac:dyDescent="0.25">
      <c r="A8" s="8">
        <v>4</v>
      </c>
      <c r="B8" s="8">
        <v>1.5</v>
      </c>
      <c r="C8" s="18">
        <v>7.6999999999999999E-2</v>
      </c>
      <c r="D8" s="18">
        <v>4.9000000000000002E-2</v>
      </c>
      <c r="E8" s="18">
        <v>5.3999999999999999E-2</v>
      </c>
      <c r="F8" s="18">
        <v>0.223</v>
      </c>
      <c r="G8" s="18">
        <v>8.5000000000000006E-2</v>
      </c>
      <c r="H8" s="18">
        <v>5.8000000000000003E-2</v>
      </c>
      <c r="I8" s="18">
        <v>0.13900000000000001</v>
      </c>
      <c r="J8" s="18">
        <v>8.8999999999999996E-2</v>
      </c>
      <c r="K8" s="18">
        <v>0.34799999999999998</v>
      </c>
      <c r="L8" s="18">
        <v>0.222</v>
      </c>
      <c r="M8" s="18">
        <v>5.1999999999999998E-2</v>
      </c>
      <c r="N8" s="18">
        <v>0.186</v>
      </c>
      <c r="O8" s="18">
        <v>4.9000000000000002E-2</v>
      </c>
      <c r="P8" s="18">
        <v>0</v>
      </c>
      <c r="Q8" s="18">
        <v>0.219</v>
      </c>
      <c r="R8" s="18">
        <v>0.17100000000000001</v>
      </c>
      <c r="S8" s="18">
        <v>0.16</v>
      </c>
      <c r="T8" s="18">
        <v>0.28799999999999998</v>
      </c>
      <c r="U8" s="18">
        <v>4.8000000000000001E-2</v>
      </c>
      <c r="V8" s="18">
        <v>0.152</v>
      </c>
      <c r="W8" s="18">
        <v>5.6000000000000001E-2</v>
      </c>
      <c r="X8" s="18">
        <v>5.0999999999999997E-2</v>
      </c>
      <c r="Y8" s="18">
        <v>5.5E-2</v>
      </c>
      <c r="Z8" s="18">
        <v>6.9000000000000006E-2</v>
      </c>
      <c r="AA8" s="18">
        <v>0.26</v>
      </c>
      <c r="AB8" s="18">
        <v>0.24099999999999999</v>
      </c>
      <c r="AC8" s="18">
        <v>7.2999999999999995E-2</v>
      </c>
      <c r="AD8" s="18">
        <v>4.8000000000000001E-2</v>
      </c>
      <c r="AE8" s="18">
        <v>5.8999999999999997E-2</v>
      </c>
      <c r="AF8" s="18">
        <v>0.158</v>
      </c>
      <c r="AG8" s="18">
        <v>8.2000000000000003E-2</v>
      </c>
      <c r="AH8" s="18">
        <v>0.65600000000000003</v>
      </c>
      <c r="AI8" s="18">
        <v>0.153</v>
      </c>
      <c r="AJ8" s="18">
        <v>0.122</v>
      </c>
      <c r="AK8" s="18">
        <v>0.16300000000000001</v>
      </c>
      <c r="AL8" s="18">
        <v>0.17699999999999999</v>
      </c>
      <c r="AM8" s="18">
        <v>3.4000000000000002E-2</v>
      </c>
      <c r="AN8" s="18">
        <v>5.2999999999999999E-2</v>
      </c>
      <c r="AO8" s="18">
        <v>0.05</v>
      </c>
      <c r="AP8" s="18">
        <v>0.20300000000000001</v>
      </c>
      <c r="AQ8" s="18">
        <v>0.19</v>
      </c>
      <c r="AR8" s="18">
        <v>5.2999999999999999E-2</v>
      </c>
      <c r="AS8" s="18">
        <v>7.9000000000000001E-2</v>
      </c>
      <c r="AT8" s="18">
        <v>6.6000000000000003E-2</v>
      </c>
      <c r="AU8" s="18">
        <v>0.17599999999999999</v>
      </c>
      <c r="AV8" s="18">
        <v>4.1000000000000002E-2</v>
      </c>
      <c r="AW8" s="18">
        <v>0.126</v>
      </c>
      <c r="AX8" s="18">
        <v>0.189</v>
      </c>
      <c r="AY8" s="18">
        <v>0.185</v>
      </c>
      <c r="AZ8" s="18">
        <v>0.184</v>
      </c>
      <c r="BA8" s="18">
        <v>7.5999999999999998E-2</v>
      </c>
      <c r="BB8" s="18">
        <v>0.158</v>
      </c>
      <c r="BC8" s="18">
        <v>5.2999999999999999E-2</v>
      </c>
      <c r="BD8" s="18">
        <v>5.3999999999999999E-2</v>
      </c>
      <c r="BE8" s="18">
        <v>0.38700000000000001</v>
      </c>
      <c r="BF8" s="18">
        <v>0.246</v>
      </c>
      <c r="BG8" s="18">
        <v>0.09</v>
      </c>
      <c r="BH8" s="18">
        <v>0.26200000000000001</v>
      </c>
      <c r="BI8" s="18">
        <v>0.109</v>
      </c>
      <c r="BJ8" s="18">
        <v>0.17799999999999999</v>
      </c>
      <c r="BK8" s="18">
        <v>0.183</v>
      </c>
      <c r="BL8" s="18">
        <v>0.05</v>
      </c>
      <c r="BM8" s="18">
        <v>0.23100000000000001</v>
      </c>
      <c r="BN8" s="18">
        <v>0.123</v>
      </c>
      <c r="BO8" s="18">
        <v>0.13700000000000001</v>
      </c>
      <c r="BP8" s="18">
        <v>0.108</v>
      </c>
      <c r="BQ8" s="18">
        <v>0.29399999999999998</v>
      </c>
      <c r="BR8" s="18">
        <v>0.126</v>
      </c>
      <c r="BS8" s="18">
        <v>0.114</v>
      </c>
      <c r="BT8" s="18">
        <v>0.128</v>
      </c>
      <c r="BU8" s="18">
        <v>0.161</v>
      </c>
      <c r="BV8" s="18">
        <v>5.1999999999999998E-2</v>
      </c>
      <c r="BW8" s="18">
        <v>0.14199999999999999</v>
      </c>
      <c r="BX8" s="18">
        <v>8.4000000000000005E-2</v>
      </c>
      <c r="BY8" s="18">
        <v>0.106</v>
      </c>
      <c r="BZ8" s="18">
        <v>8.4000000000000005E-2</v>
      </c>
      <c r="CA8" s="18">
        <v>0.27300000000000002</v>
      </c>
      <c r="CB8" s="18">
        <v>0.06</v>
      </c>
      <c r="CC8" s="18">
        <v>5.1999999999999998E-2</v>
      </c>
      <c r="CD8" s="18">
        <v>0.13200000000000001</v>
      </c>
      <c r="CE8" s="18">
        <v>5.3999999999999999E-2</v>
      </c>
      <c r="CF8" s="18">
        <v>0.316</v>
      </c>
      <c r="CG8" s="18">
        <v>0.107</v>
      </c>
      <c r="CH8" s="18">
        <v>0.16900000000000001</v>
      </c>
      <c r="CI8" s="18">
        <v>0</v>
      </c>
      <c r="CJ8" s="18">
        <v>4.9000000000000002E-2</v>
      </c>
      <c r="CK8" s="18">
        <v>8.4000000000000005E-2</v>
      </c>
      <c r="CL8" s="18">
        <v>0.11799999999999999</v>
      </c>
      <c r="CM8" s="18">
        <v>0.159</v>
      </c>
      <c r="CN8" s="18">
        <v>0.19500000000000001</v>
      </c>
    </row>
    <row r="9" spans="1:92" x14ac:dyDescent="0.25">
      <c r="A9" s="8">
        <v>5</v>
      </c>
      <c r="B9" s="8">
        <v>2</v>
      </c>
      <c r="C9" s="18">
        <v>0.12</v>
      </c>
      <c r="D9" s="18">
        <v>4.9000000000000002E-2</v>
      </c>
      <c r="E9" s="18">
        <v>0.13100000000000001</v>
      </c>
      <c r="F9" s="18">
        <v>6.7000000000000004E-2</v>
      </c>
      <c r="G9" s="18">
        <v>0.28799999999999998</v>
      </c>
      <c r="H9" s="18">
        <v>0.29099999999999998</v>
      </c>
      <c r="I9" s="18">
        <v>4.4999999999999998E-2</v>
      </c>
      <c r="J9" s="18">
        <v>8.8999999999999996E-2</v>
      </c>
      <c r="K9" s="18">
        <v>0.154</v>
      </c>
      <c r="L9" s="18">
        <v>8.3000000000000004E-2</v>
      </c>
      <c r="M9" s="18">
        <v>5.1999999999999998E-2</v>
      </c>
      <c r="N9" s="18">
        <v>0.17399999999999999</v>
      </c>
      <c r="O9" s="18">
        <v>4.9000000000000002E-2</v>
      </c>
      <c r="P9" s="18">
        <v>0</v>
      </c>
      <c r="Q9" s="18">
        <v>0</v>
      </c>
      <c r="R9" s="18">
        <v>0.14199999999999999</v>
      </c>
      <c r="S9" s="18">
        <v>5.7000000000000002E-2</v>
      </c>
      <c r="T9" s="18">
        <v>5.7000000000000002E-2</v>
      </c>
      <c r="U9" s="18">
        <v>0.126</v>
      </c>
      <c r="V9" s="18">
        <v>0.05</v>
      </c>
      <c r="W9" s="18">
        <v>5.6000000000000001E-2</v>
      </c>
      <c r="X9" s="18">
        <v>0.34200000000000003</v>
      </c>
      <c r="Y9" s="18">
        <v>0.17699999999999999</v>
      </c>
      <c r="Z9" s="18">
        <v>4.8000000000000001E-2</v>
      </c>
      <c r="AA9" s="18">
        <v>5.3999999999999999E-2</v>
      </c>
      <c r="AB9" s="18">
        <v>0.27700000000000002</v>
      </c>
      <c r="AC9" s="18">
        <v>0.19900000000000001</v>
      </c>
      <c r="AD9" s="18">
        <v>7.1999999999999995E-2</v>
      </c>
      <c r="AE9" s="18">
        <v>0.26</v>
      </c>
      <c r="AF9" s="18">
        <v>8.7999999999999995E-2</v>
      </c>
      <c r="AG9" s="18">
        <v>8.8999999999999996E-2</v>
      </c>
      <c r="AH9" s="18">
        <v>4.2999999999999997E-2</v>
      </c>
      <c r="AI9" s="18">
        <v>9.6000000000000002E-2</v>
      </c>
      <c r="AJ9" s="18">
        <v>8.2000000000000003E-2</v>
      </c>
      <c r="AK9" s="18">
        <v>5.5E-2</v>
      </c>
      <c r="AL9" s="18">
        <v>4.8000000000000001E-2</v>
      </c>
      <c r="AM9" s="18">
        <v>0.191</v>
      </c>
      <c r="AN9" s="18">
        <v>0.14499999999999999</v>
      </c>
      <c r="AO9" s="18">
        <v>0.20399999999999999</v>
      </c>
      <c r="AP9" s="18">
        <v>0.158</v>
      </c>
      <c r="AQ9" s="18">
        <v>0.185</v>
      </c>
      <c r="AR9" s="18">
        <v>5.2999999999999999E-2</v>
      </c>
      <c r="AS9" s="18">
        <v>0.188</v>
      </c>
      <c r="AT9" s="18">
        <v>0.17</v>
      </c>
      <c r="AU9" s="18">
        <v>0.187</v>
      </c>
      <c r="AV9" s="18">
        <v>4.1000000000000002E-2</v>
      </c>
      <c r="AW9" s="18">
        <v>0.35099999999999998</v>
      </c>
      <c r="AX9" s="18">
        <v>4.2000000000000003E-2</v>
      </c>
      <c r="AY9" s="18">
        <v>0.17699999999999999</v>
      </c>
      <c r="AZ9" s="18">
        <v>8.6999999999999994E-2</v>
      </c>
      <c r="BA9" s="18">
        <v>0.113</v>
      </c>
      <c r="BB9" s="18">
        <v>0.05</v>
      </c>
      <c r="BC9" s="18">
        <v>5.2999999999999999E-2</v>
      </c>
      <c r="BD9" s="18">
        <v>5.3999999999999999E-2</v>
      </c>
      <c r="BE9" s="18">
        <v>0</v>
      </c>
      <c r="BF9" s="18">
        <v>0.14899999999999999</v>
      </c>
      <c r="BG9" s="18">
        <v>0.20899999999999999</v>
      </c>
      <c r="BH9" s="18">
        <v>8.5999999999999993E-2</v>
      </c>
      <c r="BI9" s="18">
        <v>3.3000000000000002E-2</v>
      </c>
      <c r="BJ9" s="18">
        <v>8.6999999999999994E-2</v>
      </c>
      <c r="BK9" s="18">
        <v>0.17399999999999999</v>
      </c>
      <c r="BL9" s="18">
        <v>0.20300000000000001</v>
      </c>
      <c r="BM9" s="18">
        <v>5.5E-2</v>
      </c>
      <c r="BN9" s="18">
        <v>0.22</v>
      </c>
      <c r="BO9" s="18">
        <v>9.7000000000000003E-2</v>
      </c>
      <c r="BP9" s="18">
        <v>0.159</v>
      </c>
      <c r="BQ9" s="18">
        <v>0.54300000000000004</v>
      </c>
      <c r="BR9" s="18">
        <v>0.29199999999999998</v>
      </c>
      <c r="BS9" s="18">
        <v>4.3999999999999997E-2</v>
      </c>
      <c r="BT9" s="18">
        <v>0.23200000000000001</v>
      </c>
      <c r="BU9" s="18">
        <v>0.14899999999999999</v>
      </c>
      <c r="BV9" s="18">
        <v>5.1999999999999998E-2</v>
      </c>
      <c r="BW9" s="18">
        <v>0.13400000000000001</v>
      </c>
      <c r="BX9" s="18">
        <v>0.128</v>
      </c>
      <c r="BY9" s="18">
        <v>4.5999999999999999E-2</v>
      </c>
      <c r="BZ9" s="18">
        <v>6.7000000000000004E-2</v>
      </c>
      <c r="CA9" s="18">
        <v>0.11700000000000001</v>
      </c>
      <c r="CB9" s="18">
        <v>0.222</v>
      </c>
      <c r="CC9" s="18">
        <v>0.13600000000000001</v>
      </c>
      <c r="CD9" s="18">
        <v>0.13200000000000001</v>
      </c>
      <c r="CE9" s="18">
        <v>5.3999999999999999E-2</v>
      </c>
      <c r="CF9" s="18">
        <v>5.0999999999999997E-2</v>
      </c>
      <c r="CG9" s="18">
        <v>0.23</v>
      </c>
      <c r="CH9" s="18">
        <v>0.17299999999999999</v>
      </c>
      <c r="CI9" s="18">
        <v>0</v>
      </c>
      <c r="CJ9" s="18">
        <v>0.21299999999999999</v>
      </c>
      <c r="CK9" s="18">
        <v>0.111</v>
      </c>
      <c r="CL9" s="18">
        <v>7.0999999999999994E-2</v>
      </c>
      <c r="CM9" s="18">
        <v>0.113</v>
      </c>
      <c r="CN9" s="18">
        <v>0.17100000000000001</v>
      </c>
    </row>
    <row r="10" spans="1:92" x14ac:dyDescent="0.25">
      <c r="A10" s="8">
        <v>6</v>
      </c>
      <c r="B10" s="8">
        <v>2.5</v>
      </c>
      <c r="C10" s="18">
        <v>0.26900000000000002</v>
      </c>
      <c r="D10" s="18">
        <v>4.9000000000000002E-2</v>
      </c>
      <c r="E10" s="18">
        <v>0.14199999999999999</v>
      </c>
      <c r="F10" s="18">
        <v>0.1</v>
      </c>
      <c r="G10" s="18">
        <v>0.14299999999999999</v>
      </c>
      <c r="H10" s="18">
        <v>0.13</v>
      </c>
      <c r="I10" s="18">
        <v>0.13900000000000001</v>
      </c>
      <c r="J10" s="18">
        <v>0.30399999999999999</v>
      </c>
      <c r="K10" s="18">
        <v>0.184</v>
      </c>
      <c r="L10" s="18">
        <v>0.28699999999999998</v>
      </c>
      <c r="M10" s="18">
        <v>5.1999999999999998E-2</v>
      </c>
      <c r="N10" s="18">
        <v>4.7E-2</v>
      </c>
      <c r="O10" s="18">
        <v>4.9000000000000002E-2</v>
      </c>
      <c r="P10" s="18">
        <v>0</v>
      </c>
      <c r="Q10" s="18">
        <v>0</v>
      </c>
      <c r="R10" s="18">
        <v>4.8000000000000001E-2</v>
      </c>
      <c r="S10" s="18">
        <v>7.9000000000000001E-2</v>
      </c>
      <c r="T10" s="18">
        <v>4.5999999999999999E-2</v>
      </c>
      <c r="U10" s="18">
        <v>5.1999999999999998E-2</v>
      </c>
      <c r="V10" s="18">
        <v>0.14699999999999999</v>
      </c>
      <c r="W10" s="18">
        <v>0.14199999999999999</v>
      </c>
      <c r="X10" s="18">
        <v>5.0999999999999997E-2</v>
      </c>
      <c r="Y10" s="18">
        <v>0.16700000000000001</v>
      </c>
      <c r="Z10" s="18">
        <v>0.247</v>
      </c>
      <c r="AA10" s="18">
        <v>0.08</v>
      </c>
      <c r="AB10" s="18">
        <v>4.5999999999999999E-2</v>
      </c>
      <c r="AC10" s="18">
        <v>4.5999999999999999E-2</v>
      </c>
      <c r="AD10" s="18">
        <v>0.14299999999999999</v>
      </c>
      <c r="AE10" s="18">
        <v>5.2999999999999999E-2</v>
      </c>
      <c r="AF10" s="18">
        <v>4.5999999999999999E-2</v>
      </c>
      <c r="AG10" s="18">
        <v>5.3999999999999999E-2</v>
      </c>
      <c r="AH10" s="18">
        <v>0</v>
      </c>
      <c r="AI10" s="18">
        <v>0.30399999999999999</v>
      </c>
      <c r="AJ10" s="18">
        <v>9.0999999999999998E-2</v>
      </c>
      <c r="AK10" s="18">
        <v>5.5E-2</v>
      </c>
      <c r="AL10" s="18">
        <v>0.22</v>
      </c>
      <c r="AM10" s="18">
        <v>0.14599999999999999</v>
      </c>
      <c r="AN10" s="18">
        <v>6.8000000000000005E-2</v>
      </c>
      <c r="AO10" s="18">
        <v>0.05</v>
      </c>
      <c r="AP10" s="18">
        <v>4.9000000000000002E-2</v>
      </c>
      <c r="AQ10" s="18">
        <v>0.21</v>
      </c>
      <c r="AR10" s="18">
        <v>5.2999999999999999E-2</v>
      </c>
      <c r="AS10" s="18">
        <v>5.8999999999999997E-2</v>
      </c>
      <c r="AT10" s="18">
        <v>3.5999999999999997E-2</v>
      </c>
      <c r="AU10" s="18">
        <v>0.27200000000000002</v>
      </c>
      <c r="AV10" s="18">
        <v>0.21299999999999999</v>
      </c>
      <c r="AW10" s="18">
        <v>0.28000000000000003</v>
      </c>
      <c r="AX10" s="18">
        <v>4.2000000000000003E-2</v>
      </c>
      <c r="AY10" s="18">
        <v>6.0999999999999999E-2</v>
      </c>
      <c r="AZ10" s="18">
        <v>0.16800000000000001</v>
      </c>
      <c r="BA10" s="18">
        <v>0.13500000000000001</v>
      </c>
      <c r="BB10" s="18">
        <v>0.14199999999999999</v>
      </c>
      <c r="BC10" s="18">
        <v>5.2999999999999999E-2</v>
      </c>
      <c r="BD10" s="18">
        <v>0.14299999999999999</v>
      </c>
      <c r="BE10" s="18">
        <v>0</v>
      </c>
      <c r="BF10" s="18">
        <v>0.246</v>
      </c>
      <c r="BG10" s="18">
        <v>0.14399999999999999</v>
      </c>
      <c r="BH10" s="18">
        <v>0.501</v>
      </c>
      <c r="BI10" s="18">
        <v>0.109</v>
      </c>
      <c r="BJ10" s="18">
        <v>0.21099999999999999</v>
      </c>
      <c r="BK10" s="18">
        <v>4.3999999999999997E-2</v>
      </c>
      <c r="BL10" s="18">
        <v>7.3999999999999996E-2</v>
      </c>
      <c r="BM10" s="18">
        <v>5.5E-2</v>
      </c>
      <c r="BN10" s="18">
        <v>0.16400000000000001</v>
      </c>
      <c r="BO10" s="18">
        <v>4.3999999999999997E-2</v>
      </c>
      <c r="BP10" s="18">
        <v>7.1999999999999995E-2</v>
      </c>
      <c r="BQ10" s="18">
        <v>0.152</v>
      </c>
      <c r="BR10" s="18">
        <v>0.11600000000000001</v>
      </c>
      <c r="BS10" s="18">
        <v>0.11899999999999999</v>
      </c>
      <c r="BT10" s="18">
        <v>4.5999999999999999E-2</v>
      </c>
      <c r="BU10" s="18">
        <v>0.22700000000000001</v>
      </c>
      <c r="BV10" s="18">
        <v>5.1999999999999998E-2</v>
      </c>
      <c r="BW10" s="18">
        <v>0.17399999999999999</v>
      </c>
      <c r="BX10" s="18">
        <v>0.18099999999999999</v>
      </c>
      <c r="BY10" s="18">
        <v>0.09</v>
      </c>
      <c r="BZ10" s="18">
        <v>7.4999999999999997E-2</v>
      </c>
      <c r="CA10" s="18">
        <v>7.1999999999999995E-2</v>
      </c>
      <c r="CB10" s="18">
        <v>5.1999999999999998E-2</v>
      </c>
      <c r="CC10" s="18">
        <v>0.122</v>
      </c>
      <c r="CD10" s="18">
        <v>0.05</v>
      </c>
      <c r="CE10" s="18">
        <v>0.27300000000000002</v>
      </c>
      <c r="CF10" s="18">
        <v>0.186</v>
      </c>
      <c r="CG10" s="18">
        <v>0.22700000000000001</v>
      </c>
      <c r="CH10" s="18">
        <v>0.192</v>
      </c>
      <c r="CI10" s="18">
        <v>0</v>
      </c>
      <c r="CJ10" s="18">
        <v>7.4999999999999997E-2</v>
      </c>
      <c r="CK10" s="18">
        <v>0.10199999999999999</v>
      </c>
      <c r="CL10" s="18">
        <v>0.03</v>
      </c>
      <c r="CM10" s="18">
        <v>5.0999999999999997E-2</v>
      </c>
      <c r="CN10" s="18">
        <v>0.10199999999999999</v>
      </c>
    </row>
    <row r="11" spans="1:92" x14ac:dyDescent="0.25">
      <c r="A11" s="8">
        <v>7</v>
      </c>
      <c r="B11" s="8">
        <v>3</v>
      </c>
      <c r="C11" s="18">
        <v>0.106</v>
      </c>
      <c r="D11" s="18">
        <v>4.9000000000000002E-2</v>
      </c>
      <c r="E11" s="18">
        <v>5.3999999999999999E-2</v>
      </c>
      <c r="F11" s="18">
        <v>4.5999999999999999E-2</v>
      </c>
      <c r="G11" s="18">
        <v>0.19900000000000001</v>
      </c>
      <c r="H11" s="18">
        <v>0.10100000000000001</v>
      </c>
      <c r="I11" s="18">
        <v>4.4999999999999998E-2</v>
      </c>
      <c r="J11" s="18">
        <v>5.8000000000000003E-2</v>
      </c>
      <c r="K11" s="18">
        <v>0.23499999999999999</v>
      </c>
      <c r="L11" s="18">
        <v>0.16700000000000001</v>
      </c>
      <c r="M11" s="18">
        <v>5.1999999999999998E-2</v>
      </c>
      <c r="N11" s="18">
        <v>0.18</v>
      </c>
      <c r="O11" s="18">
        <v>4.9000000000000002E-2</v>
      </c>
      <c r="P11" s="18">
        <v>0</v>
      </c>
      <c r="Q11" s="18">
        <v>0</v>
      </c>
      <c r="R11" s="18">
        <v>0.26500000000000001</v>
      </c>
      <c r="S11" s="18">
        <v>0.27600000000000002</v>
      </c>
      <c r="T11" s="18">
        <v>0.23100000000000001</v>
      </c>
      <c r="U11" s="18">
        <v>0.121</v>
      </c>
      <c r="V11" s="18">
        <v>6.0999999999999999E-2</v>
      </c>
      <c r="W11" s="18">
        <v>0.19800000000000001</v>
      </c>
      <c r="X11" s="18">
        <v>0.159</v>
      </c>
      <c r="Y11" s="18">
        <v>0.105</v>
      </c>
      <c r="Z11" s="18">
        <v>0.13</v>
      </c>
      <c r="AA11" s="18">
        <v>0.20599999999999999</v>
      </c>
      <c r="AB11" s="18">
        <v>0.17499999999999999</v>
      </c>
      <c r="AC11" s="18">
        <v>0.24299999999999999</v>
      </c>
      <c r="AD11" s="18">
        <v>4.8000000000000001E-2</v>
      </c>
      <c r="AE11" s="18">
        <v>0.13200000000000001</v>
      </c>
      <c r="AF11" s="18">
        <v>0.19900000000000001</v>
      </c>
      <c r="AG11" s="18">
        <v>5.3999999999999999E-2</v>
      </c>
      <c r="AH11" s="18">
        <v>0</v>
      </c>
      <c r="AI11" s="18">
        <v>9.4E-2</v>
      </c>
      <c r="AJ11" s="18">
        <v>0.192</v>
      </c>
      <c r="AK11" s="18">
        <v>0.19500000000000001</v>
      </c>
      <c r="AL11" s="18">
        <v>0.17699999999999999</v>
      </c>
      <c r="AM11" s="18">
        <v>3.4000000000000002E-2</v>
      </c>
      <c r="AN11" s="18">
        <v>5.2999999999999999E-2</v>
      </c>
      <c r="AO11" s="18">
        <v>0.127</v>
      </c>
      <c r="AP11" s="18">
        <v>0.13600000000000001</v>
      </c>
      <c r="AQ11" s="18">
        <v>0.06</v>
      </c>
      <c r="AR11" s="18">
        <v>5.2999999999999999E-2</v>
      </c>
      <c r="AS11" s="18">
        <v>5.8999999999999997E-2</v>
      </c>
      <c r="AT11" s="18">
        <v>0.2</v>
      </c>
      <c r="AU11" s="18">
        <v>0.17899999999999999</v>
      </c>
      <c r="AV11" s="18">
        <v>7.0999999999999994E-2</v>
      </c>
      <c r="AW11" s="18">
        <v>0.373</v>
      </c>
      <c r="AX11" s="18">
        <v>0.122</v>
      </c>
      <c r="AY11" s="18">
        <v>0.254</v>
      </c>
      <c r="AZ11" s="18">
        <v>0.16800000000000001</v>
      </c>
      <c r="BA11" s="18">
        <v>0.17199999999999999</v>
      </c>
      <c r="BB11" s="18">
        <v>6.5000000000000002E-2</v>
      </c>
      <c r="BC11" s="18">
        <v>5.2999999999999999E-2</v>
      </c>
      <c r="BD11" s="18">
        <v>5.3999999999999999E-2</v>
      </c>
      <c r="BE11" s="18">
        <v>0</v>
      </c>
      <c r="BF11" s="18">
        <v>0.05</v>
      </c>
      <c r="BG11" s="18">
        <v>4.9000000000000002E-2</v>
      </c>
      <c r="BH11" s="18">
        <v>0.503</v>
      </c>
      <c r="BI11" s="18">
        <v>5.8000000000000003E-2</v>
      </c>
      <c r="BJ11" s="18">
        <v>0.124</v>
      </c>
      <c r="BK11" s="18">
        <v>0.23300000000000001</v>
      </c>
      <c r="BL11" s="18">
        <v>8.2000000000000003E-2</v>
      </c>
      <c r="BM11" s="18">
        <v>5.5E-2</v>
      </c>
      <c r="BN11" s="18">
        <v>0.14699999999999999</v>
      </c>
      <c r="BO11" s="18">
        <v>0.111</v>
      </c>
      <c r="BP11" s="18">
        <v>0.23599999999999999</v>
      </c>
      <c r="BQ11" s="18">
        <v>0.21</v>
      </c>
      <c r="BR11" s="18">
        <v>6.8000000000000005E-2</v>
      </c>
      <c r="BS11" s="18">
        <v>4.3999999999999997E-2</v>
      </c>
      <c r="BT11" s="18">
        <v>0.129</v>
      </c>
      <c r="BU11" s="18">
        <v>6.9000000000000006E-2</v>
      </c>
      <c r="BV11" s="18">
        <v>5.1999999999999998E-2</v>
      </c>
      <c r="BW11" s="18">
        <v>0.109</v>
      </c>
      <c r="BX11" s="18">
        <v>7.4999999999999997E-2</v>
      </c>
      <c r="BY11" s="18">
        <v>0.191</v>
      </c>
      <c r="BZ11" s="18">
        <v>7.4999999999999997E-2</v>
      </c>
      <c r="CA11" s="18">
        <v>0.21199999999999999</v>
      </c>
      <c r="CB11" s="18">
        <v>0.128</v>
      </c>
      <c r="CC11" s="18">
        <v>5.1999999999999998E-2</v>
      </c>
      <c r="CD11" s="18">
        <v>0.191</v>
      </c>
      <c r="CE11" s="18">
        <v>0.154</v>
      </c>
      <c r="CF11" s="18">
        <v>7.1999999999999995E-2</v>
      </c>
      <c r="CG11" s="18">
        <v>6.3E-2</v>
      </c>
      <c r="CH11" s="18">
        <v>0.23899999999999999</v>
      </c>
      <c r="CI11" s="18">
        <v>0</v>
      </c>
      <c r="CJ11" s="18">
        <v>4.9000000000000002E-2</v>
      </c>
      <c r="CK11" s="18">
        <v>9.2999999999999999E-2</v>
      </c>
      <c r="CL11" s="18">
        <v>0.159</v>
      </c>
      <c r="CM11" s="18">
        <v>0.221</v>
      </c>
      <c r="CN11" s="18">
        <v>0.193</v>
      </c>
    </row>
    <row r="12" spans="1:92" x14ac:dyDescent="0.25">
      <c r="A12" s="8">
        <v>8</v>
      </c>
      <c r="B12" s="8">
        <v>3.5</v>
      </c>
      <c r="C12" s="18">
        <v>0.23699999999999999</v>
      </c>
      <c r="D12" s="18">
        <v>4.5999999999999999E-2</v>
      </c>
      <c r="E12" s="18">
        <v>5.0999999999999997E-2</v>
      </c>
      <c r="F12" s="18">
        <v>0.152</v>
      </c>
      <c r="G12" s="18">
        <v>0.23599999999999999</v>
      </c>
      <c r="H12" s="18">
        <v>8.2000000000000003E-2</v>
      </c>
      <c r="I12" s="18">
        <v>4.2000000000000003E-2</v>
      </c>
      <c r="J12" s="18">
        <v>0.13900000000000001</v>
      </c>
      <c r="K12" s="18">
        <v>0.16800000000000001</v>
      </c>
      <c r="L12" s="18">
        <v>0.22800000000000001</v>
      </c>
      <c r="M12" s="18">
        <v>4.9000000000000002E-2</v>
      </c>
      <c r="N12" s="18">
        <v>0.12</v>
      </c>
      <c r="O12" s="18">
        <v>4.5999999999999999E-2</v>
      </c>
      <c r="P12" s="18">
        <v>0</v>
      </c>
      <c r="Q12" s="18">
        <v>0</v>
      </c>
      <c r="R12" s="18">
        <v>4.4999999999999998E-2</v>
      </c>
      <c r="S12" s="18">
        <v>8.5000000000000006E-2</v>
      </c>
      <c r="T12" s="18">
        <v>0.185</v>
      </c>
      <c r="U12" s="18">
        <v>5.0999999999999997E-2</v>
      </c>
      <c r="V12" s="18">
        <v>4.7E-2</v>
      </c>
      <c r="W12" s="18">
        <v>5.2999999999999999E-2</v>
      </c>
      <c r="X12" s="18">
        <v>4.2000000000000003E-2</v>
      </c>
      <c r="Y12" s="18">
        <v>0.23599999999999999</v>
      </c>
      <c r="Z12" s="18">
        <v>4.5999999999999999E-2</v>
      </c>
      <c r="AA12" s="18">
        <v>7.8E-2</v>
      </c>
      <c r="AB12" s="18">
        <v>7.0999999999999994E-2</v>
      </c>
      <c r="AC12" s="18">
        <v>7.8E-2</v>
      </c>
      <c r="AD12" s="18">
        <v>4.4999999999999998E-2</v>
      </c>
      <c r="AE12" s="18">
        <v>0.185</v>
      </c>
      <c r="AF12" s="18">
        <v>4.2999999999999997E-2</v>
      </c>
      <c r="AG12" s="18">
        <v>0.115</v>
      </c>
      <c r="AH12" s="18">
        <v>0</v>
      </c>
      <c r="AI12" s="18">
        <v>0.18</v>
      </c>
      <c r="AJ12" s="18">
        <v>8.2000000000000003E-2</v>
      </c>
      <c r="AK12" s="18">
        <v>5.2999999999999999E-2</v>
      </c>
      <c r="AL12" s="18">
        <v>0.13200000000000001</v>
      </c>
      <c r="AM12" s="18">
        <v>0.185</v>
      </c>
      <c r="AN12" s="18">
        <v>0.15</v>
      </c>
      <c r="AO12" s="18">
        <v>0.124</v>
      </c>
      <c r="AP12" s="18">
        <v>0.19800000000000001</v>
      </c>
      <c r="AQ12" s="18">
        <v>0.33200000000000002</v>
      </c>
      <c r="AR12" s="18">
        <v>5.0999999999999997E-2</v>
      </c>
      <c r="AS12" s="18">
        <v>0.20599999999999999</v>
      </c>
      <c r="AT12" s="18">
        <v>3.4000000000000002E-2</v>
      </c>
      <c r="AU12" s="18">
        <v>0.188</v>
      </c>
      <c r="AV12" s="18">
        <v>5.0999999999999997E-2</v>
      </c>
      <c r="AW12" s="18">
        <v>0.82399999999999995</v>
      </c>
      <c r="AX12" s="18">
        <v>0.108</v>
      </c>
      <c r="AY12" s="18">
        <v>9.5000000000000001E-2</v>
      </c>
      <c r="AZ12" s="18">
        <v>0.16900000000000001</v>
      </c>
      <c r="BA12" s="18">
        <v>9.9000000000000005E-2</v>
      </c>
      <c r="BB12" s="18">
        <v>4.8000000000000001E-2</v>
      </c>
      <c r="BC12" s="18">
        <v>5.0999999999999997E-2</v>
      </c>
      <c r="BD12" s="18">
        <v>9.6000000000000002E-2</v>
      </c>
      <c r="BE12" s="18">
        <v>0</v>
      </c>
      <c r="BF12" s="18">
        <v>8.6999999999999994E-2</v>
      </c>
      <c r="BG12" s="18">
        <v>0.17899999999999999</v>
      </c>
      <c r="BH12" s="18">
        <v>0.22600000000000001</v>
      </c>
      <c r="BI12" s="18">
        <v>0.19</v>
      </c>
      <c r="BJ12" s="18">
        <v>0.14399999999999999</v>
      </c>
      <c r="BK12" s="18">
        <v>0.12</v>
      </c>
      <c r="BL12" s="18">
        <v>0.19400000000000001</v>
      </c>
      <c r="BM12" s="18">
        <v>5.1999999999999998E-2</v>
      </c>
      <c r="BN12" s="18">
        <v>0.317</v>
      </c>
      <c r="BO12" s="18">
        <v>0.121</v>
      </c>
      <c r="BP12" s="18">
        <v>5.8999999999999997E-2</v>
      </c>
      <c r="BQ12" s="18">
        <v>7.4999999999999997E-2</v>
      </c>
      <c r="BR12" s="18">
        <v>0.36199999999999999</v>
      </c>
      <c r="BS12" s="18">
        <v>0.11700000000000001</v>
      </c>
      <c r="BT12" s="18">
        <v>0.22900000000000001</v>
      </c>
      <c r="BU12" s="18">
        <v>0.20499999999999999</v>
      </c>
      <c r="BV12" s="18">
        <v>0.05</v>
      </c>
      <c r="BW12" s="18">
        <v>0.23899999999999999</v>
      </c>
      <c r="BX12" s="18">
        <v>0.23300000000000001</v>
      </c>
      <c r="BY12" s="18">
        <v>0.1</v>
      </c>
      <c r="BZ12" s="18">
        <v>9.9000000000000005E-2</v>
      </c>
      <c r="CA12" s="18">
        <v>3.6999999999999998E-2</v>
      </c>
      <c r="CB12" s="18">
        <v>0.22700000000000001</v>
      </c>
      <c r="CC12" s="18">
        <v>4.9000000000000002E-2</v>
      </c>
      <c r="CD12" s="18">
        <v>7.0000000000000007E-2</v>
      </c>
      <c r="CE12" s="18">
        <v>5.1999999999999998E-2</v>
      </c>
      <c r="CF12" s="18">
        <v>6.5000000000000002E-2</v>
      </c>
      <c r="CG12" s="18">
        <v>0.27100000000000002</v>
      </c>
      <c r="CH12" s="18">
        <v>3.6999999999999998E-2</v>
      </c>
      <c r="CI12" s="18">
        <v>0</v>
      </c>
      <c r="CJ12" s="18">
        <v>0.33800000000000002</v>
      </c>
      <c r="CK12" s="18">
        <v>5.5E-2</v>
      </c>
      <c r="CL12" s="18">
        <v>2.7E-2</v>
      </c>
      <c r="CM12" s="18">
        <v>4.8000000000000001E-2</v>
      </c>
      <c r="CN12" s="18">
        <v>0.156</v>
      </c>
    </row>
    <row r="13" spans="1:92" x14ac:dyDescent="0.25">
      <c r="A13" s="8">
        <v>9</v>
      </c>
      <c r="B13" s="8">
        <v>4</v>
      </c>
      <c r="C13" s="18">
        <v>0.14199999999999999</v>
      </c>
      <c r="D13" s="18">
        <v>0</v>
      </c>
      <c r="E13" s="18">
        <v>9.2999999999999999E-2</v>
      </c>
      <c r="F13" s="18">
        <v>7.1999999999999995E-2</v>
      </c>
      <c r="G13" s="18">
        <v>0</v>
      </c>
      <c r="H13" s="18">
        <v>0</v>
      </c>
      <c r="I13" s="18">
        <v>8.8999999999999996E-2</v>
      </c>
      <c r="J13" s="18">
        <v>9.8000000000000004E-2</v>
      </c>
      <c r="K13" s="18">
        <v>0.16800000000000001</v>
      </c>
      <c r="L13" s="18">
        <v>0.19600000000000001</v>
      </c>
      <c r="M13" s="18">
        <v>1.4999999999999999E-2</v>
      </c>
      <c r="N13" s="18">
        <v>0.14299999999999999</v>
      </c>
      <c r="O13" s="18">
        <v>1.2E-2</v>
      </c>
      <c r="P13" s="18">
        <v>0</v>
      </c>
      <c r="Q13" s="18">
        <v>0</v>
      </c>
      <c r="R13" s="18">
        <v>0.158</v>
      </c>
      <c r="S13" s="18">
        <v>7.4999999999999997E-2</v>
      </c>
      <c r="T13" s="18">
        <v>0.114</v>
      </c>
      <c r="U13" s="18">
        <v>9.7000000000000003E-2</v>
      </c>
      <c r="V13" s="18">
        <v>0.114</v>
      </c>
      <c r="W13" s="18">
        <v>0.22600000000000001</v>
      </c>
      <c r="X13" s="18">
        <v>0.20200000000000001</v>
      </c>
      <c r="Y13" s="18">
        <v>5.0000000000000001E-3</v>
      </c>
      <c r="Z13" s="18">
        <v>0.28499999999999998</v>
      </c>
      <c r="AA13" s="18">
        <v>4.0000000000000001E-3</v>
      </c>
      <c r="AB13" s="18">
        <v>6.8000000000000005E-2</v>
      </c>
      <c r="AC13" s="18">
        <v>3.5999999999999997E-2</v>
      </c>
      <c r="AD13" s="18">
        <v>0</v>
      </c>
      <c r="AE13" s="18">
        <v>2.8000000000000001E-2</v>
      </c>
      <c r="AF13" s="18">
        <v>8.6999999999999994E-2</v>
      </c>
      <c r="AG13" s="18">
        <v>2.3E-2</v>
      </c>
      <c r="AH13" s="18">
        <v>0</v>
      </c>
      <c r="AI13" s="18">
        <v>0.14099999999999999</v>
      </c>
      <c r="AJ13" s="18">
        <v>0.187</v>
      </c>
      <c r="AK13" s="18">
        <v>9.4E-2</v>
      </c>
      <c r="AL13" s="18">
        <v>0.21299999999999999</v>
      </c>
      <c r="AM13" s="18">
        <v>5.2999999999999999E-2</v>
      </c>
      <c r="AN13" s="18">
        <v>1.7000000000000001E-2</v>
      </c>
      <c r="AO13" s="18">
        <v>6.0000000000000001E-3</v>
      </c>
      <c r="AP13" s="18">
        <v>2.3E-2</v>
      </c>
      <c r="AQ13" s="18">
        <v>2.3E-2</v>
      </c>
      <c r="AR13" s="18">
        <v>2.8000000000000001E-2</v>
      </c>
      <c r="AS13" s="18">
        <v>1.4999999999999999E-2</v>
      </c>
      <c r="AT13" s="18">
        <v>5.0000000000000001E-3</v>
      </c>
      <c r="AU13" s="18">
        <v>0</v>
      </c>
      <c r="AV13" s="18">
        <v>0.15</v>
      </c>
      <c r="AW13" s="18">
        <v>0</v>
      </c>
      <c r="AX13" s="18">
        <v>0.05</v>
      </c>
      <c r="AY13" s="18">
        <v>1.9E-2</v>
      </c>
      <c r="AZ13" s="18">
        <v>8.5999999999999993E-2</v>
      </c>
      <c r="BA13" s="18">
        <v>0.104</v>
      </c>
      <c r="BB13" s="18">
        <v>0.127</v>
      </c>
      <c r="BC13" s="18">
        <v>2.1999999999999999E-2</v>
      </c>
      <c r="BD13" s="18">
        <v>6.0999999999999999E-2</v>
      </c>
      <c r="BE13" s="18">
        <v>0</v>
      </c>
      <c r="BF13" s="18">
        <v>0.14799999999999999</v>
      </c>
      <c r="BG13" s="18">
        <v>0.155</v>
      </c>
      <c r="BH13" s="18">
        <v>0.104</v>
      </c>
      <c r="BI13" s="18">
        <v>5.5E-2</v>
      </c>
      <c r="BJ13" s="18">
        <v>6.8000000000000005E-2</v>
      </c>
      <c r="BK13" s="18">
        <v>9.9000000000000005E-2</v>
      </c>
      <c r="BL13" s="18">
        <v>3.1E-2</v>
      </c>
      <c r="BM13" s="18">
        <v>5.0000000000000001E-3</v>
      </c>
      <c r="BN13" s="18">
        <v>6.8000000000000005E-2</v>
      </c>
      <c r="BO13" s="18">
        <v>0</v>
      </c>
      <c r="BP13" s="18">
        <v>0.19600000000000001</v>
      </c>
      <c r="BQ13" s="18">
        <v>0.13700000000000001</v>
      </c>
      <c r="BR13" s="18">
        <v>1.7000000000000001E-2</v>
      </c>
      <c r="BS13" s="18">
        <v>2.5000000000000001E-2</v>
      </c>
      <c r="BT13" s="18">
        <v>2.1000000000000001E-2</v>
      </c>
      <c r="BU13" s="18">
        <v>0</v>
      </c>
      <c r="BV13" s="18">
        <v>2.7E-2</v>
      </c>
      <c r="BW13" s="18">
        <v>5.1999999999999998E-2</v>
      </c>
      <c r="BX13" s="18">
        <v>3.2000000000000001E-2</v>
      </c>
      <c r="BY13" s="18">
        <v>2.9000000000000001E-2</v>
      </c>
      <c r="BZ13" s="18">
        <v>2.5999999999999999E-2</v>
      </c>
      <c r="CA13" s="18">
        <v>9.5000000000000001E-2</v>
      </c>
      <c r="CB13" s="18">
        <v>7.8E-2</v>
      </c>
      <c r="CC13" s="18">
        <v>2E-3</v>
      </c>
      <c r="CD13" s="18">
        <v>1.9E-2</v>
      </c>
      <c r="CE13" s="18">
        <v>0.25800000000000001</v>
      </c>
      <c r="CF13" s="18">
        <v>0.27600000000000002</v>
      </c>
      <c r="CG13" s="18">
        <v>0.158</v>
      </c>
      <c r="CH13" s="18">
        <v>0.29899999999999999</v>
      </c>
      <c r="CI13" s="18">
        <v>0</v>
      </c>
      <c r="CJ13" s="18">
        <v>3.7999999999999999E-2</v>
      </c>
      <c r="CK13" s="18">
        <v>9.4E-2</v>
      </c>
      <c r="CL13" s="18">
        <v>8.5999999999999993E-2</v>
      </c>
      <c r="CM13" s="18">
        <v>0.10199999999999999</v>
      </c>
      <c r="CN13" s="18">
        <v>7.6999999999999999E-2</v>
      </c>
    </row>
    <row r="14" spans="1:92" x14ac:dyDescent="0.25">
      <c r="A14" s="8">
        <v>10</v>
      </c>
      <c r="B14" s="8">
        <v>4.5</v>
      </c>
      <c r="C14" s="18">
        <v>0</v>
      </c>
      <c r="D14" s="18">
        <v>0</v>
      </c>
      <c r="E14" s="18">
        <v>0</v>
      </c>
      <c r="F14" s="18">
        <v>0</v>
      </c>
      <c r="G14" s="18">
        <v>3.5999999999999997E-2</v>
      </c>
      <c r="H14" s="18">
        <v>0</v>
      </c>
      <c r="I14" s="18">
        <v>0</v>
      </c>
      <c r="J14" s="18">
        <v>0</v>
      </c>
      <c r="K14" s="18">
        <v>0</v>
      </c>
      <c r="L14" s="18">
        <v>5.0000000000000001E-3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9.5000000000000001E-2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3.3000000000000002E-2</v>
      </c>
      <c r="AB14" s="18">
        <v>0</v>
      </c>
      <c r="AC14" s="18">
        <v>6.0000000000000001E-3</v>
      </c>
      <c r="AD14" s="18">
        <v>0</v>
      </c>
      <c r="AE14" s="18">
        <v>5.8000000000000003E-2</v>
      </c>
      <c r="AF14" s="18">
        <v>0</v>
      </c>
      <c r="AG14" s="18">
        <v>0</v>
      </c>
      <c r="AH14" s="18">
        <v>0</v>
      </c>
      <c r="AI14" s="18">
        <v>1.4999999999999999E-2</v>
      </c>
      <c r="AJ14" s="18">
        <v>3.5999999999999997E-2</v>
      </c>
      <c r="AK14" s="18">
        <v>1.4999999999999999E-2</v>
      </c>
      <c r="AL14" s="18">
        <v>0</v>
      </c>
      <c r="AM14" s="18">
        <v>0</v>
      </c>
      <c r="AN14" s="18">
        <v>0</v>
      </c>
      <c r="AO14" s="18">
        <v>2.0000000000000001E-4</v>
      </c>
      <c r="AP14" s="18">
        <v>0</v>
      </c>
      <c r="AQ14" s="18">
        <v>1.6E-2</v>
      </c>
      <c r="AR14" s="18">
        <v>0</v>
      </c>
      <c r="AS14" s="18">
        <v>0</v>
      </c>
      <c r="AT14" s="18">
        <v>5.5E-2</v>
      </c>
      <c r="AU14" s="18">
        <v>0</v>
      </c>
      <c r="AV14" s="18">
        <v>0</v>
      </c>
      <c r="AW14" s="18">
        <v>0</v>
      </c>
      <c r="AX14" s="18">
        <v>7.4999999999999997E-2</v>
      </c>
      <c r="AY14" s="18">
        <v>1.4E-2</v>
      </c>
      <c r="AZ14" s="18">
        <v>0</v>
      </c>
      <c r="BA14" s="18">
        <v>7.4999999999999997E-2</v>
      </c>
      <c r="BB14" s="18">
        <v>0</v>
      </c>
      <c r="BC14" s="18">
        <v>0</v>
      </c>
      <c r="BD14" s="18">
        <v>0</v>
      </c>
      <c r="BE14" s="18">
        <v>0</v>
      </c>
      <c r="BF14" s="18">
        <v>3.1E-2</v>
      </c>
      <c r="BG14" s="18">
        <v>2.7E-2</v>
      </c>
      <c r="BH14" s="18">
        <v>0</v>
      </c>
      <c r="BI14" s="18">
        <v>3.5000000000000003E-2</v>
      </c>
      <c r="BJ14" s="18">
        <v>0</v>
      </c>
      <c r="BK14" s="18">
        <v>0</v>
      </c>
      <c r="BL14" s="18">
        <v>0</v>
      </c>
      <c r="BM14" s="18">
        <v>0</v>
      </c>
      <c r="BN14" s="18">
        <v>2E-3</v>
      </c>
      <c r="BO14" s="18">
        <v>0</v>
      </c>
      <c r="BP14" s="18">
        <v>0</v>
      </c>
      <c r="BQ14" s="18">
        <v>0</v>
      </c>
      <c r="BR14" s="18">
        <v>0</v>
      </c>
      <c r="BS14" s="18">
        <v>7.0000000000000001E-3</v>
      </c>
      <c r="BT14" s="18">
        <v>8.2000000000000003E-2</v>
      </c>
      <c r="BU14" s="18">
        <v>0</v>
      </c>
      <c r="BV14" s="18">
        <v>0</v>
      </c>
      <c r="BW14" s="18">
        <v>0</v>
      </c>
      <c r="BX14" s="18">
        <v>0.13600000000000001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3.1E-2</v>
      </c>
      <c r="CE14" s="18">
        <v>0</v>
      </c>
      <c r="CF14" s="18">
        <v>0</v>
      </c>
      <c r="CG14" s="18">
        <v>0</v>
      </c>
      <c r="CH14" s="18">
        <v>2.5999999999999999E-2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</row>
    <row r="15" spans="1:92" x14ac:dyDescent="0.25">
      <c r="A15" s="8">
        <v>11</v>
      </c>
      <c r="B15" s="8">
        <v>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3.1E-2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</row>
    <row r="16" spans="1:92" x14ac:dyDescent="0.25">
      <c r="A16" s="8">
        <v>12</v>
      </c>
      <c r="B16" s="8">
        <v>5.5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1.1279999999999999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</row>
    <row r="17" spans="1:92" x14ac:dyDescent="0.25">
      <c r="A17" s="8">
        <v>13</v>
      </c>
      <c r="B17" s="8">
        <v>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0.21099999999999999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</row>
    <row r="18" spans="1:92" x14ac:dyDescent="0.25">
      <c r="A18" s="8">
        <v>14</v>
      </c>
      <c r="B18" s="8">
        <v>6.5</v>
      </c>
      <c r="C18" s="18">
        <v>0.54200000000000004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0.54200000000000004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</row>
    <row r="19" spans="1:92" x14ac:dyDescent="0.25">
      <c r="A19" s="8">
        <v>15</v>
      </c>
      <c r="B19" s="8">
        <v>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0.63400000000000001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1.089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</row>
    <row r="20" spans="1:92" x14ac:dyDescent="0.25">
      <c r="A20" s="8">
        <v>16</v>
      </c>
      <c r="B20" s="8">
        <v>7.5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0.99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</row>
    <row r="21" spans="1:92" x14ac:dyDescent="0.25">
      <c r="A21" s="8">
        <v>17</v>
      </c>
      <c r="B21" s="8">
        <v>8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0.41899999999999998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0.191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0.32300000000000001</v>
      </c>
      <c r="CN21" s="18">
        <v>0</v>
      </c>
    </row>
    <row r="22" spans="1:92" x14ac:dyDescent="0.25">
      <c r="A22" s="8">
        <v>18</v>
      </c>
      <c r="B22" s="8">
        <v>8.5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0.57999999999999996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0.11799999999999999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0.105</v>
      </c>
      <c r="CN22" s="18">
        <v>0</v>
      </c>
    </row>
    <row r="23" spans="1:92" x14ac:dyDescent="0.25">
      <c r="A23" s="8">
        <v>19</v>
      </c>
      <c r="B23" s="8">
        <v>9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0.58799999999999997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0.223</v>
      </c>
      <c r="CN23" s="18">
        <v>0</v>
      </c>
    </row>
    <row r="24" spans="1:92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0.41799999999999998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0.86299999999999999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0.70099999999999996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6.3E-2</v>
      </c>
      <c r="CN24" s="18">
        <v>0</v>
      </c>
    </row>
    <row r="25" spans="1:92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0.33500000000000002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0.41099999999999998</v>
      </c>
      <c r="CL25" s="18">
        <v>0</v>
      </c>
      <c r="CM25" s="18">
        <v>0.47499999999999998</v>
      </c>
      <c r="CN25" s="18">
        <v>0</v>
      </c>
    </row>
    <row r="26" spans="1:92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</row>
    <row r="27" spans="1:92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0.20100000000000001</v>
      </c>
      <c r="CL27" s="18">
        <v>0</v>
      </c>
      <c r="CM27" s="18">
        <v>0.104</v>
      </c>
      <c r="CN27" s="18">
        <v>0</v>
      </c>
    </row>
    <row r="28" spans="1:92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0.76700000000000002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1.413</v>
      </c>
      <c r="AO28" s="18">
        <v>0</v>
      </c>
      <c r="AP28" s="18">
        <v>0.379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9.8000000000000004E-2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0.217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1.454</v>
      </c>
      <c r="CH28" s="18">
        <v>0</v>
      </c>
      <c r="CI28" s="18">
        <v>0</v>
      </c>
      <c r="CJ28" s="18">
        <v>0</v>
      </c>
      <c r="CK28" s="18">
        <v>1.1180000000000001</v>
      </c>
      <c r="CL28" s="18">
        <v>0</v>
      </c>
      <c r="CM28" s="18">
        <v>0.17799999999999999</v>
      </c>
      <c r="CN28" s="18">
        <v>0</v>
      </c>
    </row>
    <row r="29" spans="1:92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1.383</v>
      </c>
      <c r="CH29" s="18">
        <v>0</v>
      </c>
      <c r="CI29" s="18">
        <v>0</v>
      </c>
      <c r="CJ29" s="18">
        <v>0</v>
      </c>
      <c r="CK29" s="18">
        <v>5.0000000000000001E-3</v>
      </c>
      <c r="CL29" s="18">
        <v>0</v>
      </c>
      <c r="CM29" s="18">
        <v>0</v>
      </c>
      <c r="CN29" s="18">
        <v>0</v>
      </c>
    </row>
    <row r="30" spans="1:92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2.9969999999999999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0.23599999999999999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</row>
    <row r="31" spans="1:92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2.9129999999999998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5.8000000000000003E-2</v>
      </c>
      <c r="CI31" s="18">
        <v>0</v>
      </c>
      <c r="CJ31" s="18">
        <v>0</v>
      </c>
      <c r="CK31" s="18">
        <v>0</v>
      </c>
      <c r="CL31" s="18">
        <v>0</v>
      </c>
      <c r="CM31" s="18">
        <v>1.0620000000000001</v>
      </c>
      <c r="CN31" s="18">
        <v>0</v>
      </c>
    </row>
    <row r="32" spans="1:92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</row>
    <row r="33" spans="1:92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</row>
    <row r="34" spans="1:92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9.4E-2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</row>
    <row r="35" spans="1:92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0.71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0.22600000000000001</v>
      </c>
      <c r="BF35" s="18">
        <v>1.768</v>
      </c>
      <c r="BG35" s="18">
        <v>0</v>
      </c>
      <c r="BH35" s="18">
        <v>0</v>
      </c>
      <c r="BI35" s="18">
        <v>0</v>
      </c>
      <c r="BJ35" s="18">
        <v>0</v>
      </c>
      <c r="BK35" s="18">
        <v>0.104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</row>
    <row r="36" spans="1:92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0.436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1.0309999999999999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</row>
    <row r="37" spans="1:92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0.49099999999999999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0.373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1.6E-2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</row>
    <row r="38" spans="1:92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1.7050000000000001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0.48799999999999999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1.619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</row>
    <row r="39" spans="1:92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0.59299999999999997</v>
      </c>
      <c r="AC39" s="18">
        <v>1.647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0.57299999999999995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0.316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0.39900000000000002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</row>
    <row r="40" spans="1:92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0.57799999999999996</v>
      </c>
      <c r="H40" s="18">
        <v>0</v>
      </c>
      <c r="I40" s="18">
        <v>0</v>
      </c>
      <c r="J40" s="18">
        <v>0</v>
      </c>
      <c r="K40" s="18">
        <v>0.36</v>
      </c>
      <c r="L40" s="18">
        <v>0</v>
      </c>
      <c r="M40" s="18">
        <v>0</v>
      </c>
      <c r="N40" s="18">
        <v>0</v>
      </c>
      <c r="O40" s="18">
        <v>1.0349999999999999</v>
      </c>
      <c r="P40" s="18">
        <v>0</v>
      </c>
      <c r="Q40" s="18">
        <v>0.47299999999999998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1.355</v>
      </c>
      <c r="AC40" s="18">
        <v>0.88600000000000001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0.70399999999999996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0.98799999999999999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2.4E-2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1.3480000000000001</v>
      </c>
      <c r="BP40" s="18">
        <v>0</v>
      </c>
      <c r="BQ40" s="18">
        <v>0</v>
      </c>
      <c r="BR40" s="18">
        <v>0</v>
      </c>
      <c r="BS40" s="18">
        <v>0.32100000000000001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0.82899999999999996</v>
      </c>
      <c r="CE40" s="18">
        <v>0</v>
      </c>
      <c r="CF40" s="18">
        <v>0</v>
      </c>
      <c r="CG40" s="18">
        <v>0</v>
      </c>
      <c r="CH40" s="18">
        <v>0.44700000000000001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</row>
    <row r="41" spans="1:92" x14ac:dyDescent="0.25">
      <c r="A41" s="8">
        <v>37</v>
      </c>
      <c r="B41" s="8">
        <v>18</v>
      </c>
      <c r="C41" s="18">
        <v>0.66100000000000003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0.67900000000000005</v>
      </c>
      <c r="K41" s="18">
        <v>0.32800000000000001</v>
      </c>
      <c r="L41" s="18">
        <v>0</v>
      </c>
      <c r="M41" s="18">
        <v>0</v>
      </c>
      <c r="N41" s="18">
        <v>0</v>
      </c>
      <c r="O41" s="18">
        <v>0</v>
      </c>
      <c r="P41" s="18">
        <v>0.61199999999999999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0.86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8.5999999999999993E-2</v>
      </c>
      <c r="AY41" s="18">
        <v>0</v>
      </c>
      <c r="AZ41" s="18">
        <v>0.47799999999999998</v>
      </c>
      <c r="BA41" s="18">
        <v>0</v>
      </c>
      <c r="BB41" s="18">
        <v>0</v>
      </c>
      <c r="BC41" s="18">
        <v>0</v>
      </c>
      <c r="BD41" s="18">
        <v>0</v>
      </c>
      <c r="BE41" s="18">
        <v>5.5E-2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0.20899999999999999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0.45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5.2999999999999999E-2</v>
      </c>
      <c r="CH41" s="18">
        <v>3.0000000000000001E-3</v>
      </c>
      <c r="CI41" s="18">
        <v>0.17699999999999999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</row>
    <row r="42" spans="1:92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8.8999999999999996E-2</v>
      </c>
      <c r="I42" s="18">
        <v>0</v>
      </c>
      <c r="J42" s="18">
        <v>0</v>
      </c>
      <c r="K42" s="18">
        <v>0.66700000000000004</v>
      </c>
      <c r="L42" s="18">
        <v>0</v>
      </c>
      <c r="M42" s="18">
        <v>0</v>
      </c>
      <c r="N42" s="18">
        <v>0</v>
      </c>
      <c r="O42" s="18">
        <v>0</v>
      </c>
      <c r="P42" s="18">
        <v>1.139</v>
      </c>
      <c r="Q42" s="18">
        <v>1.0169999999999999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0.06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0.57699999999999996</v>
      </c>
      <c r="AO42" s="18">
        <v>0</v>
      </c>
      <c r="AP42" s="18">
        <v>0</v>
      </c>
      <c r="AQ42" s="18">
        <v>0</v>
      </c>
      <c r="AR42" s="18">
        <v>0</v>
      </c>
      <c r="AS42" s="18">
        <v>1.222</v>
      </c>
      <c r="AT42" s="18">
        <v>0</v>
      </c>
      <c r="AU42" s="18">
        <v>0</v>
      </c>
      <c r="AV42" s="18">
        <v>0.14199999999999999</v>
      </c>
      <c r="AW42" s="18">
        <v>0</v>
      </c>
      <c r="AX42" s="18">
        <v>1.421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1.3</v>
      </c>
      <c r="BH42" s="18">
        <v>0.40400000000000003</v>
      </c>
      <c r="BI42" s="18">
        <v>0</v>
      </c>
      <c r="BJ42" s="18">
        <v>0</v>
      </c>
      <c r="BK42" s="18">
        <v>1.9</v>
      </c>
      <c r="BL42" s="18">
        <v>8.3000000000000004E-2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0.49399999999999999</v>
      </c>
      <c r="BT42" s="18">
        <v>0</v>
      </c>
      <c r="BU42" s="18">
        <v>0</v>
      </c>
      <c r="BV42" s="18">
        <v>0</v>
      </c>
      <c r="BW42" s="18">
        <v>0</v>
      </c>
      <c r="BX42" s="18">
        <v>0.32600000000000001</v>
      </c>
      <c r="BY42" s="18">
        <v>0</v>
      </c>
      <c r="BZ42" s="18">
        <v>0</v>
      </c>
      <c r="CA42" s="18">
        <v>3.4000000000000002E-2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1.7999999999999999E-2</v>
      </c>
      <c r="CH42" s="18">
        <v>0.13200000000000001</v>
      </c>
      <c r="CI42" s="18">
        <v>0</v>
      </c>
      <c r="CJ42" s="18">
        <v>0</v>
      </c>
      <c r="CK42" s="18">
        <v>0.75800000000000001</v>
      </c>
      <c r="CL42" s="18">
        <v>0</v>
      </c>
      <c r="CM42" s="18">
        <v>0</v>
      </c>
      <c r="CN42" s="18">
        <v>0</v>
      </c>
    </row>
    <row r="43" spans="1:92" x14ac:dyDescent="0.25">
      <c r="A43" s="8">
        <v>39</v>
      </c>
      <c r="B43" s="8">
        <v>19</v>
      </c>
      <c r="C43" s="18">
        <v>2.5999999999999999E-2</v>
      </c>
      <c r="D43" s="18">
        <v>0</v>
      </c>
      <c r="E43" s="18">
        <v>0</v>
      </c>
      <c r="F43" s="18">
        <v>0</v>
      </c>
      <c r="G43" s="18">
        <v>0.22600000000000001</v>
      </c>
      <c r="H43" s="18">
        <v>1.319</v>
      </c>
      <c r="I43" s="18">
        <v>0</v>
      </c>
      <c r="J43" s="18">
        <v>0</v>
      </c>
      <c r="K43" s="18">
        <v>1.9159999999999999</v>
      </c>
      <c r="L43" s="18">
        <v>0.51300000000000001</v>
      </c>
      <c r="M43" s="18">
        <v>0</v>
      </c>
      <c r="N43" s="18">
        <v>0</v>
      </c>
      <c r="O43" s="18">
        <v>1.3149999999999999</v>
      </c>
      <c r="P43" s="18">
        <v>0</v>
      </c>
      <c r="Q43" s="18">
        <v>0.22700000000000001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6.8000000000000005E-2</v>
      </c>
      <c r="X43" s="18">
        <v>1.6E-2</v>
      </c>
      <c r="Y43" s="18">
        <v>0</v>
      </c>
      <c r="Z43" s="18">
        <v>0</v>
      </c>
      <c r="AA43" s="18">
        <v>0.154</v>
      </c>
      <c r="AB43" s="18">
        <v>0</v>
      </c>
      <c r="AC43" s="18">
        <v>0</v>
      </c>
      <c r="AD43" s="18">
        <v>0.19700000000000001</v>
      </c>
      <c r="AE43" s="18">
        <v>0.17199999999999999</v>
      </c>
      <c r="AF43" s="18">
        <v>0</v>
      </c>
      <c r="AG43" s="18">
        <v>0.218</v>
      </c>
      <c r="AH43" s="18">
        <v>0</v>
      </c>
      <c r="AI43" s="18">
        <v>0</v>
      </c>
      <c r="AJ43" s="18">
        <v>3.1E-2</v>
      </c>
      <c r="AK43" s="18">
        <v>2.4E-2</v>
      </c>
      <c r="AL43" s="18">
        <v>0.26800000000000002</v>
      </c>
      <c r="AM43" s="18">
        <v>0.80900000000000005</v>
      </c>
      <c r="AN43" s="18">
        <v>0.27600000000000002</v>
      </c>
      <c r="AO43" s="18">
        <v>0</v>
      </c>
      <c r="AP43" s="18">
        <v>0</v>
      </c>
      <c r="AQ43" s="18">
        <v>0.373</v>
      </c>
      <c r="AR43" s="18">
        <v>0</v>
      </c>
      <c r="AS43" s="18">
        <v>7.1999999999999995E-2</v>
      </c>
      <c r="AT43" s="18">
        <v>0.01</v>
      </c>
      <c r="AU43" s="18">
        <v>0.23100000000000001</v>
      </c>
      <c r="AV43" s="18">
        <v>9.1999999999999998E-2</v>
      </c>
      <c r="AW43" s="18">
        <v>0</v>
      </c>
      <c r="AX43" s="18">
        <v>1.7000000000000001E-2</v>
      </c>
      <c r="AY43" s="18">
        <v>0</v>
      </c>
      <c r="AZ43" s="18">
        <v>0.33200000000000002</v>
      </c>
      <c r="BA43" s="18">
        <v>0</v>
      </c>
      <c r="BB43" s="18">
        <v>0</v>
      </c>
      <c r="BC43" s="18">
        <v>0.107</v>
      </c>
      <c r="BD43" s="18">
        <v>0</v>
      </c>
      <c r="BE43" s="18">
        <v>0.16700000000000001</v>
      </c>
      <c r="BF43" s="18">
        <v>6.8000000000000005E-2</v>
      </c>
      <c r="BG43" s="18">
        <v>0.78</v>
      </c>
      <c r="BH43" s="18">
        <v>0</v>
      </c>
      <c r="BI43" s="18">
        <v>0.245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0.24</v>
      </c>
      <c r="BT43" s="18">
        <v>0.377</v>
      </c>
      <c r="BU43" s="18">
        <v>0</v>
      </c>
      <c r="BV43" s="18">
        <v>3.5000000000000003E-2</v>
      </c>
      <c r="BW43" s="18">
        <v>0.41399999999999998</v>
      </c>
      <c r="BX43" s="18">
        <v>0.151</v>
      </c>
      <c r="BY43" s="18">
        <v>0</v>
      </c>
      <c r="BZ43" s="18">
        <v>0.24399999999999999</v>
      </c>
      <c r="CA43" s="18">
        <v>0.26700000000000002</v>
      </c>
      <c r="CB43" s="18">
        <v>0</v>
      </c>
      <c r="CC43" s="18">
        <v>0</v>
      </c>
      <c r="CD43" s="18">
        <v>0</v>
      </c>
      <c r="CE43" s="18">
        <v>0</v>
      </c>
      <c r="CF43" s="18">
        <v>0.13700000000000001</v>
      </c>
      <c r="CG43" s="18">
        <v>0.13300000000000001</v>
      </c>
      <c r="CH43" s="18">
        <v>0.29299999999999998</v>
      </c>
      <c r="CI43" s="18">
        <v>7.8E-2</v>
      </c>
      <c r="CJ43" s="18">
        <v>0</v>
      </c>
      <c r="CK43" s="18">
        <v>0</v>
      </c>
      <c r="CL43" s="18">
        <v>0</v>
      </c>
      <c r="CM43" s="18">
        <v>0.374</v>
      </c>
      <c r="CN43" s="18">
        <v>0</v>
      </c>
    </row>
    <row r="44" spans="1:92" x14ac:dyDescent="0.25">
      <c r="A44" s="8">
        <v>40</v>
      </c>
      <c r="B44" s="8">
        <v>19.5</v>
      </c>
      <c r="C44" s="18">
        <v>0.49299999999999999</v>
      </c>
      <c r="D44" s="18">
        <v>0</v>
      </c>
      <c r="E44" s="18">
        <v>2.4E-2</v>
      </c>
      <c r="F44" s="18">
        <v>7.8E-2</v>
      </c>
      <c r="G44" s="18">
        <v>0.624</v>
      </c>
      <c r="H44" s="18">
        <v>0.39800000000000002</v>
      </c>
      <c r="I44" s="18">
        <v>9.6000000000000002E-2</v>
      </c>
      <c r="J44" s="18">
        <v>0</v>
      </c>
      <c r="K44" s="18">
        <v>0.46700000000000003</v>
      </c>
      <c r="L44" s="18">
        <v>0.316</v>
      </c>
      <c r="M44" s="18">
        <v>0.26300000000000001</v>
      </c>
      <c r="N44" s="18">
        <v>0</v>
      </c>
      <c r="O44" s="18">
        <v>1.256</v>
      </c>
      <c r="P44" s="18">
        <v>0.4</v>
      </c>
      <c r="Q44" s="18">
        <v>0</v>
      </c>
      <c r="R44" s="18">
        <v>1.6E-2</v>
      </c>
      <c r="S44" s="18">
        <v>0.128</v>
      </c>
      <c r="T44" s="18">
        <v>0.36499999999999999</v>
      </c>
      <c r="U44" s="18">
        <v>0.121</v>
      </c>
      <c r="V44" s="18">
        <v>0.627</v>
      </c>
      <c r="W44" s="18">
        <v>0.38800000000000001</v>
      </c>
      <c r="X44" s="18">
        <v>0.107</v>
      </c>
      <c r="Y44" s="18">
        <v>1.3680000000000001</v>
      </c>
      <c r="Z44" s="18">
        <v>0.23100000000000001</v>
      </c>
      <c r="AA44" s="18">
        <v>0.216</v>
      </c>
      <c r="AB44" s="18">
        <v>0.52500000000000002</v>
      </c>
      <c r="AC44" s="18">
        <v>0.10299999999999999</v>
      </c>
      <c r="AD44" s="18">
        <v>0.19</v>
      </c>
      <c r="AE44" s="18">
        <v>0.39400000000000002</v>
      </c>
      <c r="AF44" s="18">
        <v>0.18099999999999999</v>
      </c>
      <c r="AG44" s="18">
        <v>0.34599999999999997</v>
      </c>
      <c r="AH44" s="18">
        <v>1.204</v>
      </c>
      <c r="AI44" s="18">
        <v>0.32600000000000001</v>
      </c>
      <c r="AJ44" s="18">
        <v>9.8000000000000004E-2</v>
      </c>
      <c r="AK44" s="18">
        <v>0.16800000000000001</v>
      </c>
      <c r="AL44" s="18">
        <v>0.51900000000000002</v>
      </c>
      <c r="AM44" s="18">
        <v>0.65400000000000003</v>
      </c>
      <c r="AN44" s="18">
        <v>0.14599999999999999</v>
      </c>
      <c r="AO44" s="18">
        <v>0.26100000000000001</v>
      </c>
      <c r="AP44" s="18">
        <v>0</v>
      </c>
      <c r="AQ44" s="18">
        <v>0.58799999999999997</v>
      </c>
      <c r="AR44" s="18">
        <v>0.41199999999999998</v>
      </c>
      <c r="AS44" s="18">
        <v>0.39</v>
      </c>
      <c r="AT44" s="18">
        <v>0.20399999999999999</v>
      </c>
      <c r="AU44" s="18">
        <v>0.79800000000000004</v>
      </c>
      <c r="AV44" s="18">
        <v>0.441</v>
      </c>
      <c r="AW44" s="18">
        <v>0.318</v>
      </c>
      <c r="AX44" s="18">
        <v>3.5000000000000003E-2</v>
      </c>
      <c r="AY44" s="18">
        <v>0.371</v>
      </c>
      <c r="AZ44" s="18">
        <v>0.52600000000000002</v>
      </c>
      <c r="BA44" s="18">
        <v>9.0999999999999998E-2</v>
      </c>
      <c r="BB44" s="18">
        <v>0.125</v>
      </c>
      <c r="BC44" s="18">
        <v>0.38200000000000001</v>
      </c>
      <c r="BD44" s="18">
        <v>0.374</v>
      </c>
      <c r="BE44" s="18">
        <v>0.64600000000000002</v>
      </c>
      <c r="BF44" s="18">
        <v>0.499</v>
      </c>
      <c r="BG44" s="18">
        <v>0.14599999999999999</v>
      </c>
      <c r="BH44" s="18">
        <v>0.63</v>
      </c>
      <c r="BI44" s="18">
        <v>1.359</v>
      </c>
      <c r="BJ44" s="18">
        <v>0.155</v>
      </c>
      <c r="BK44" s="18">
        <v>0.34899999999999998</v>
      </c>
      <c r="BL44" s="18">
        <v>0.35499999999999998</v>
      </c>
      <c r="BM44" s="18">
        <v>7.8E-2</v>
      </c>
      <c r="BN44" s="18">
        <v>0</v>
      </c>
      <c r="BO44" s="18">
        <v>1.248</v>
      </c>
      <c r="BP44" s="18">
        <v>0.214</v>
      </c>
      <c r="BQ44" s="18">
        <v>0.4</v>
      </c>
      <c r="BR44" s="18">
        <v>7.0999999999999994E-2</v>
      </c>
      <c r="BS44" s="18">
        <v>0.14699999999999999</v>
      </c>
      <c r="BT44" s="18">
        <v>0.254</v>
      </c>
      <c r="BU44" s="18">
        <v>0.04</v>
      </c>
      <c r="BV44" s="18">
        <v>0.40400000000000003</v>
      </c>
      <c r="BW44" s="18">
        <v>0.36099999999999999</v>
      </c>
      <c r="BX44" s="18">
        <v>0.33</v>
      </c>
      <c r="BY44" s="18">
        <v>0.128</v>
      </c>
      <c r="BZ44" s="18">
        <v>0.35199999999999998</v>
      </c>
      <c r="CA44" s="18">
        <v>0.374</v>
      </c>
      <c r="CB44" s="18">
        <v>0</v>
      </c>
      <c r="CC44" s="18">
        <v>0.28199999999999997</v>
      </c>
      <c r="CD44" s="18">
        <v>0.16900000000000001</v>
      </c>
      <c r="CE44" s="18">
        <v>0.17100000000000001</v>
      </c>
      <c r="CF44" s="18">
        <v>0.19800000000000001</v>
      </c>
      <c r="CG44" s="18">
        <v>2.984</v>
      </c>
      <c r="CH44" s="18">
        <v>0.47799999999999998</v>
      </c>
      <c r="CI44" s="18">
        <v>2E-3</v>
      </c>
      <c r="CJ44" s="18">
        <v>1.242</v>
      </c>
      <c r="CK44" s="18">
        <v>0.36799999999999999</v>
      </c>
      <c r="CL44" s="18">
        <v>0.48799999999999999</v>
      </c>
      <c r="CM44" s="18">
        <v>0.93600000000000005</v>
      </c>
      <c r="CN44" s="18">
        <v>0.01</v>
      </c>
    </row>
    <row r="45" spans="1:92" x14ac:dyDescent="0.25">
      <c r="A45" s="8">
        <v>41</v>
      </c>
      <c r="B45" s="8">
        <v>20</v>
      </c>
      <c r="C45" s="18">
        <v>0.222</v>
      </c>
      <c r="D45" s="18">
        <v>2.9000000000000001E-2</v>
      </c>
      <c r="E45" s="18">
        <v>5.2999999999999999E-2</v>
      </c>
      <c r="F45" s="18">
        <v>8.1000000000000003E-2</v>
      </c>
      <c r="G45" s="18">
        <v>0.88500000000000001</v>
      </c>
      <c r="H45" s="18">
        <v>0.54500000000000004</v>
      </c>
      <c r="I45" s="18">
        <v>0.28199999999999997</v>
      </c>
      <c r="J45" s="18">
        <v>0.22</v>
      </c>
      <c r="K45" s="18">
        <v>0.39200000000000002</v>
      </c>
      <c r="L45" s="18">
        <v>0.28999999999999998</v>
      </c>
      <c r="M45" s="18">
        <v>0.46200000000000002</v>
      </c>
      <c r="N45" s="18">
        <v>0.154</v>
      </c>
      <c r="O45" s="18">
        <v>0.95699999999999996</v>
      </c>
      <c r="P45" s="18">
        <v>0.53200000000000003</v>
      </c>
      <c r="Q45" s="18">
        <v>1.389</v>
      </c>
      <c r="R45" s="18">
        <v>9.5000000000000001E-2</v>
      </c>
      <c r="S45" s="18">
        <v>0.21</v>
      </c>
      <c r="T45" s="18">
        <v>0.77500000000000002</v>
      </c>
      <c r="U45" s="18">
        <v>0.33300000000000002</v>
      </c>
      <c r="V45" s="18">
        <v>0.63900000000000001</v>
      </c>
      <c r="W45" s="18">
        <v>0.53600000000000003</v>
      </c>
      <c r="X45" s="18">
        <v>0.154</v>
      </c>
      <c r="Y45" s="18">
        <v>0.39700000000000002</v>
      </c>
      <c r="Z45" s="18">
        <v>0.10299999999999999</v>
      </c>
      <c r="AA45" s="18">
        <v>0.55600000000000005</v>
      </c>
      <c r="AB45" s="18">
        <v>4.1000000000000002E-2</v>
      </c>
      <c r="AC45" s="18">
        <v>0.224</v>
      </c>
      <c r="AD45" s="18">
        <v>0.17899999999999999</v>
      </c>
      <c r="AE45" s="18">
        <v>0.41299999999999998</v>
      </c>
      <c r="AF45" s="18">
        <v>0.12</v>
      </c>
      <c r="AG45" s="18">
        <v>0.45900000000000002</v>
      </c>
      <c r="AH45" s="18">
        <v>0.312</v>
      </c>
      <c r="AI45" s="18">
        <v>0.50900000000000001</v>
      </c>
      <c r="AJ45" s="18">
        <v>0.10199999999999999</v>
      </c>
      <c r="AK45" s="18">
        <v>0.33800000000000002</v>
      </c>
      <c r="AL45" s="18">
        <v>0.56799999999999995</v>
      </c>
      <c r="AM45" s="18">
        <v>0.66100000000000003</v>
      </c>
      <c r="AN45" s="18">
        <v>3.5999999999999997E-2</v>
      </c>
      <c r="AO45" s="18">
        <v>1.1930000000000001</v>
      </c>
      <c r="AP45" s="18">
        <v>0.25</v>
      </c>
      <c r="AQ45" s="18">
        <v>1.3360000000000001</v>
      </c>
      <c r="AR45" s="18">
        <v>0.28799999999999998</v>
      </c>
      <c r="AS45" s="18">
        <v>1.657</v>
      </c>
      <c r="AT45" s="18">
        <v>0.38800000000000001</v>
      </c>
      <c r="AU45" s="18">
        <v>0.50600000000000001</v>
      </c>
      <c r="AV45" s="18">
        <v>3.1E-2</v>
      </c>
      <c r="AW45" s="18">
        <v>0.625</v>
      </c>
      <c r="AX45" s="18">
        <v>0.215</v>
      </c>
      <c r="AY45" s="18">
        <v>0.32</v>
      </c>
      <c r="AZ45" s="18">
        <v>1.5509999999999999</v>
      </c>
      <c r="BA45" s="18">
        <v>0.04</v>
      </c>
      <c r="BB45" s="18">
        <v>0.59799999999999998</v>
      </c>
      <c r="BC45" s="18">
        <v>0.44700000000000001</v>
      </c>
      <c r="BD45" s="18">
        <v>0.30299999999999999</v>
      </c>
      <c r="BE45" s="18">
        <v>0.92200000000000004</v>
      </c>
      <c r="BF45" s="18">
        <v>0.313</v>
      </c>
      <c r="BG45" s="18">
        <v>0.33100000000000002</v>
      </c>
      <c r="BH45" s="18">
        <v>0.51600000000000001</v>
      </c>
      <c r="BI45" s="18">
        <v>1.3280000000000001</v>
      </c>
      <c r="BJ45" s="18">
        <v>0.28799999999999998</v>
      </c>
      <c r="BK45" s="18">
        <v>0.28499999999999998</v>
      </c>
      <c r="BL45" s="18">
        <v>0.36099999999999999</v>
      </c>
      <c r="BM45" s="18">
        <v>0.122</v>
      </c>
      <c r="BN45" s="18">
        <v>0.185</v>
      </c>
      <c r="BO45" s="18">
        <v>2.4E-2</v>
      </c>
      <c r="BP45" s="18">
        <v>0.35899999999999999</v>
      </c>
      <c r="BQ45" s="18">
        <v>0.35199999999999998</v>
      </c>
      <c r="BR45" s="18">
        <v>0.20300000000000001</v>
      </c>
      <c r="BS45" s="18">
        <v>0.32800000000000001</v>
      </c>
      <c r="BT45" s="18">
        <v>0.38600000000000001</v>
      </c>
      <c r="BU45" s="18">
        <v>0.13</v>
      </c>
      <c r="BV45" s="18">
        <v>0.59399999999999997</v>
      </c>
      <c r="BW45" s="18">
        <v>0.88800000000000001</v>
      </c>
      <c r="BX45" s="18">
        <v>0.37</v>
      </c>
      <c r="BY45" s="18">
        <v>2.5999999999999999E-2</v>
      </c>
      <c r="BZ45" s="18">
        <v>0.33800000000000002</v>
      </c>
      <c r="CA45" s="18">
        <v>0.376</v>
      </c>
      <c r="CB45" s="18">
        <v>6.2E-2</v>
      </c>
      <c r="CC45" s="18">
        <v>0.27800000000000002</v>
      </c>
      <c r="CD45" s="18">
        <v>0.48899999999999999</v>
      </c>
      <c r="CE45" s="18">
        <v>0.154</v>
      </c>
      <c r="CF45" s="18">
        <v>0.19700000000000001</v>
      </c>
      <c r="CG45" s="18">
        <v>3.0870000000000002</v>
      </c>
      <c r="CH45" s="18">
        <v>0.69</v>
      </c>
      <c r="CI45" s="18">
        <v>0.16900000000000001</v>
      </c>
      <c r="CJ45" s="18">
        <v>0.54800000000000004</v>
      </c>
      <c r="CK45" s="18">
        <v>0.53500000000000003</v>
      </c>
      <c r="CL45" s="18">
        <v>0.41299999999999998</v>
      </c>
      <c r="CM45" s="18">
        <v>0.96499999999999997</v>
      </c>
      <c r="CN45" s="18">
        <v>5.6000000000000001E-2</v>
      </c>
    </row>
    <row r="46" spans="1:92" x14ac:dyDescent="0.25">
      <c r="A46" s="8">
        <v>42</v>
      </c>
      <c r="B46" s="8">
        <v>20.5</v>
      </c>
      <c r="C46" s="18">
        <v>0.40899999999999997</v>
      </c>
      <c r="D46" s="18">
        <v>4.9000000000000002E-2</v>
      </c>
      <c r="E46" s="18">
        <v>0.20100000000000001</v>
      </c>
      <c r="F46" s="18">
        <v>0.17799999999999999</v>
      </c>
      <c r="G46" s="18">
        <v>1.0229999999999999</v>
      </c>
      <c r="H46" s="18">
        <v>0.65100000000000002</v>
      </c>
      <c r="I46" s="18">
        <v>0.39400000000000002</v>
      </c>
      <c r="J46" s="18">
        <v>6.4000000000000001E-2</v>
      </c>
      <c r="K46" s="18">
        <v>0.71599999999999997</v>
      </c>
      <c r="L46" s="18">
        <v>0.6</v>
      </c>
      <c r="M46" s="18">
        <v>0.374</v>
      </c>
      <c r="N46" s="18">
        <v>0.186</v>
      </c>
      <c r="O46" s="18">
        <v>0.38800000000000001</v>
      </c>
      <c r="P46" s="18">
        <v>0.53600000000000003</v>
      </c>
      <c r="Q46" s="18">
        <v>0.61699999999999999</v>
      </c>
      <c r="R46" s="18">
        <v>0.19800000000000001</v>
      </c>
      <c r="S46" s="18">
        <v>0.38200000000000001</v>
      </c>
      <c r="T46" s="18">
        <v>0.41899999999999998</v>
      </c>
      <c r="U46" s="18">
        <v>0.308</v>
      </c>
      <c r="V46" s="18">
        <v>0.39300000000000002</v>
      </c>
      <c r="W46" s="18">
        <v>0.75800000000000001</v>
      </c>
      <c r="X46" s="18">
        <v>0.23100000000000001</v>
      </c>
      <c r="Y46" s="18">
        <v>0.314</v>
      </c>
      <c r="Z46" s="18">
        <v>0.19500000000000001</v>
      </c>
      <c r="AA46" s="18">
        <v>0.56699999999999995</v>
      </c>
      <c r="AB46" s="18">
        <v>5.2999999999999999E-2</v>
      </c>
      <c r="AC46" s="18">
        <v>0.40100000000000002</v>
      </c>
      <c r="AD46" s="18">
        <v>0.94199999999999995</v>
      </c>
      <c r="AE46" s="18">
        <v>0.59399999999999997</v>
      </c>
      <c r="AF46" s="18">
        <v>0.224</v>
      </c>
      <c r="AG46" s="18">
        <v>0.91</v>
      </c>
      <c r="AH46" s="18">
        <v>0.45300000000000001</v>
      </c>
      <c r="AI46" s="18">
        <v>0.42099999999999999</v>
      </c>
      <c r="AJ46" s="18">
        <v>0.36899999999999999</v>
      </c>
      <c r="AK46" s="18">
        <v>0.52800000000000002</v>
      </c>
      <c r="AL46" s="18">
        <v>0.80500000000000005</v>
      </c>
      <c r="AM46" s="18">
        <v>0.77700000000000002</v>
      </c>
      <c r="AN46" s="18">
        <v>5.2999999999999999E-2</v>
      </c>
      <c r="AO46" s="18">
        <v>0.23499999999999999</v>
      </c>
      <c r="AP46" s="18">
        <v>4.9000000000000002E-2</v>
      </c>
      <c r="AQ46" s="18">
        <v>1.3380000000000001</v>
      </c>
      <c r="AR46" s="18">
        <v>0.1</v>
      </c>
      <c r="AS46" s="18">
        <v>0.53700000000000003</v>
      </c>
      <c r="AT46" s="18">
        <v>0.39500000000000002</v>
      </c>
      <c r="AU46" s="18">
        <v>0.96599999999999997</v>
      </c>
      <c r="AV46" s="18">
        <v>0.13600000000000001</v>
      </c>
      <c r="AW46" s="18">
        <v>0.71899999999999997</v>
      </c>
      <c r="AX46" s="18">
        <v>0.56000000000000005</v>
      </c>
      <c r="AY46" s="18">
        <v>0.39600000000000002</v>
      </c>
      <c r="AZ46" s="18">
        <v>0.38700000000000001</v>
      </c>
      <c r="BA46" s="18">
        <v>0.13800000000000001</v>
      </c>
      <c r="BB46" s="18">
        <v>0.51500000000000001</v>
      </c>
      <c r="BC46" s="18">
        <v>0.442</v>
      </c>
      <c r="BD46" s="18">
        <v>0.435</v>
      </c>
      <c r="BE46" s="18">
        <v>0.625</v>
      </c>
      <c r="BF46" s="18">
        <v>0.31900000000000001</v>
      </c>
      <c r="BG46" s="18">
        <v>0.38900000000000001</v>
      </c>
      <c r="BH46" s="18">
        <v>0.52300000000000002</v>
      </c>
      <c r="BI46" s="18">
        <v>0.41499999999999998</v>
      </c>
      <c r="BJ46" s="18">
        <v>0.30599999999999999</v>
      </c>
      <c r="BK46" s="18">
        <v>0.41</v>
      </c>
      <c r="BL46" s="18">
        <v>0.57699999999999996</v>
      </c>
      <c r="BM46" s="18">
        <v>5.5E-2</v>
      </c>
      <c r="BN46" s="18">
        <v>0.25</v>
      </c>
      <c r="BO46" s="18">
        <v>4.3999999999999997E-2</v>
      </c>
      <c r="BP46" s="18">
        <v>0.34599999999999997</v>
      </c>
      <c r="BQ46" s="18">
        <v>0.30499999999999999</v>
      </c>
      <c r="BR46" s="18">
        <v>9.1999999999999998E-2</v>
      </c>
      <c r="BS46" s="18">
        <v>0.23799999999999999</v>
      </c>
      <c r="BT46" s="18">
        <v>0.45600000000000002</v>
      </c>
      <c r="BU46" s="18">
        <v>0.10199999999999999</v>
      </c>
      <c r="BV46" s="18">
        <v>0.47499999999999998</v>
      </c>
      <c r="BW46" s="18">
        <v>0.39</v>
      </c>
      <c r="BX46" s="18">
        <v>0.69099999999999995</v>
      </c>
      <c r="BY46" s="18">
        <v>0.314</v>
      </c>
      <c r="BZ46" s="18">
        <v>0.497</v>
      </c>
      <c r="CA46" s="18">
        <v>0.39100000000000001</v>
      </c>
      <c r="CB46" s="18">
        <v>0.115</v>
      </c>
      <c r="CC46" s="18">
        <v>0.27600000000000002</v>
      </c>
      <c r="CD46" s="18">
        <v>0.48799999999999999</v>
      </c>
      <c r="CE46" s="18">
        <v>9.0999999999999998E-2</v>
      </c>
      <c r="CF46" s="18">
        <v>0.193</v>
      </c>
      <c r="CG46" s="18">
        <v>0.89700000000000002</v>
      </c>
      <c r="CH46" s="18">
        <v>0.68600000000000005</v>
      </c>
      <c r="CI46" s="18">
        <v>0.45500000000000002</v>
      </c>
      <c r="CJ46" s="18">
        <v>0.442</v>
      </c>
      <c r="CK46" s="18">
        <v>0.27200000000000002</v>
      </c>
      <c r="CL46" s="18">
        <v>0.52700000000000002</v>
      </c>
      <c r="CM46" s="18">
        <v>0.45700000000000002</v>
      </c>
      <c r="CN46" s="18">
        <v>0.27700000000000002</v>
      </c>
    </row>
    <row r="47" spans="1:92" x14ac:dyDescent="0.25">
      <c r="A47" s="8">
        <v>43</v>
      </c>
      <c r="B47" s="8">
        <v>21</v>
      </c>
      <c r="C47" s="18">
        <v>0.52300000000000002</v>
      </c>
      <c r="D47" s="18">
        <v>4.9000000000000002E-2</v>
      </c>
      <c r="E47" s="18">
        <v>5.8000000000000003E-2</v>
      </c>
      <c r="F47" s="18">
        <v>0.121</v>
      </c>
      <c r="G47" s="18">
        <v>0.68700000000000006</v>
      </c>
      <c r="H47" s="18">
        <v>0.496</v>
      </c>
      <c r="I47" s="18">
        <v>0.50700000000000001</v>
      </c>
      <c r="J47" s="18">
        <v>0.20200000000000001</v>
      </c>
      <c r="K47" s="18">
        <v>0.83399999999999996</v>
      </c>
      <c r="L47" s="18">
        <v>0.23300000000000001</v>
      </c>
      <c r="M47" s="18">
        <v>0.58699999999999997</v>
      </c>
      <c r="N47" s="18">
        <v>0.17399999999999999</v>
      </c>
      <c r="O47" s="18">
        <v>0.46400000000000002</v>
      </c>
      <c r="P47" s="18">
        <v>0.73899999999999999</v>
      </c>
      <c r="Q47" s="18">
        <v>1.244</v>
      </c>
      <c r="R47" s="18">
        <v>0.152</v>
      </c>
      <c r="S47" s="18">
        <v>0.65800000000000003</v>
      </c>
      <c r="T47" s="18">
        <v>0.29099999999999998</v>
      </c>
      <c r="U47" s="18">
        <v>0.33800000000000002</v>
      </c>
      <c r="V47" s="18">
        <v>0.57399999999999995</v>
      </c>
      <c r="W47" s="18">
        <v>0.63400000000000001</v>
      </c>
      <c r="X47" s="18">
        <v>0.56000000000000005</v>
      </c>
      <c r="Y47" s="18">
        <v>0.34899999999999998</v>
      </c>
      <c r="Z47" s="18">
        <v>0.36599999999999999</v>
      </c>
      <c r="AA47" s="18">
        <v>0.68400000000000005</v>
      </c>
      <c r="AB47" s="18">
        <v>0.61599999999999999</v>
      </c>
      <c r="AC47" s="18">
        <v>0.52900000000000003</v>
      </c>
      <c r="AD47" s="18">
        <v>1.1319999999999999</v>
      </c>
      <c r="AE47" s="18">
        <v>0.442</v>
      </c>
      <c r="AF47" s="18">
        <v>0.374</v>
      </c>
      <c r="AG47" s="18">
        <v>1.2030000000000001</v>
      </c>
      <c r="AH47" s="18">
        <v>0.55200000000000005</v>
      </c>
      <c r="AI47" s="18">
        <v>0.45400000000000001</v>
      </c>
      <c r="AJ47" s="18">
        <v>0.21299999999999999</v>
      </c>
      <c r="AK47" s="18">
        <v>0.36699999999999999</v>
      </c>
      <c r="AL47" s="18">
        <v>0.622</v>
      </c>
      <c r="AM47" s="18">
        <v>0.98</v>
      </c>
      <c r="AN47" s="18">
        <v>0.161</v>
      </c>
      <c r="AO47" s="18">
        <v>0.70199999999999996</v>
      </c>
      <c r="AP47" s="18">
        <v>0.312</v>
      </c>
      <c r="AQ47" s="18">
        <v>0.79700000000000004</v>
      </c>
      <c r="AR47" s="18">
        <v>5.2999999999999999E-2</v>
      </c>
      <c r="AS47" s="18">
        <v>0.66100000000000003</v>
      </c>
      <c r="AT47" s="18">
        <v>0.57099999999999995</v>
      </c>
      <c r="AU47" s="18">
        <v>0.81299999999999994</v>
      </c>
      <c r="AV47" s="18">
        <v>0.41399999999999998</v>
      </c>
      <c r="AW47" s="18">
        <v>0.48699999999999999</v>
      </c>
      <c r="AX47" s="18">
        <v>0.42799999999999999</v>
      </c>
      <c r="AY47" s="18">
        <v>0.48599999999999999</v>
      </c>
      <c r="AZ47" s="18">
        <v>0.91100000000000003</v>
      </c>
      <c r="BA47" s="18">
        <v>0.16500000000000001</v>
      </c>
      <c r="BB47" s="18">
        <v>0.65800000000000003</v>
      </c>
      <c r="BC47" s="18">
        <v>0.73699999999999999</v>
      </c>
      <c r="BD47" s="18">
        <v>0.72899999999999998</v>
      </c>
      <c r="BE47" s="18">
        <v>0.495</v>
      </c>
      <c r="BF47" s="18">
        <v>0.49299999999999999</v>
      </c>
      <c r="BG47" s="18">
        <v>0.57599999999999996</v>
      </c>
      <c r="BH47" s="18">
        <v>0.95799999999999996</v>
      </c>
      <c r="BI47" s="18">
        <v>0.20300000000000001</v>
      </c>
      <c r="BJ47" s="18">
        <v>0.18099999999999999</v>
      </c>
      <c r="BK47" s="18">
        <v>0.36899999999999999</v>
      </c>
      <c r="BL47" s="18">
        <v>0.70399999999999996</v>
      </c>
      <c r="BM47" s="18">
        <v>5.5E-2</v>
      </c>
      <c r="BN47" s="18">
        <v>9.6000000000000002E-2</v>
      </c>
      <c r="BO47" s="18">
        <v>0.14399999999999999</v>
      </c>
      <c r="BP47" s="18">
        <v>0.313</v>
      </c>
      <c r="BQ47" s="18">
        <v>0.52100000000000002</v>
      </c>
      <c r="BR47" s="18">
        <v>0.23200000000000001</v>
      </c>
      <c r="BS47" s="18">
        <v>0.182</v>
      </c>
      <c r="BT47" s="18">
        <v>0.436</v>
      </c>
      <c r="BU47" s="18">
        <v>0.23</v>
      </c>
      <c r="BV47" s="18">
        <v>0.68100000000000005</v>
      </c>
      <c r="BW47" s="18">
        <v>0.53100000000000003</v>
      </c>
      <c r="BX47" s="18">
        <v>0.41</v>
      </c>
      <c r="BY47" s="18">
        <v>0.158</v>
      </c>
      <c r="BZ47" s="18">
        <v>0.45300000000000001</v>
      </c>
      <c r="CA47" s="18">
        <v>0.499</v>
      </c>
      <c r="CB47" s="18">
        <v>0.25700000000000001</v>
      </c>
      <c r="CC47" s="18">
        <v>0.47499999999999998</v>
      </c>
      <c r="CD47" s="18">
        <v>0.77300000000000002</v>
      </c>
      <c r="CE47" s="18">
        <v>0.223</v>
      </c>
      <c r="CF47" s="18">
        <v>0.45400000000000001</v>
      </c>
      <c r="CG47" s="18">
        <v>0</v>
      </c>
      <c r="CH47" s="18">
        <v>0.86</v>
      </c>
      <c r="CI47" s="18">
        <v>0.499</v>
      </c>
      <c r="CJ47" s="18">
        <v>0.4</v>
      </c>
      <c r="CK47" s="18">
        <v>1.35</v>
      </c>
      <c r="CL47" s="18">
        <v>0.57499999999999996</v>
      </c>
      <c r="CM47" s="18">
        <v>0.55800000000000005</v>
      </c>
      <c r="CN47" s="18">
        <v>5.3999999999999999E-2</v>
      </c>
    </row>
    <row r="48" spans="1:92" x14ac:dyDescent="0.25">
      <c r="A48" s="8">
        <v>44</v>
      </c>
      <c r="B48" s="8">
        <v>21.5</v>
      </c>
      <c r="C48" s="18">
        <v>1.2310000000000001</v>
      </c>
      <c r="D48" s="18">
        <v>4.9000000000000002E-2</v>
      </c>
      <c r="E48" s="18">
        <v>0.36</v>
      </c>
      <c r="F48" s="18">
        <v>0.26800000000000002</v>
      </c>
      <c r="G48" s="18">
        <v>0.65</v>
      </c>
      <c r="H48" s="18">
        <v>0.17</v>
      </c>
      <c r="I48" s="18">
        <v>0.46500000000000002</v>
      </c>
      <c r="J48" s="18">
        <v>0.20300000000000001</v>
      </c>
      <c r="K48" s="18">
        <v>0.80500000000000005</v>
      </c>
      <c r="L48" s="18">
        <v>9.1999999999999998E-2</v>
      </c>
      <c r="M48" s="18">
        <v>0.80900000000000005</v>
      </c>
      <c r="N48" s="18">
        <v>0.129</v>
      </c>
      <c r="O48" s="18">
        <v>0.57599999999999996</v>
      </c>
      <c r="P48" s="18">
        <v>1.5129999999999999</v>
      </c>
      <c r="Q48" s="18">
        <v>0.63400000000000001</v>
      </c>
      <c r="R48" s="18">
        <v>0.30399999999999999</v>
      </c>
      <c r="S48" s="18">
        <v>0.432</v>
      </c>
      <c r="T48" s="18">
        <v>0.46300000000000002</v>
      </c>
      <c r="U48" s="18">
        <v>0.104</v>
      </c>
      <c r="V48" s="18">
        <v>0.55800000000000005</v>
      </c>
      <c r="W48" s="18">
        <v>0.28199999999999997</v>
      </c>
      <c r="X48" s="18">
        <v>0.376</v>
      </c>
      <c r="Y48" s="18">
        <v>0.79400000000000004</v>
      </c>
      <c r="Z48" s="18">
        <v>0.999</v>
      </c>
      <c r="AA48" s="18">
        <v>1.0289999999999999</v>
      </c>
      <c r="AB48" s="18">
        <v>0.46</v>
      </c>
      <c r="AC48" s="18">
        <v>0.33600000000000002</v>
      </c>
      <c r="AD48" s="18">
        <v>0.48</v>
      </c>
      <c r="AE48" s="18">
        <v>1.42</v>
      </c>
      <c r="AF48" s="18">
        <v>0.25800000000000001</v>
      </c>
      <c r="AG48" s="18">
        <v>0.433</v>
      </c>
      <c r="AH48" s="18">
        <v>0.54900000000000004</v>
      </c>
      <c r="AI48" s="18">
        <v>0.41899999999999998</v>
      </c>
      <c r="AJ48" s="18">
        <v>0.36899999999999999</v>
      </c>
      <c r="AK48" s="18">
        <v>0.39700000000000002</v>
      </c>
      <c r="AL48" s="18">
        <v>0.80200000000000005</v>
      </c>
      <c r="AM48" s="18">
        <v>0.70099999999999996</v>
      </c>
      <c r="AN48" s="18">
        <v>5.2999999999999999E-2</v>
      </c>
      <c r="AO48" s="18">
        <v>0.443</v>
      </c>
      <c r="AP48" s="18">
        <v>4.9000000000000002E-2</v>
      </c>
      <c r="AQ48" s="18">
        <v>1.002</v>
      </c>
      <c r="AR48" s="18">
        <v>5.2999999999999999E-2</v>
      </c>
      <c r="AS48" s="18">
        <v>0.99099999999999999</v>
      </c>
      <c r="AT48" s="18">
        <v>0.59299999999999997</v>
      </c>
      <c r="AU48" s="18">
        <v>0.72199999999999998</v>
      </c>
      <c r="AV48" s="18">
        <v>0.30199999999999999</v>
      </c>
      <c r="AW48" s="18">
        <v>0.74199999999999999</v>
      </c>
      <c r="AX48" s="18">
        <v>0.50800000000000001</v>
      </c>
      <c r="AY48" s="18">
        <v>0.495</v>
      </c>
      <c r="AZ48" s="18">
        <v>0.53700000000000003</v>
      </c>
      <c r="BA48" s="18">
        <v>0.19</v>
      </c>
      <c r="BB48" s="18">
        <v>0.74099999999999999</v>
      </c>
      <c r="BC48" s="18">
        <v>0.34499999999999997</v>
      </c>
      <c r="BD48" s="18">
        <v>0.56200000000000006</v>
      </c>
      <c r="BE48" s="18">
        <v>0.47099999999999997</v>
      </c>
      <c r="BF48" s="18">
        <v>0.4</v>
      </c>
      <c r="BG48" s="18">
        <v>0.76800000000000002</v>
      </c>
      <c r="BH48" s="18">
        <v>1.6519999999999999</v>
      </c>
      <c r="BI48" s="18">
        <v>0.40200000000000002</v>
      </c>
      <c r="BJ48" s="18">
        <v>0.53800000000000003</v>
      </c>
      <c r="BK48" s="18">
        <v>0.27100000000000002</v>
      </c>
      <c r="BL48" s="18">
        <v>0.378</v>
      </c>
      <c r="BM48" s="18">
        <v>5.5E-2</v>
      </c>
      <c r="BN48" s="18">
        <v>0.34399999999999997</v>
      </c>
      <c r="BO48" s="18">
        <v>9.0999999999999998E-2</v>
      </c>
      <c r="BP48" s="18">
        <v>0.21</v>
      </c>
      <c r="BQ48" s="18">
        <v>0.56100000000000005</v>
      </c>
      <c r="BR48" s="18">
        <v>0.193</v>
      </c>
      <c r="BS48" s="18">
        <v>0.36899999999999999</v>
      </c>
      <c r="BT48" s="18">
        <v>0.36099999999999999</v>
      </c>
      <c r="BU48" s="18">
        <v>7.8E-2</v>
      </c>
      <c r="BV48" s="18">
        <v>0.82899999999999996</v>
      </c>
      <c r="BW48" s="18">
        <v>0.59699999999999998</v>
      </c>
      <c r="BX48" s="18">
        <v>0.99199999999999999</v>
      </c>
      <c r="BY48" s="18">
        <v>1.496</v>
      </c>
      <c r="BZ48" s="18">
        <v>0.254</v>
      </c>
      <c r="CA48" s="18">
        <v>0.32800000000000001</v>
      </c>
      <c r="CB48" s="18">
        <v>8.5999999999999993E-2</v>
      </c>
      <c r="CC48" s="18">
        <v>0.65400000000000003</v>
      </c>
      <c r="CD48" s="18">
        <v>0.28100000000000003</v>
      </c>
      <c r="CE48" s="18">
        <v>0.217</v>
      </c>
      <c r="CF48" s="18">
        <v>0.183</v>
      </c>
      <c r="CG48" s="18">
        <v>0</v>
      </c>
      <c r="CH48" s="18">
        <v>0.46899999999999997</v>
      </c>
      <c r="CI48" s="18">
        <v>0.39100000000000001</v>
      </c>
      <c r="CJ48" s="18">
        <v>0.85699999999999998</v>
      </c>
      <c r="CK48" s="18">
        <v>0.505</v>
      </c>
      <c r="CL48" s="18">
        <v>0.441</v>
      </c>
      <c r="CM48" s="18">
        <v>0.62</v>
      </c>
      <c r="CN48" s="18">
        <v>0.29799999999999999</v>
      </c>
    </row>
    <row r="49" spans="1:92" x14ac:dyDescent="0.25">
      <c r="A49" s="8">
        <v>45</v>
      </c>
      <c r="B49" s="8">
        <v>22</v>
      </c>
      <c r="C49" s="18">
        <v>0.68100000000000005</v>
      </c>
      <c r="D49" s="18">
        <v>4.9000000000000002E-2</v>
      </c>
      <c r="E49" s="18">
        <v>0.499</v>
      </c>
      <c r="F49" s="18">
        <v>0.47</v>
      </c>
      <c r="G49" s="18">
        <v>0.18</v>
      </c>
      <c r="H49" s="18">
        <v>5.8000000000000003E-2</v>
      </c>
      <c r="I49" s="18">
        <v>0.48399999999999999</v>
      </c>
      <c r="J49" s="18">
        <v>0.15</v>
      </c>
      <c r="K49" s="18">
        <v>0.68600000000000005</v>
      </c>
      <c r="L49" s="18">
        <v>0.13800000000000001</v>
      </c>
      <c r="M49" s="18">
        <v>0.55300000000000005</v>
      </c>
      <c r="N49" s="18">
        <v>0.13600000000000001</v>
      </c>
      <c r="O49" s="18">
        <v>0.45400000000000001</v>
      </c>
      <c r="P49" s="18">
        <v>1.7889999999999999</v>
      </c>
      <c r="Q49" s="18">
        <v>1.0960000000000001</v>
      </c>
      <c r="R49" s="18">
        <v>0.69699999999999995</v>
      </c>
      <c r="S49" s="18">
        <v>0.48599999999999999</v>
      </c>
      <c r="T49" s="18">
        <v>0.53300000000000003</v>
      </c>
      <c r="U49" s="18">
        <v>4.8000000000000001E-2</v>
      </c>
      <c r="V49" s="18">
        <v>0.60099999999999998</v>
      </c>
      <c r="W49" s="18">
        <v>7.9000000000000001E-2</v>
      </c>
      <c r="X49" s="18">
        <v>0.54700000000000004</v>
      </c>
      <c r="Y49" s="18">
        <v>9.2999999999999999E-2</v>
      </c>
      <c r="Z49" s="18">
        <v>0.39100000000000001</v>
      </c>
      <c r="AA49" s="18">
        <v>0.441</v>
      </c>
      <c r="AB49" s="18">
        <v>0.61599999999999999</v>
      </c>
      <c r="AC49" s="18">
        <v>0.32</v>
      </c>
      <c r="AD49" s="18">
        <v>0.46500000000000002</v>
      </c>
      <c r="AE49" s="18">
        <v>1.679</v>
      </c>
      <c r="AF49" s="18">
        <v>0.378</v>
      </c>
      <c r="AG49" s="18">
        <v>0.442</v>
      </c>
      <c r="AH49" s="18">
        <v>0.36499999999999999</v>
      </c>
      <c r="AI49" s="18">
        <v>0.438</v>
      </c>
      <c r="AJ49" s="18">
        <v>5.8999999999999997E-2</v>
      </c>
      <c r="AK49" s="18">
        <v>1.034</v>
      </c>
      <c r="AL49" s="18">
        <v>0.9</v>
      </c>
      <c r="AM49" s="18">
        <v>0.76</v>
      </c>
      <c r="AN49" s="18">
        <v>0.161</v>
      </c>
      <c r="AO49" s="18">
        <v>0.32100000000000001</v>
      </c>
      <c r="AP49" s="18">
        <v>0.17699999999999999</v>
      </c>
      <c r="AQ49" s="18">
        <v>1.3009999999999999</v>
      </c>
      <c r="AR49" s="18">
        <v>0.48599999999999999</v>
      </c>
      <c r="AS49" s="18">
        <v>1.643</v>
      </c>
      <c r="AT49" s="18">
        <v>0.42199999999999999</v>
      </c>
      <c r="AU49" s="18">
        <v>0.85899999999999999</v>
      </c>
      <c r="AV49" s="18">
        <v>0.57499999999999996</v>
      </c>
      <c r="AW49" s="18">
        <v>1.357</v>
      </c>
      <c r="AX49" s="18">
        <v>0.69399999999999995</v>
      </c>
      <c r="AY49" s="18">
        <v>0.623</v>
      </c>
      <c r="AZ49" s="18">
        <v>0.80100000000000005</v>
      </c>
      <c r="BA49" s="18">
        <v>5.1999999999999998E-2</v>
      </c>
      <c r="BB49" s="18">
        <v>0.05</v>
      </c>
      <c r="BC49" s="18">
        <v>0.29799999999999999</v>
      </c>
      <c r="BD49" s="18">
        <v>0.67200000000000004</v>
      </c>
      <c r="BE49" s="18">
        <v>1.1719999999999999</v>
      </c>
      <c r="BF49" s="18">
        <v>0.42499999999999999</v>
      </c>
      <c r="BG49" s="18">
        <v>1.7010000000000001</v>
      </c>
      <c r="BH49" s="18">
        <v>0.432</v>
      </c>
      <c r="BI49" s="18">
        <v>0.26700000000000002</v>
      </c>
      <c r="BJ49" s="18">
        <v>0.58699999999999997</v>
      </c>
      <c r="BK49" s="18">
        <v>0.17899999999999999</v>
      </c>
      <c r="BL49" s="18">
        <v>0.57299999999999995</v>
      </c>
      <c r="BM49" s="18">
        <v>5.5E-2</v>
      </c>
      <c r="BN49" s="18">
        <v>0.12</v>
      </c>
      <c r="BO49" s="18">
        <v>0.104</v>
      </c>
      <c r="BP49" s="18">
        <v>0.68200000000000005</v>
      </c>
      <c r="BQ49" s="18">
        <v>0.73899999999999999</v>
      </c>
      <c r="BR49" s="18">
        <v>7.5999999999999998E-2</v>
      </c>
      <c r="BS49" s="18">
        <v>0.29799999999999999</v>
      </c>
      <c r="BT49" s="18">
        <v>0.60199999999999998</v>
      </c>
      <c r="BU49" s="18">
        <v>0.29199999999999998</v>
      </c>
      <c r="BV49" s="18">
        <v>0.83599999999999997</v>
      </c>
      <c r="BW49" s="18">
        <v>0.42599999999999999</v>
      </c>
      <c r="BX49" s="18">
        <v>0.55100000000000005</v>
      </c>
      <c r="BY49" s="18">
        <v>0.55300000000000005</v>
      </c>
      <c r="BZ49" s="18">
        <v>0.30499999999999999</v>
      </c>
      <c r="CA49" s="18">
        <v>0.23200000000000001</v>
      </c>
      <c r="CB49" s="18">
        <v>0.25600000000000001</v>
      </c>
      <c r="CC49" s="18">
        <v>0.499</v>
      </c>
      <c r="CD49" s="18">
        <v>0.315</v>
      </c>
      <c r="CE49" s="18">
        <v>0.88200000000000001</v>
      </c>
      <c r="CF49" s="18">
        <v>0.53</v>
      </c>
      <c r="CG49" s="18">
        <v>0</v>
      </c>
      <c r="CH49" s="18">
        <v>0.14299999999999999</v>
      </c>
      <c r="CI49" s="18">
        <v>0.55400000000000005</v>
      </c>
      <c r="CJ49" s="18">
        <v>0.36699999999999999</v>
      </c>
      <c r="CK49" s="18">
        <v>0.59499999999999997</v>
      </c>
      <c r="CL49" s="18">
        <v>0.159</v>
      </c>
      <c r="CM49" s="18">
        <v>0.94699999999999995</v>
      </c>
      <c r="CN49" s="18">
        <v>5.3999999999999999E-2</v>
      </c>
    </row>
    <row r="50" spans="1:92" x14ac:dyDescent="0.25">
      <c r="A50" s="8">
        <v>46</v>
      </c>
      <c r="B50" s="8">
        <v>22.5</v>
      </c>
      <c r="C50" s="18">
        <v>0.75</v>
      </c>
      <c r="D50" s="18">
        <v>4.9000000000000002E-2</v>
      </c>
      <c r="E50" s="18">
        <v>0.436</v>
      </c>
      <c r="F50" s="18">
        <v>0.107</v>
      </c>
      <c r="G50" s="18">
        <v>0.19500000000000001</v>
      </c>
      <c r="H50" s="18">
        <v>0.27300000000000002</v>
      </c>
      <c r="I50" s="18">
        <v>0.54900000000000004</v>
      </c>
      <c r="J50" s="18">
        <v>7.1999999999999995E-2</v>
      </c>
      <c r="K50" s="18">
        <v>0</v>
      </c>
      <c r="L50" s="18">
        <v>0.17100000000000001</v>
      </c>
      <c r="M50" s="18">
        <v>0.40699999999999997</v>
      </c>
      <c r="N50" s="18">
        <v>0.14199999999999999</v>
      </c>
      <c r="O50" s="18">
        <v>0.17399999999999999</v>
      </c>
      <c r="P50" s="18">
        <v>0</v>
      </c>
      <c r="Q50" s="18">
        <v>0.51900000000000002</v>
      </c>
      <c r="R50" s="18">
        <v>0.56899999999999995</v>
      </c>
      <c r="S50" s="18">
        <v>0.26200000000000001</v>
      </c>
      <c r="T50" s="18">
        <v>0.59299999999999997</v>
      </c>
      <c r="U50" s="18">
        <v>6.5000000000000002E-2</v>
      </c>
      <c r="V50" s="18">
        <v>0.53</v>
      </c>
      <c r="W50" s="18">
        <v>0.16200000000000001</v>
      </c>
      <c r="X50" s="18">
        <v>0.52</v>
      </c>
      <c r="Y50" s="18">
        <v>0.20399999999999999</v>
      </c>
      <c r="Z50" s="18">
        <v>0.309</v>
      </c>
      <c r="AA50" s="18">
        <v>0.16800000000000001</v>
      </c>
      <c r="AB50" s="18">
        <v>0.755</v>
      </c>
      <c r="AC50" s="18">
        <v>0.66600000000000004</v>
      </c>
      <c r="AD50" s="18">
        <v>0.35</v>
      </c>
      <c r="AE50" s="18">
        <v>0.41</v>
      </c>
      <c r="AF50" s="18">
        <v>0.21099999999999999</v>
      </c>
      <c r="AG50" s="18">
        <v>0.34799999999999998</v>
      </c>
      <c r="AH50" s="18">
        <v>0.36099999999999999</v>
      </c>
      <c r="AI50" s="18">
        <v>0.27500000000000002</v>
      </c>
      <c r="AJ50" s="18">
        <v>0.182</v>
      </c>
      <c r="AK50" s="18">
        <v>0.30499999999999999</v>
      </c>
      <c r="AL50" s="18">
        <v>0.76200000000000001</v>
      </c>
      <c r="AM50" s="18">
        <v>0.89300000000000002</v>
      </c>
      <c r="AN50" s="18">
        <v>5.2999999999999999E-2</v>
      </c>
      <c r="AO50" s="18">
        <v>0.19900000000000001</v>
      </c>
      <c r="AP50" s="18">
        <v>9.7000000000000003E-2</v>
      </c>
      <c r="AQ50" s="18">
        <v>0.437</v>
      </c>
      <c r="AR50" s="18">
        <v>0.45200000000000001</v>
      </c>
      <c r="AS50" s="18">
        <v>0</v>
      </c>
      <c r="AT50" s="18">
        <v>0.438</v>
      </c>
      <c r="AU50" s="18">
        <v>0.92100000000000004</v>
      </c>
      <c r="AV50" s="18">
        <v>0.67600000000000005</v>
      </c>
      <c r="AW50" s="18">
        <v>2.145</v>
      </c>
      <c r="AX50" s="18">
        <v>1.359</v>
      </c>
      <c r="AY50" s="18">
        <v>0.876</v>
      </c>
      <c r="AZ50" s="18">
        <v>0.35899999999999999</v>
      </c>
      <c r="BA50" s="18">
        <v>0.218</v>
      </c>
      <c r="BB50" s="18">
        <v>0.05</v>
      </c>
      <c r="BC50" s="18">
        <v>0.34699999999999998</v>
      </c>
      <c r="BD50" s="18">
        <v>0.59099999999999997</v>
      </c>
      <c r="BE50" s="18">
        <v>0.48399999999999999</v>
      </c>
      <c r="BF50" s="18">
        <v>0.42699999999999999</v>
      </c>
      <c r="BG50" s="18">
        <v>0.79300000000000004</v>
      </c>
      <c r="BH50" s="18">
        <v>0.498</v>
      </c>
      <c r="BI50" s="18">
        <v>0.54</v>
      </c>
      <c r="BJ50" s="18">
        <v>0.48599999999999999</v>
      </c>
      <c r="BK50" s="18">
        <v>0.42799999999999999</v>
      </c>
      <c r="BL50" s="18">
        <v>0.16700000000000001</v>
      </c>
      <c r="BM50" s="18">
        <v>5.5E-2</v>
      </c>
      <c r="BN50" s="18">
        <v>0.11700000000000001</v>
      </c>
      <c r="BO50" s="18">
        <v>0.13100000000000001</v>
      </c>
      <c r="BP50" s="18">
        <v>0.38</v>
      </c>
      <c r="BQ50" s="18">
        <v>5.7000000000000002E-2</v>
      </c>
      <c r="BR50" s="18">
        <v>0.28199999999999997</v>
      </c>
      <c r="BS50" s="18">
        <v>0.27100000000000002</v>
      </c>
      <c r="BT50" s="18">
        <v>0.40300000000000002</v>
      </c>
      <c r="BU50" s="18">
        <v>0.495</v>
      </c>
      <c r="BV50" s="18">
        <v>0.61799999999999999</v>
      </c>
      <c r="BW50" s="18">
        <v>1.099</v>
      </c>
      <c r="BX50" s="18">
        <v>0.81799999999999995</v>
      </c>
      <c r="BY50" s="18">
        <v>0.53800000000000003</v>
      </c>
      <c r="BZ50" s="18">
        <v>0.183</v>
      </c>
      <c r="CA50" s="18">
        <v>9.7000000000000003E-2</v>
      </c>
      <c r="CB50" s="18">
        <v>0.10199999999999999</v>
      </c>
      <c r="CC50" s="18">
        <v>0.60699999999999998</v>
      </c>
      <c r="CD50" s="18">
        <v>0.217</v>
      </c>
      <c r="CE50" s="18">
        <v>1.2470000000000001</v>
      </c>
      <c r="CF50" s="18">
        <v>0.39900000000000002</v>
      </c>
      <c r="CG50" s="18">
        <v>0</v>
      </c>
      <c r="CH50" s="18">
        <v>0.21099999999999999</v>
      </c>
      <c r="CI50" s="18">
        <v>0.81399999999999995</v>
      </c>
      <c r="CJ50" s="18">
        <v>0.222</v>
      </c>
      <c r="CK50" s="18">
        <v>1.548</v>
      </c>
      <c r="CL50" s="18">
        <v>0.03</v>
      </c>
      <c r="CM50" s="18">
        <v>0.72</v>
      </c>
      <c r="CN50" s="18">
        <v>0.19</v>
      </c>
    </row>
    <row r="51" spans="1:92" x14ac:dyDescent="0.25">
      <c r="A51" s="8">
        <v>47</v>
      </c>
      <c r="B51" s="8">
        <v>23</v>
      </c>
      <c r="C51" s="18">
        <v>0.56699999999999995</v>
      </c>
      <c r="D51" s="18">
        <v>0.39600000000000002</v>
      </c>
      <c r="E51" s="18">
        <v>0.59599999999999997</v>
      </c>
      <c r="F51" s="18">
        <v>0.16900000000000001</v>
      </c>
      <c r="G51" s="18">
        <v>0.23599999999999999</v>
      </c>
      <c r="H51" s="18">
        <v>0.14799999999999999</v>
      </c>
      <c r="I51" s="18">
        <v>0.40899999999999997</v>
      </c>
      <c r="J51" s="18">
        <v>0.33400000000000002</v>
      </c>
      <c r="K51" s="18">
        <v>0</v>
      </c>
      <c r="L51" s="18">
        <v>0.20599999999999999</v>
      </c>
      <c r="M51" s="18">
        <v>0.41099999999999998</v>
      </c>
      <c r="N51" s="18">
        <v>0.14199999999999999</v>
      </c>
      <c r="O51" s="18">
        <v>0.32300000000000001</v>
      </c>
      <c r="P51" s="18">
        <v>0</v>
      </c>
      <c r="Q51" s="18">
        <v>0</v>
      </c>
      <c r="R51" s="18">
        <v>0.51</v>
      </c>
      <c r="S51" s="18">
        <v>6.2E-2</v>
      </c>
      <c r="T51" s="18">
        <v>0.54600000000000004</v>
      </c>
      <c r="U51" s="18">
        <v>0.108</v>
      </c>
      <c r="V51" s="18">
        <v>0.05</v>
      </c>
      <c r="W51" s="18">
        <v>0.17799999999999999</v>
      </c>
      <c r="X51" s="18">
        <v>0.34399999999999997</v>
      </c>
      <c r="Y51" s="18">
        <v>0.14099999999999999</v>
      </c>
      <c r="Z51" s="18">
        <v>0.16800000000000001</v>
      </c>
      <c r="AA51" s="18">
        <v>0.14499999999999999</v>
      </c>
      <c r="AB51" s="18">
        <v>0.55200000000000005</v>
      </c>
      <c r="AC51" s="18">
        <v>4.5999999999999999E-2</v>
      </c>
      <c r="AD51" s="18">
        <v>4.8000000000000001E-2</v>
      </c>
      <c r="AE51" s="18">
        <v>0.24099999999999999</v>
      </c>
      <c r="AF51" s="18">
        <v>1.244</v>
      </c>
      <c r="AG51" s="18">
        <v>8.2000000000000003E-2</v>
      </c>
      <c r="AH51" s="18">
        <v>0.10299999999999999</v>
      </c>
      <c r="AI51" s="18">
        <v>0.20100000000000001</v>
      </c>
      <c r="AJ51" s="18">
        <v>1.538</v>
      </c>
      <c r="AK51" s="18">
        <v>0.50600000000000001</v>
      </c>
      <c r="AL51" s="18">
        <v>0.57999999999999996</v>
      </c>
      <c r="AM51" s="18">
        <v>0.93700000000000006</v>
      </c>
      <c r="AN51" s="18">
        <v>6.0999999999999999E-2</v>
      </c>
      <c r="AO51" s="18">
        <v>0.222</v>
      </c>
      <c r="AP51" s="18">
        <v>8.1000000000000003E-2</v>
      </c>
      <c r="AQ51" s="18">
        <v>0</v>
      </c>
      <c r="AR51" s="18">
        <v>0.71299999999999997</v>
      </c>
      <c r="AS51" s="18">
        <v>0</v>
      </c>
      <c r="AT51" s="18">
        <v>0.30599999999999999</v>
      </c>
      <c r="AU51" s="18">
        <v>0.82199999999999995</v>
      </c>
      <c r="AV51" s="18">
        <v>0.441</v>
      </c>
      <c r="AW51" s="18">
        <v>0.77900000000000003</v>
      </c>
      <c r="AX51" s="18">
        <v>0.32100000000000001</v>
      </c>
      <c r="AY51" s="18">
        <v>0.55200000000000005</v>
      </c>
      <c r="AZ51" s="18">
        <v>0.26300000000000001</v>
      </c>
      <c r="BA51" s="18">
        <v>0.13800000000000001</v>
      </c>
      <c r="BB51" s="18">
        <v>0.05</v>
      </c>
      <c r="BC51" s="18">
        <v>5.2999999999999999E-2</v>
      </c>
      <c r="BD51" s="18">
        <v>0.50700000000000001</v>
      </c>
      <c r="BE51" s="18">
        <v>0.76300000000000001</v>
      </c>
      <c r="BF51" s="18">
        <v>0.05</v>
      </c>
      <c r="BG51" s="18">
        <v>0.26300000000000001</v>
      </c>
      <c r="BH51" s="18">
        <v>0.17499999999999999</v>
      </c>
      <c r="BI51" s="18">
        <v>0.51700000000000002</v>
      </c>
      <c r="BJ51" s="18">
        <v>0.65300000000000002</v>
      </c>
      <c r="BK51" s="18">
        <v>0.38</v>
      </c>
      <c r="BL51" s="18">
        <v>0.155</v>
      </c>
      <c r="BM51" s="18">
        <v>5.5E-2</v>
      </c>
      <c r="BN51" s="18">
        <v>0.28999999999999998</v>
      </c>
      <c r="BO51" s="18">
        <v>4.3999999999999997E-2</v>
      </c>
      <c r="BP51" s="18">
        <v>0.42799999999999999</v>
      </c>
      <c r="BQ51" s="18">
        <v>0.20799999999999999</v>
      </c>
      <c r="BR51" s="18">
        <v>0.14199999999999999</v>
      </c>
      <c r="BS51" s="18">
        <v>0.318</v>
      </c>
      <c r="BT51" s="18">
        <v>0.22</v>
      </c>
      <c r="BU51" s="18">
        <v>9.0999999999999998E-2</v>
      </c>
      <c r="BV51" s="18">
        <v>0.46300000000000002</v>
      </c>
      <c r="BW51" s="18">
        <v>0.47199999999999998</v>
      </c>
      <c r="BX51" s="18">
        <v>0.66400000000000003</v>
      </c>
      <c r="BY51" s="18">
        <v>0.39400000000000002</v>
      </c>
      <c r="BZ51" s="18">
        <v>3.7999999999999999E-2</v>
      </c>
      <c r="CA51" s="18">
        <v>0.224</v>
      </c>
      <c r="CB51" s="18">
        <v>5.1999999999999998E-2</v>
      </c>
      <c r="CC51" s="18">
        <v>0.499</v>
      </c>
      <c r="CD51" s="18">
        <v>0.39100000000000001</v>
      </c>
      <c r="CE51" s="18">
        <v>0.88900000000000001</v>
      </c>
      <c r="CF51" s="18">
        <v>0.24</v>
      </c>
      <c r="CG51" s="18">
        <v>0</v>
      </c>
      <c r="CH51" s="18">
        <v>9.0999999999999998E-2</v>
      </c>
      <c r="CI51" s="18">
        <v>0.61199999999999999</v>
      </c>
      <c r="CJ51" s="18">
        <v>0.19400000000000001</v>
      </c>
      <c r="CK51" s="18">
        <v>0.76100000000000001</v>
      </c>
      <c r="CL51" s="18">
        <v>0.159</v>
      </c>
      <c r="CM51" s="18">
        <v>0.56200000000000006</v>
      </c>
      <c r="CN51" s="18">
        <v>0.16200000000000001</v>
      </c>
    </row>
    <row r="52" spans="1:92" x14ac:dyDescent="0.25">
      <c r="A52" s="8">
        <v>48</v>
      </c>
      <c r="B52" s="8">
        <v>23.5</v>
      </c>
      <c r="C52" s="18">
        <v>0.501</v>
      </c>
      <c r="D52" s="18">
        <v>0.16500000000000001</v>
      </c>
      <c r="E52" s="18">
        <v>0.74299999999999999</v>
      </c>
      <c r="F52" s="18">
        <v>0.60099999999999998</v>
      </c>
      <c r="G52" s="18">
        <v>0.41299999999999998</v>
      </c>
      <c r="H52" s="18">
        <v>5.8000000000000003E-2</v>
      </c>
      <c r="I52" s="18">
        <v>1.1000000000000001</v>
      </c>
      <c r="J52" s="18">
        <v>4.5999999999999999E-2</v>
      </c>
      <c r="K52" s="18">
        <v>0</v>
      </c>
      <c r="L52" s="18">
        <v>0.193</v>
      </c>
      <c r="M52" s="18">
        <v>0.39500000000000002</v>
      </c>
      <c r="N52" s="18">
        <v>0.218</v>
      </c>
      <c r="O52" s="18">
        <v>4.9000000000000002E-2</v>
      </c>
      <c r="P52" s="18">
        <v>0</v>
      </c>
      <c r="Q52" s="18">
        <v>0</v>
      </c>
      <c r="R52" s="18">
        <v>7.4999999999999997E-2</v>
      </c>
      <c r="S52" s="18">
        <v>0.32200000000000001</v>
      </c>
      <c r="T52" s="18">
        <v>0.23499999999999999</v>
      </c>
      <c r="U52" s="18">
        <v>7.8E-2</v>
      </c>
      <c r="V52" s="18">
        <v>8.7999999999999995E-2</v>
      </c>
      <c r="W52" s="18">
        <v>5.6000000000000001E-2</v>
      </c>
      <c r="X52" s="18">
        <v>0.24399999999999999</v>
      </c>
      <c r="Y52" s="18">
        <v>6.9000000000000006E-2</v>
      </c>
      <c r="Z52" s="18">
        <v>0.22500000000000001</v>
      </c>
      <c r="AA52" s="18">
        <v>5.3999999999999999E-2</v>
      </c>
      <c r="AB52" s="18">
        <v>1.44</v>
      </c>
      <c r="AC52" s="18">
        <v>0.17599999999999999</v>
      </c>
      <c r="AD52" s="18">
        <v>0.16700000000000001</v>
      </c>
      <c r="AE52" s="18">
        <v>0.17100000000000001</v>
      </c>
      <c r="AF52" s="18">
        <v>0.224</v>
      </c>
      <c r="AG52" s="18">
        <v>8.8999999999999996E-2</v>
      </c>
      <c r="AH52" s="18">
        <v>7.3999999999999996E-2</v>
      </c>
      <c r="AI52" s="18">
        <v>0.14899999999999999</v>
      </c>
      <c r="AJ52" s="18">
        <v>1.405</v>
      </c>
      <c r="AK52" s="18">
        <v>0.17100000000000001</v>
      </c>
      <c r="AL52" s="18">
        <v>0.99099999999999999</v>
      </c>
      <c r="AM52" s="18">
        <v>0</v>
      </c>
      <c r="AN52" s="18">
        <v>0.153</v>
      </c>
      <c r="AO52" s="18">
        <v>0.57199999999999995</v>
      </c>
      <c r="AP52" s="18">
        <v>0.193</v>
      </c>
      <c r="AQ52" s="18">
        <v>0</v>
      </c>
      <c r="AR52" s="18">
        <v>0.161</v>
      </c>
      <c r="AS52" s="18">
        <v>0</v>
      </c>
      <c r="AT52" s="18">
        <v>0.30499999999999999</v>
      </c>
      <c r="AU52" s="18">
        <v>0.23599999999999999</v>
      </c>
      <c r="AV52" s="18">
        <v>0.47299999999999998</v>
      </c>
      <c r="AW52" s="18">
        <v>0</v>
      </c>
      <c r="AX52" s="18">
        <v>0.16900000000000001</v>
      </c>
      <c r="AY52" s="18">
        <v>0.79400000000000004</v>
      </c>
      <c r="AZ52" s="18">
        <v>0.13500000000000001</v>
      </c>
      <c r="BA52" s="18">
        <v>0.20300000000000001</v>
      </c>
      <c r="BB52" s="18">
        <v>0.14199999999999999</v>
      </c>
      <c r="BC52" s="18">
        <v>6.3E-2</v>
      </c>
      <c r="BD52" s="18">
        <v>0.64600000000000002</v>
      </c>
      <c r="BE52" s="18">
        <v>0.16200000000000001</v>
      </c>
      <c r="BF52" s="18">
        <v>0.05</v>
      </c>
      <c r="BG52" s="18">
        <v>5.6000000000000001E-2</v>
      </c>
      <c r="BH52" s="18">
        <v>0.13</v>
      </c>
      <c r="BI52" s="18">
        <v>0.16800000000000001</v>
      </c>
      <c r="BJ52" s="18">
        <v>4.9000000000000002E-2</v>
      </c>
      <c r="BK52" s="18">
        <v>0.187</v>
      </c>
      <c r="BL52" s="18">
        <v>0.123</v>
      </c>
      <c r="BM52" s="18">
        <v>5.5E-2</v>
      </c>
      <c r="BN52" s="18">
        <v>0.126</v>
      </c>
      <c r="BO52" s="18">
        <v>0.17100000000000001</v>
      </c>
      <c r="BP52" s="18">
        <v>0.34200000000000003</v>
      </c>
      <c r="BQ52" s="18">
        <v>0.113</v>
      </c>
      <c r="BR52" s="18">
        <v>0.24399999999999999</v>
      </c>
      <c r="BS52" s="18">
        <v>4.3999999999999997E-2</v>
      </c>
      <c r="BT52" s="18">
        <v>0.46</v>
      </c>
      <c r="BU52" s="18">
        <v>5.1999999999999998E-2</v>
      </c>
      <c r="BV52" s="18">
        <v>0.47699999999999998</v>
      </c>
      <c r="BW52" s="18">
        <v>0.78400000000000003</v>
      </c>
      <c r="BX52" s="18">
        <v>0.30599999999999999</v>
      </c>
      <c r="BY52" s="18">
        <v>0.317</v>
      </c>
      <c r="BZ52" s="18">
        <v>0.113</v>
      </c>
      <c r="CA52" s="18">
        <v>0.16</v>
      </c>
      <c r="CB52" s="18">
        <v>0.23100000000000001</v>
      </c>
      <c r="CC52" s="18">
        <v>0.30099999999999999</v>
      </c>
      <c r="CD52" s="18">
        <v>0.30299999999999999</v>
      </c>
      <c r="CE52" s="18">
        <v>0.30499999999999999</v>
      </c>
      <c r="CF52" s="18">
        <v>0.38200000000000001</v>
      </c>
      <c r="CG52" s="18">
        <v>0</v>
      </c>
      <c r="CH52" s="18">
        <v>0.12</v>
      </c>
      <c r="CI52" s="18">
        <v>0.71799999999999997</v>
      </c>
      <c r="CJ52" s="18">
        <v>0.11</v>
      </c>
      <c r="CK52" s="18">
        <v>0.64900000000000002</v>
      </c>
      <c r="CL52" s="18">
        <v>0.03</v>
      </c>
      <c r="CM52" s="18">
        <v>0.40500000000000003</v>
      </c>
      <c r="CN52" s="18">
        <v>0.104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R13" sqref="R13"/>
    </sheetView>
  </sheetViews>
  <sheetFormatPr defaultRowHeight="15" x14ac:dyDescent="0.25"/>
  <cols>
    <col min="1" max="1" width="8.7109375" customWidth="1"/>
    <col min="2" max="2" width="9.140625" bestFit="1" customWidth="1"/>
    <col min="3" max="3" width="6.5703125" bestFit="1" customWidth="1"/>
    <col min="4" max="6" width="11" customWidth="1"/>
    <col min="7" max="7" width="13.85546875" customWidth="1"/>
    <col min="8" max="13" width="11" customWidth="1"/>
  </cols>
  <sheetData>
    <row r="1" spans="1:13" ht="19.5" x14ac:dyDescent="0.3">
      <c r="A1" s="1" t="s">
        <v>549</v>
      </c>
    </row>
    <row r="2" spans="1:13" x14ac:dyDescent="0.25">
      <c r="A2" s="29" t="s">
        <v>550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455</v>
      </c>
      <c r="B4" s="5" t="s">
        <v>551</v>
      </c>
      <c r="C4" s="5" t="s">
        <v>552</v>
      </c>
      <c r="D4" s="5" t="s">
        <v>553</v>
      </c>
      <c r="E4" s="5" t="s">
        <v>554</v>
      </c>
      <c r="F4" s="5" t="s">
        <v>555</v>
      </c>
      <c r="G4" s="5" t="s">
        <v>556</v>
      </c>
      <c r="H4" s="5" t="s">
        <v>557</v>
      </c>
      <c r="I4" s="5" t="s">
        <v>558</v>
      </c>
      <c r="J4" s="5" t="s">
        <v>559</v>
      </c>
      <c r="K4" s="5" t="s">
        <v>560</v>
      </c>
      <c r="L4" s="5" t="s">
        <v>561</v>
      </c>
      <c r="M4" s="5" t="s">
        <v>562</v>
      </c>
    </row>
    <row r="5" spans="1:13" x14ac:dyDescent="0.25">
      <c r="A5" s="8">
        <v>1</v>
      </c>
      <c r="B5" s="19">
        <v>0</v>
      </c>
      <c r="C5" s="20">
        <f>SUM('3. Raw PV per load'!C5:C176)</f>
        <v>0</v>
      </c>
      <c r="D5" s="20">
        <f>SUMIF('4. Raw load per load'!$B$5:$B$176,"prosumer",'4. Raw load per load'!C5:C176)</f>
        <v>20.981200000000001</v>
      </c>
      <c r="E5" s="20">
        <f>SUMIF('4. Raw load per load'!$B$5:$B$176,"customer",'4. Raw load per load'!C5:C176)</f>
        <v>19.518999999999995</v>
      </c>
      <c r="F5" s="20">
        <f>SUM('5. Raw batt charge'!C5:CN5)</f>
        <v>0</v>
      </c>
      <c r="G5" s="20">
        <f>SUM('6. Raw batt discharge'!C5:CN5)</f>
        <v>20.982999999999997</v>
      </c>
      <c r="H5" s="21">
        <f t="shared" ref="H5:H52" si="0">F5-G5</f>
        <v>-20.982999999999997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19.518999999999995</v>
      </c>
    </row>
    <row r="6" spans="1:13" x14ac:dyDescent="0.25">
      <c r="A6" s="8">
        <v>2</v>
      </c>
      <c r="B6" s="19">
        <v>0.5</v>
      </c>
      <c r="C6" s="20">
        <f>SUM('3. Raw PV per load'!D5:D176)</f>
        <v>0</v>
      </c>
      <c r="D6" s="20">
        <f>SUMIF('4. Raw load per load'!$B$5:$B$176,"prosumer",'4. Raw load per load'!D5:D176)</f>
        <v>18.966500000000007</v>
      </c>
      <c r="E6" s="20">
        <f>SUMIF('4. Raw load per load'!$B$5:$B$176,"customer",'4. Raw load per load'!D5:D176)</f>
        <v>16.371400000000005</v>
      </c>
      <c r="F6" s="20">
        <f>SUM('5. Raw batt charge'!C6:CN6)</f>
        <v>0</v>
      </c>
      <c r="G6" s="20">
        <f>SUM('6. Raw batt discharge'!C6:CN6)</f>
        <v>18.967000000000002</v>
      </c>
      <c r="H6" s="21">
        <f t="shared" si="0"/>
        <v>-18.967000000000002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16.371400000000005</v>
      </c>
    </row>
    <row r="7" spans="1:13" x14ac:dyDescent="0.25">
      <c r="A7" s="8">
        <v>3</v>
      </c>
      <c r="B7" s="19">
        <v>1</v>
      </c>
      <c r="C7" s="20">
        <f>SUM('3. Raw PV per load'!E5:E176)</f>
        <v>0</v>
      </c>
      <c r="D7" s="20">
        <f>SUMIF('4. Raw load per load'!$B$5:$B$176,"prosumer",'4. Raw load per load'!E5:E176)</f>
        <v>14.615900000000002</v>
      </c>
      <c r="E7" s="20">
        <f>SUMIF('4. Raw load per load'!$B$5:$B$176,"customer",'4. Raw load per load'!E5:E176)</f>
        <v>13.427899999999998</v>
      </c>
      <c r="F7" s="20">
        <f>SUM('5. Raw batt charge'!C7:CN7)</f>
        <v>0</v>
      </c>
      <c r="G7" s="20">
        <f>SUM('6. Raw batt discharge'!C7:CN7)</f>
        <v>14.449</v>
      </c>
      <c r="H7" s="21">
        <f t="shared" si="0"/>
        <v>-14.449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13.427899999999998</v>
      </c>
    </row>
    <row r="8" spans="1:13" x14ac:dyDescent="0.25">
      <c r="A8" s="8">
        <v>4</v>
      </c>
      <c r="B8" s="19">
        <v>1.5</v>
      </c>
      <c r="C8" s="20">
        <f>SUM('3. Raw PV per load'!F5:F176)</f>
        <v>0</v>
      </c>
      <c r="D8" s="20">
        <f>SUMIF('4. Raw load per load'!$B$5:$B$176,"prosumer",'4. Raw load per load'!F5:F176)</f>
        <v>13.148000000000003</v>
      </c>
      <c r="E8" s="20">
        <f>SUMIF('4. Raw load per load'!$B$5:$B$176,"customer",'4. Raw load per load'!F5:F176)</f>
        <v>11.0852</v>
      </c>
      <c r="F8" s="20">
        <f>SUM('5. Raw batt charge'!C8:CN8)</f>
        <v>0</v>
      </c>
      <c r="G8" s="20">
        <f>SUM('6. Raw batt discharge'!C8:CN8)</f>
        <v>12.225000000000001</v>
      </c>
      <c r="H8" s="21">
        <f t="shared" si="0"/>
        <v>-12.225000000000001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11.0852</v>
      </c>
    </row>
    <row r="9" spans="1:13" x14ac:dyDescent="0.25">
      <c r="A9" s="8">
        <v>5</v>
      </c>
      <c r="B9" s="19">
        <v>2</v>
      </c>
      <c r="C9" s="20">
        <f>SUM('3. Raw PV per load'!G5:G176)</f>
        <v>0</v>
      </c>
      <c r="D9" s="20">
        <f>SUMIF('4. Raw load per load'!$B$5:$B$176,"prosumer",'4. Raw load per load'!G5:G176)</f>
        <v>12.762</v>
      </c>
      <c r="E9" s="20">
        <f>SUMIF('4. Raw load per load'!$B$5:$B$176,"customer",'4. Raw load per load'!G5:G176)</f>
        <v>11.235599999999994</v>
      </c>
      <c r="F9" s="20">
        <f>SUM('5. Raw batt charge'!C9:CN9)</f>
        <v>0</v>
      </c>
      <c r="G9" s="20">
        <f>SUM('6. Raw batt discharge'!C9:CN9)</f>
        <v>11.411999999999995</v>
      </c>
      <c r="H9" s="21">
        <f t="shared" si="0"/>
        <v>-11.411999999999995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11.235599999999994</v>
      </c>
    </row>
    <row r="10" spans="1:13" x14ac:dyDescent="0.25">
      <c r="A10" s="8">
        <v>6</v>
      </c>
      <c r="B10" s="19">
        <v>2.5</v>
      </c>
      <c r="C10" s="20">
        <f>SUM('3. Raw PV per load'!H5:H176)</f>
        <v>0</v>
      </c>
      <c r="D10" s="20">
        <f>SUMIF('4. Raw load per load'!$B$5:$B$176,"prosumer",'4. Raw load per load'!H5:H176)</f>
        <v>11.8935</v>
      </c>
      <c r="E10" s="20">
        <f>SUMIF('4. Raw load per load'!$B$5:$B$176,"customer",'4. Raw load per load'!H5:H176)</f>
        <v>10.220499999999999</v>
      </c>
      <c r="F10" s="20">
        <f>SUM('5. Raw batt charge'!C10:CN10)</f>
        <v>0</v>
      </c>
      <c r="G10" s="20">
        <f>SUM('6. Raw batt discharge'!C10:CN10)</f>
        <v>10.621999999999993</v>
      </c>
      <c r="H10" s="21">
        <f t="shared" si="0"/>
        <v>-10.621999999999993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10.220499999999999</v>
      </c>
    </row>
    <row r="11" spans="1:13" x14ac:dyDescent="0.25">
      <c r="A11" s="8">
        <v>7</v>
      </c>
      <c r="B11" s="19">
        <v>3</v>
      </c>
      <c r="C11" s="20">
        <f>SUM('3. Raw PV per load'!I5:I176)</f>
        <v>0</v>
      </c>
      <c r="D11" s="20">
        <f>SUMIF('4. Raw load per load'!$B$5:$B$176,"prosumer",'4. Raw load per load'!I5:I176)</f>
        <v>11.980599999999997</v>
      </c>
      <c r="E11" s="20">
        <f>SUMIF('4. Raw load per load'!$B$5:$B$176,"customer",'4. Raw load per load'!I5:I176)</f>
        <v>9.6377999999999986</v>
      </c>
      <c r="F11" s="20">
        <f>SUM('5. Raw batt charge'!C11:CN11)</f>
        <v>0</v>
      </c>
      <c r="G11" s="20">
        <f>SUM('6. Raw batt discharge'!C11:CN11)</f>
        <v>11.331</v>
      </c>
      <c r="H11" s="21">
        <f t="shared" si="0"/>
        <v>-11.331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9.6377999999999986</v>
      </c>
    </row>
    <row r="12" spans="1:13" x14ac:dyDescent="0.25">
      <c r="A12" s="8">
        <v>8</v>
      </c>
      <c r="B12" s="19">
        <v>3.5</v>
      </c>
      <c r="C12" s="20">
        <f>SUM('3. Raw PV per load'!J5:J176)</f>
        <v>0.23789999999999978</v>
      </c>
      <c r="D12" s="20">
        <f>SUMIF('4. Raw load per load'!$B$5:$B$176,"prosumer",'4. Raw load per load'!J5:J176)</f>
        <v>13.047899999999997</v>
      </c>
      <c r="E12" s="20">
        <f>SUMIF('4. Raw load per load'!$B$5:$B$176,"customer",'4. Raw load per load'!J5:J176)</f>
        <v>10.5542</v>
      </c>
      <c r="F12" s="20">
        <f>SUM('5. Raw batt charge'!C12:CN12)</f>
        <v>0</v>
      </c>
      <c r="G12" s="20">
        <f>SUM('6. Raw batt discharge'!C12:CN12)</f>
        <v>11.287000000000001</v>
      </c>
      <c r="H12" s="21">
        <f t="shared" si="0"/>
        <v>-11.287000000000001</v>
      </c>
      <c r="I12" s="21">
        <f t="shared" si="1"/>
        <v>0.23789999999999978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10.5542</v>
      </c>
    </row>
    <row r="13" spans="1:13" x14ac:dyDescent="0.25">
      <c r="A13" s="8">
        <v>9</v>
      </c>
      <c r="B13" s="19">
        <v>4</v>
      </c>
      <c r="C13" s="20">
        <f>SUM('3. Raw PV per load'!K5:K176)</f>
        <v>3.4500000000000015</v>
      </c>
      <c r="D13" s="20">
        <f>SUMIF('4. Raw load per load'!$B$5:$B$176,"prosumer",'4. Raw load per load'!K5:K176)</f>
        <v>11.010200000000003</v>
      </c>
      <c r="E13" s="20">
        <f>SUMIF('4. Raw load per load'!$B$5:$B$176,"customer",'4. Raw load per load'!K5:K176)</f>
        <v>9.1704999999999988</v>
      </c>
      <c r="F13" s="20">
        <f>SUM('5. Raw batt charge'!C13:CN13)</f>
        <v>2.4E-2</v>
      </c>
      <c r="G13" s="20">
        <f>SUM('6. Raw batt discharge'!C13:CN13)</f>
        <v>6.8510000000000009</v>
      </c>
      <c r="H13" s="21">
        <f t="shared" si="0"/>
        <v>-6.8270000000000008</v>
      </c>
      <c r="I13" s="21">
        <f t="shared" si="1"/>
        <v>3.4500000000000015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9.1704999999999988</v>
      </c>
    </row>
    <row r="14" spans="1:13" x14ac:dyDescent="0.25">
      <c r="A14" s="8">
        <v>10</v>
      </c>
      <c r="B14" s="19">
        <v>4.5</v>
      </c>
      <c r="C14" s="20">
        <f>SUM('3. Raw PV per load'!L5:L176)</f>
        <v>16.1357</v>
      </c>
      <c r="D14" s="20">
        <f>SUMIF('4. Raw load per load'!$B$5:$B$176,"prosumer",'4. Raw load per load'!L5:L176)</f>
        <v>11.067599999999997</v>
      </c>
      <c r="E14" s="20">
        <f>SUMIF('4. Raw load per load'!$B$5:$B$176,"customer",'4. Raw load per load'!L5:L176)</f>
        <v>10.6873</v>
      </c>
      <c r="F14" s="20">
        <f>SUM('5. Raw batt charge'!C14:CN14)</f>
        <v>6.197000000000001</v>
      </c>
      <c r="G14" s="20">
        <f>SUM('6. Raw batt discharge'!C14:CN14)</f>
        <v>0.91120000000000012</v>
      </c>
      <c r="H14" s="21">
        <f t="shared" si="0"/>
        <v>5.2858000000000009</v>
      </c>
      <c r="I14" s="21">
        <f t="shared" si="1"/>
        <v>11.067599999999997</v>
      </c>
      <c r="J14" s="21">
        <f t="shared" si="2"/>
        <v>5.0681000000000029</v>
      </c>
      <c r="K14" s="21">
        <f t="shared" si="3"/>
        <v>0</v>
      </c>
      <c r="L14" s="21">
        <f t="shared" si="4"/>
        <v>0</v>
      </c>
      <c r="M14" s="21">
        <f t="shared" si="5"/>
        <v>10.6873</v>
      </c>
    </row>
    <row r="15" spans="1:13" x14ac:dyDescent="0.25">
      <c r="A15" s="8">
        <v>11</v>
      </c>
      <c r="B15" s="19">
        <v>5</v>
      </c>
      <c r="C15" s="20">
        <f>SUM('3. Raw PV per load'!M5:M176)</f>
        <v>32.004399999999997</v>
      </c>
      <c r="D15" s="20">
        <f>SUMIF('4. Raw load per load'!$B$5:$B$176,"prosumer",'4. Raw load per load'!M5:M176)</f>
        <v>11.397799999999995</v>
      </c>
      <c r="E15" s="20">
        <f>SUMIF('4. Raw load per load'!$B$5:$B$176,"customer",'4. Raw load per load'!M5:M176)</f>
        <v>10.186199999999999</v>
      </c>
      <c r="F15" s="20">
        <f>SUM('5. Raw batt charge'!C15:CN15)</f>
        <v>20.768999999999998</v>
      </c>
      <c r="G15" s="20">
        <f>SUM('6. Raw batt discharge'!C15:CN15)</f>
        <v>3.1E-2</v>
      </c>
      <c r="H15" s="21">
        <f t="shared" si="0"/>
        <v>20.738</v>
      </c>
      <c r="I15" s="21">
        <f t="shared" si="1"/>
        <v>11.397799999999995</v>
      </c>
      <c r="J15" s="21">
        <f t="shared" si="2"/>
        <v>20.6066</v>
      </c>
      <c r="K15" s="21">
        <f t="shared" si="3"/>
        <v>0</v>
      </c>
      <c r="L15" s="21">
        <f t="shared" si="4"/>
        <v>0</v>
      </c>
      <c r="M15" s="21">
        <f t="shared" si="5"/>
        <v>10.186199999999999</v>
      </c>
    </row>
    <row r="16" spans="1:13" x14ac:dyDescent="0.25">
      <c r="A16" s="8">
        <v>12</v>
      </c>
      <c r="B16" s="19">
        <v>5.5</v>
      </c>
      <c r="C16" s="20">
        <f>SUM('3. Raw PV per load'!N5:N176)</f>
        <v>51.467600000000012</v>
      </c>
      <c r="D16" s="20">
        <f>SUMIF('4. Raw load per load'!$B$5:$B$176,"prosumer",'4. Raw load per load'!N5:N176)</f>
        <v>13.602100000000004</v>
      </c>
      <c r="E16" s="20">
        <f>SUMIF('4. Raw load per load'!$B$5:$B$176,"customer",'4. Raw load per load'!N5:N176)</f>
        <v>9.5790999999999986</v>
      </c>
      <c r="F16" s="20">
        <f>SUM('5. Raw batt charge'!C16:CN16)</f>
        <v>38.989999999999995</v>
      </c>
      <c r="G16" s="20">
        <f>SUM('6. Raw batt discharge'!C16:CN16)</f>
        <v>1.1279999999999999</v>
      </c>
      <c r="H16" s="21">
        <f t="shared" si="0"/>
        <v>37.861999999999995</v>
      </c>
      <c r="I16" s="21">
        <f t="shared" si="1"/>
        <v>13.602100000000004</v>
      </c>
      <c r="J16" s="21">
        <f t="shared" si="2"/>
        <v>37.861999999999995</v>
      </c>
      <c r="K16" s="21">
        <f t="shared" si="3"/>
        <v>3.500000000016712E-3</v>
      </c>
      <c r="L16" s="21">
        <f t="shared" si="4"/>
        <v>0</v>
      </c>
      <c r="M16" s="21">
        <f t="shared" si="5"/>
        <v>9.5755999999999819</v>
      </c>
    </row>
    <row r="17" spans="1:13" x14ac:dyDescent="0.25">
      <c r="A17" s="8">
        <v>13</v>
      </c>
      <c r="B17" s="19">
        <v>6</v>
      </c>
      <c r="C17" s="20">
        <f>SUM('3. Raw PV per load'!O5:O176)</f>
        <v>72.69809999999994</v>
      </c>
      <c r="D17" s="20">
        <f>SUMIF('4. Raw load per load'!$B$5:$B$176,"prosumer",'4. Raw load per load'!O5:O176)</f>
        <v>12.951000000000002</v>
      </c>
      <c r="E17" s="20">
        <f>SUMIF('4. Raw load per load'!$B$5:$B$176,"customer",'4. Raw load per load'!O5:O176)</f>
        <v>12.758900000000002</v>
      </c>
      <c r="F17" s="20">
        <f>SUM('5. Raw batt charge'!C17:CN17)</f>
        <v>60.305000000000007</v>
      </c>
      <c r="G17" s="20">
        <f>SUM('6. Raw batt discharge'!C17:CN17)</f>
        <v>0.21099999999999999</v>
      </c>
      <c r="H17" s="21">
        <f t="shared" si="0"/>
        <v>60.094000000000008</v>
      </c>
      <c r="I17" s="21">
        <f t="shared" si="1"/>
        <v>12.951000000000002</v>
      </c>
      <c r="J17" s="21">
        <f t="shared" si="2"/>
        <v>59.747099999999939</v>
      </c>
      <c r="K17" s="21">
        <f t="shared" si="3"/>
        <v>0</v>
      </c>
      <c r="L17" s="21">
        <f t="shared" si="4"/>
        <v>0</v>
      </c>
      <c r="M17" s="21">
        <f t="shared" si="5"/>
        <v>12.758900000000002</v>
      </c>
    </row>
    <row r="18" spans="1:13" x14ac:dyDescent="0.25">
      <c r="A18" s="8">
        <v>14</v>
      </c>
      <c r="B18" s="19">
        <v>6.5</v>
      </c>
      <c r="C18" s="20">
        <f>SUM('3. Raw PV per load'!P5:P176)</f>
        <v>94.192499999999939</v>
      </c>
      <c r="D18" s="20">
        <f>SUMIF('4. Raw load per load'!$B$5:$B$176,"prosumer",'4. Raw load per load'!P5:P176)</f>
        <v>14.990500000000001</v>
      </c>
      <c r="E18" s="20">
        <f>SUMIF('4. Raw load per load'!$B$5:$B$176,"customer",'4. Raw load per load'!P5:P176)</f>
        <v>9.3487999999999989</v>
      </c>
      <c r="F18" s="20">
        <f>SUM('5. Raw batt charge'!C18:CN18)</f>
        <v>80.292000000000002</v>
      </c>
      <c r="G18" s="20">
        <f>SUM('6. Raw batt discharge'!C18:CN18)</f>
        <v>1.0840000000000001</v>
      </c>
      <c r="H18" s="21">
        <f t="shared" si="0"/>
        <v>79.207999999999998</v>
      </c>
      <c r="I18" s="21">
        <f t="shared" si="1"/>
        <v>14.990500000000001</v>
      </c>
      <c r="J18" s="21">
        <f t="shared" si="2"/>
        <v>79.201999999999941</v>
      </c>
      <c r="K18" s="21">
        <f t="shared" si="3"/>
        <v>0</v>
      </c>
      <c r="L18" s="21">
        <f t="shared" si="4"/>
        <v>0</v>
      </c>
      <c r="M18" s="21">
        <f t="shared" si="5"/>
        <v>9.3487999999999989</v>
      </c>
    </row>
    <row r="19" spans="1:13" x14ac:dyDescent="0.25">
      <c r="A19" s="8">
        <v>15</v>
      </c>
      <c r="B19" s="19">
        <v>7</v>
      </c>
      <c r="C19" s="20">
        <f>SUM('3. Raw PV per load'!Q5:Q176)</f>
        <v>115.57719999999993</v>
      </c>
      <c r="D19" s="20">
        <f>SUMIF('4. Raw load per load'!$B$5:$B$176,"prosumer",'4. Raw load per load'!Q5:Q176)</f>
        <v>20.000800000000012</v>
      </c>
      <c r="E19" s="20">
        <f>SUMIF('4. Raw load per load'!$B$5:$B$176,"customer",'4. Raw load per load'!Q5:Q176)</f>
        <v>13.790700000000001</v>
      </c>
      <c r="F19" s="20">
        <f>SUM('5. Raw batt charge'!C19:CN19)</f>
        <v>96.899999999999963</v>
      </c>
      <c r="G19" s="20">
        <f>SUM('6. Raw batt discharge'!C19:CN19)</f>
        <v>1.7229999999999999</v>
      </c>
      <c r="H19" s="21">
        <f t="shared" si="0"/>
        <v>95.176999999999964</v>
      </c>
      <c r="I19" s="21">
        <f t="shared" si="1"/>
        <v>20.000800000000012</v>
      </c>
      <c r="J19" s="21">
        <f t="shared" si="2"/>
        <v>95.176999999999964</v>
      </c>
      <c r="K19" s="21">
        <f t="shared" si="3"/>
        <v>0.39939999999995734</v>
      </c>
      <c r="L19" s="21">
        <f t="shared" si="4"/>
        <v>0</v>
      </c>
      <c r="M19" s="21">
        <f t="shared" si="5"/>
        <v>13.391300000000044</v>
      </c>
    </row>
    <row r="20" spans="1:13" x14ac:dyDescent="0.25">
      <c r="A20" s="8">
        <v>16</v>
      </c>
      <c r="B20" s="19">
        <v>7.5</v>
      </c>
      <c r="C20" s="20">
        <f>SUM('3. Raw PV per load'!R5:R176)</f>
        <v>136.98879999999997</v>
      </c>
      <c r="D20" s="20">
        <f>SUMIF('4. Raw load per load'!$B$5:$B$176,"prosumer",'4. Raw load per load'!R5:R176)</f>
        <v>21.9619</v>
      </c>
      <c r="E20" s="20">
        <f>SUMIF('4. Raw load per load'!$B$5:$B$176,"customer",'4. Raw load per load'!R5:R176)</f>
        <v>19.637300000000003</v>
      </c>
      <c r="F20" s="20">
        <f>SUM('5. Raw batt charge'!C20:CN20)</f>
        <v>107.19099999999996</v>
      </c>
      <c r="G20" s="20">
        <f>SUM('6. Raw batt discharge'!C20:CN20)</f>
        <v>0.99</v>
      </c>
      <c r="H20" s="21">
        <f t="shared" si="0"/>
        <v>106.20099999999996</v>
      </c>
      <c r="I20" s="21">
        <f t="shared" si="1"/>
        <v>21.9619</v>
      </c>
      <c r="J20" s="21">
        <f t="shared" si="2"/>
        <v>106.20099999999996</v>
      </c>
      <c r="K20" s="21">
        <f t="shared" si="3"/>
        <v>8.8259000000000043</v>
      </c>
      <c r="L20" s="21">
        <f t="shared" si="4"/>
        <v>0</v>
      </c>
      <c r="M20" s="21">
        <f t="shared" si="5"/>
        <v>10.811399999999999</v>
      </c>
    </row>
    <row r="21" spans="1:13" x14ac:dyDescent="0.25">
      <c r="A21" s="8">
        <v>17</v>
      </c>
      <c r="B21" s="19">
        <v>8</v>
      </c>
      <c r="C21" s="20">
        <f>SUM('3. Raw PV per load'!S5:S176)</f>
        <v>157.0866</v>
      </c>
      <c r="D21" s="20">
        <f>SUMIF('4. Raw load per load'!$B$5:$B$176,"prosumer",'4. Raw load per load'!S5:S176)</f>
        <v>22.571499999999997</v>
      </c>
      <c r="E21" s="20">
        <f>SUMIF('4. Raw load per load'!$B$5:$B$176,"customer",'4. Raw load per load'!S5:S176)</f>
        <v>28.919699999999988</v>
      </c>
      <c r="F21" s="20">
        <f>SUM('5. Raw batt charge'!C21:CN21)</f>
        <v>77.048999999999978</v>
      </c>
      <c r="G21" s="20">
        <f>SUM('6. Raw batt discharge'!C21:CN21)</f>
        <v>0.93300000000000005</v>
      </c>
      <c r="H21" s="21">
        <f t="shared" si="0"/>
        <v>76.115999999999971</v>
      </c>
      <c r="I21" s="21">
        <f t="shared" si="1"/>
        <v>22.571499999999997</v>
      </c>
      <c r="J21" s="21">
        <f t="shared" si="2"/>
        <v>76.115999999999971</v>
      </c>
      <c r="K21" s="21">
        <f t="shared" si="3"/>
        <v>28.919699999999988</v>
      </c>
      <c r="L21" s="21">
        <f t="shared" si="4"/>
        <v>29.479400000000059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load'!T5:T176)</f>
        <v>175.98150000000004</v>
      </c>
      <c r="D22" s="20">
        <f>SUMIF('4. Raw load per load'!$B$5:$B$176,"prosumer",'4. Raw load per load'!T5:T176)</f>
        <v>26.924700000000001</v>
      </c>
      <c r="E22" s="20">
        <f>SUMIF('4. Raw load per load'!$B$5:$B$176,"customer",'4. Raw load per load'!T5:T176)</f>
        <v>21.191599999999994</v>
      </c>
      <c r="F22" s="20">
        <f>SUM('5. Raw batt charge'!C22:CN22)</f>
        <v>48.849000000000004</v>
      </c>
      <c r="G22" s="20">
        <f>SUM('6. Raw batt discharge'!C22:CN22)</f>
        <v>0.80299999999999994</v>
      </c>
      <c r="H22" s="21">
        <f t="shared" si="0"/>
        <v>48.046000000000006</v>
      </c>
      <c r="I22" s="21">
        <f t="shared" si="1"/>
        <v>26.924700000000001</v>
      </c>
      <c r="J22" s="21">
        <f t="shared" si="2"/>
        <v>48.046000000000006</v>
      </c>
      <c r="K22" s="21">
        <f t="shared" si="3"/>
        <v>21.191599999999994</v>
      </c>
      <c r="L22" s="21">
        <f t="shared" si="4"/>
        <v>79.819200000000038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load'!U5:U176)</f>
        <v>192.07070000000002</v>
      </c>
      <c r="D23" s="20">
        <f>SUMIF('4. Raw load per load'!$B$5:$B$176,"prosumer",'4. Raw load per load'!U5:U176)</f>
        <v>31.677300000000006</v>
      </c>
      <c r="E23" s="20">
        <f>SUMIF('4. Raw load per load'!$B$5:$B$176,"customer",'4. Raw load per load'!U5:U176)</f>
        <v>26.965700000000005</v>
      </c>
      <c r="F23" s="20">
        <f>SUM('5. Raw batt charge'!C23:CN23)</f>
        <v>28.535000000000004</v>
      </c>
      <c r="G23" s="20">
        <f>SUM('6. Raw batt discharge'!C23:CN23)</f>
        <v>0.81099999999999994</v>
      </c>
      <c r="H23" s="21">
        <f t="shared" si="0"/>
        <v>27.724000000000004</v>
      </c>
      <c r="I23" s="21">
        <f t="shared" si="1"/>
        <v>31.677300000000006</v>
      </c>
      <c r="J23" s="21">
        <f t="shared" si="2"/>
        <v>27.724000000000004</v>
      </c>
      <c r="K23" s="21">
        <f t="shared" si="3"/>
        <v>26.965700000000005</v>
      </c>
      <c r="L23" s="21">
        <f t="shared" si="4"/>
        <v>105.7037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load'!V5:V176)</f>
        <v>205.7939999999999</v>
      </c>
      <c r="D24" s="20">
        <f>SUMIF('4. Raw load per load'!$B$5:$B$176,"prosumer",'4. Raw load per load'!V5:V176)</f>
        <v>33.960800000000013</v>
      </c>
      <c r="E24" s="20">
        <f>SUMIF('4. Raw load per load'!$B$5:$B$176,"customer",'4. Raw load per load'!V5:V176)</f>
        <v>32.172700000000013</v>
      </c>
      <c r="F24" s="20">
        <f>SUM('5. Raw batt charge'!C24:CN24)</f>
        <v>19.922000000000004</v>
      </c>
      <c r="G24" s="20">
        <f>SUM('6. Raw batt discharge'!C24:CN24)</f>
        <v>2.0449999999999999</v>
      </c>
      <c r="H24" s="21">
        <f t="shared" si="0"/>
        <v>17.877000000000002</v>
      </c>
      <c r="I24" s="21">
        <f t="shared" si="1"/>
        <v>33.960800000000013</v>
      </c>
      <c r="J24" s="21">
        <f t="shared" si="2"/>
        <v>17.877000000000002</v>
      </c>
      <c r="K24" s="21">
        <f t="shared" si="3"/>
        <v>32.172700000000013</v>
      </c>
      <c r="L24" s="21">
        <f t="shared" si="4"/>
        <v>121.78349999999986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load'!W5:W176)</f>
        <v>217.83749999999978</v>
      </c>
      <c r="D25" s="20">
        <f>SUMIF('4. Raw load per load'!$B$5:$B$176,"prosumer",'4. Raw load per load'!W5:W176)</f>
        <v>32.055799999999998</v>
      </c>
      <c r="E25" s="20">
        <f>SUMIF('4. Raw load per load'!$B$5:$B$176,"customer",'4. Raw load per load'!W5:W176)</f>
        <v>28.8352</v>
      </c>
      <c r="F25" s="20">
        <f>SUM('5. Raw batt charge'!C25:CN25)</f>
        <v>15.144000000000002</v>
      </c>
      <c r="G25" s="20">
        <f>SUM('6. Raw batt discharge'!C25:CN25)</f>
        <v>1.2210000000000001</v>
      </c>
      <c r="H25" s="21">
        <f t="shared" si="0"/>
        <v>13.923000000000002</v>
      </c>
      <c r="I25" s="21">
        <f t="shared" si="1"/>
        <v>32.055799999999998</v>
      </c>
      <c r="J25" s="21">
        <f t="shared" si="2"/>
        <v>13.923000000000002</v>
      </c>
      <c r="K25" s="21">
        <f t="shared" si="3"/>
        <v>28.8352</v>
      </c>
      <c r="L25" s="21">
        <f t="shared" si="4"/>
        <v>143.02349999999979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load'!X5:X176)</f>
        <v>227.78019999999984</v>
      </c>
      <c r="D26" s="20">
        <f>SUMIF('4. Raw load per load'!$B$5:$B$176,"prosumer",'4. Raw load per load'!X5:X176)</f>
        <v>26.4863</v>
      </c>
      <c r="E26" s="20">
        <f>SUMIF('4. Raw load per load'!$B$5:$B$176,"customer",'4. Raw load per load'!X5:X176)</f>
        <v>30.3401</v>
      </c>
      <c r="F26" s="20">
        <f>SUM('5. Raw batt charge'!C26:CN26)</f>
        <v>8.1429999999999989</v>
      </c>
      <c r="G26" s="20">
        <f>SUM('6. Raw batt discharge'!C26:CN26)</f>
        <v>0</v>
      </c>
      <c r="H26" s="21">
        <f t="shared" si="0"/>
        <v>8.1429999999999989</v>
      </c>
      <c r="I26" s="21">
        <f t="shared" si="1"/>
        <v>26.4863</v>
      </c>
      <c r="J26" s="21">
        <f t="shared" si="2"/>
        <v>8.1429999999999989</v>
      </c>
      <c r="K26" s="21">
        <f t="shared" si="3"/>
        <v>30.3401</v>
      </c>
      <c r="L26" s="21">
        <f t="shared" si="4"/>
        <v>162.81079999999983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load'!Y5:Y176)</f>
        <v>234.83389999999986</v>
      </c>
      <c r="D27" s="20">
        <f>SUMIF('4. Raw load per load'!$B$5:$B$176,"prosumer",'4. Raw load per load'!Y5:Y176)</f>
        <v>27.222399999999993</v>
      </c>
      <c r="E27" s="20">
        <f>SUMIF('4. Raw load per load'!$B$5:$B$176,"customer",'4. Raw load per load'!Y5:Y176)</f>
        <v>39.402699999999982</v>
      </c>
      <c r="F27" s="20">
        <f>SUM('5. Raw batt charge'!C27:CN27)</f>
        <v>3.2532999999999999</v>
      </c>
      <c r="G27" s="20">
        <f>SUM('6. Raw batt discharge'!C27:CN27)</f>
        <v>0.30499999999999999</v>
      </c>
      <c r="H27" s="21">
        <f t="shared" si="0"/>
        <v>2.9482999999999997</v>
      </c>
      <c r="I27" s="21">
        <f t="shared" si="1"/>
        <v>27.222399999999993</v>
      </c>
      <c r="J27" s="21">
        <f t="shared" si="2"/>
        <v>2.9482999999999997</v>
      </c>
      <c r="K27" s="21">
        <f t="shared" si="3"/>
        <v>39.402699999999982</v>
      </c>
      <c r="L27" s="21">
        <f t="shared" si="4"/>
        <v>165.26049999999989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load'!Z5:Z176)</f>
        <v>237.92849999999984</v>
      </c>
      <c r="D28" s="20">
        <f>SUMIF('4. Raw load per load'!$B$5:$B$176,"prosumer",'4. Raw load per load'!Z5:Z176)</f>
        <v>35.522799999999975</v>
      </c>
      <c r="E28" s="20">
        <f>SUMIF('4. Raw load per load'!$B$5:$B$176,"customer",'4. Raw load per load'!Z5:Z176)</f>
        <v>33.076200000000007</v>
      </c>
      <c r="F28" s="20">
        <f>SUM('5. Raw batt charge'!C28:CN28)</f>
        <v>1.853</v>
      </c>
      <c r="G28" s="20">
        <f>SUM('6. Raw batt discharge'!C28:CN28)</f>
        <v>5.6240000000000006</v>
      </c>
      <c r="H28" s="21">
        <f t="shared" si="0"/>
        <v>-3.7710000000000008</v>
      </c>
      <c r="I28" s="21">
        <f t="shared" si="1"/>
        <v>35.522799999999975</v>
      </c>
      <c r="J28" s="21">
        <f t="shared" si="2"/>
        <v>0</v>
      </c>
      <c r="K28" s="21">
        <f t="shared" si="3"/>
        <v>33.076200000000007</v>
      </c>
      <c r="L28" s="21">
        <f t="shared" si="4"/>
        <v>169.32949999999985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load'!AA5:AA176)</f>
        <v>238.82339999999991</v>
      </c>
      <c r="D29" s="20">
        <f>SUMIF('4. Raw load per load'!$B$5:$B$176,"prosumer",'4. Raw load per load'!AA5:AA176)</f>
        <v>28.341399999999993</v>
      </c>
      <c r="E29" s="20">
        <f>SUMIF('4. Raw load per load'!$B$5:$B$176,"customer",'4. Raw load per load'!AA5:AA176)</f>
        <v>32.055800000000012</v>
      </c>
      <c r="F29" s="20">
        <f>SUM('5. Raw batt charge'!C29:CN29)</f>
        <v>2.9649999999999999</v>
      </c>
      <c r="G29" s="20">
        <f>SUM('6. Raw batt discharge'!C29:CN29)</f>
        <v>1.3879999999999999</v>
      </c>
      <c r="H29" s="21">
        <f t="shared" si="0"/>
        <v>1.577</v>
      </c>
      <c r="I29" s="21">
        <f t="shared" si="1"/>
        <v>28.341399999999993</v>
      </c>
      <c r="J29" s="21">
        <f t="shared" si="2"/>
        <v>1.577</v>
      </c>
      <c r="K29" s="21">
        <f t="shared" si="3"/>
        <v>32.055800000000012</v>
      </c>
      <c r="L29" s="21">
        <f t="shared" si="4"/>
        <v>176.84919999999991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load'!AB5:AB176)</f>
        <v>237.14570000000009</v>
      </c>
      <c r="D30" s="20">
        <f>SUMIF('4. Raw load per load'!$B$5:$B$176,"prosumer",'4. Raw load per load'!AB5:AB176)</f>
        <v>25.361599999999992</v>
      </c>
      <c r="E30" s="20">
        <f>SUMIF('4. Raw load per load'!$B$5:$B$176,"customer",'4. Raw load per load'!AB5:AB176)</f>
        <v>35.909499999999994</v>
      </c>
      <c r="F30" s="20">
        <f>SUM('5. Raw batt charge'!C30:CN30)</f>
        <v>6.0380000000000003</v>
      </c>
      <c r="G30" s="20">
        <f>SUM('6. Raw batt discharge'!C30:CN30)</f>
        <v>3.2329999999999997</v>
      </c>
      <c r="H30" s="21">
        <f t="shared" si="0"/>
        <v>2.8050000000000006</v>
      </c>
      <c r="I30" s="21">
        <f t="shared" si="1"/>
        <v>25.361599999999992</v>
      </c>
      <c r="J30" s="21">
        <f t="shared" si="2"/>
        <v>2.8050000000000006</v>
      </c>
      <c r="K30" s="21">
        <f t="shared" si="3"/>
        <v>35.909499999999994</v>
      </c>
      <c r="L30" s="21">
        <f t="shared" si="4"/>
        <v>173.06960000000009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load'!AC5:AC176)</f>
        <v>231.51669999999987</v>
      </c>
      <c r="D31" s="20">
        <f>SUMIF('4. Raw load per load'!$B$5:$B$176,"prosumer",'4. Raw load per load'!AC5:AC176)</f>
        <v>26.094099999999994</v>
      </c>
      <c r="E31" s="20">
        <f>SUMIF('4. Raw load per load'!$B$5:$B$176,"customer",'4. Raw load per load'!AC5:AC176)</f>
        <v>39.724999999999987</v>
      </c>
      <c r="F31" s="20">
        <f>SUM('5. Raw batt charge'!C31:CN31)</f>
        <v>5.5259999999999998</v>
      </c>
      <c r="G31" s="20">
        <f>SUM('6. Raw batt discharge'!C31:CN31)</f>
        <v>4.0329999999999995</v>
      </c>
      <c r="H31" s="21">
        <f t="shared" si="0"/>
        <v>1.4930000000000003</v>
      </c>
      <c r="I31" s="21">
        <f t="shared" si="1"/>
        <v>26.094099999999994</v>
      </c>
      <c r="J31" s="21">
        <f t="shared" si="2"/>
        <v>1.4930000000000003</v>
      </c>
      <c r="K31" s="21">
        <f t="shared" si="3"/>
        <v>39.724999999999987</v>
      </c>
      <c r="L31" s="21">
        <f t="shared" si="4"/>
        <v>164.20459999999989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load'!AD5:AD176)</f>
        <v>222.92440000000005</v>
      </c>
      <c r="D32" s="20">
        <f>SUMIF('4. Raw load per load'!$B$5:$B$176,"prosumer",'4. Raw load per load'!AD5:AD176)</f>
        <v>29.139500000000002</v>
      </c>
      <c r="E32" s="20">
        <f>SUMIF('4. Raw load per load'!$B$5:$B$176,"customer",'4. Raw load per load'!AD5:AD176)</f>
        <v>26.840599999999998</v>
      </c>
      <c r="F32" s="20">
        <f>SUM('5. Raw batt charge'!C32:CN32)</f>
        <v>2.8409999999999997</v>
      </c>
      <c r="G32" s="20">
        <f>SUM('6. Raw batt discharge'!C32:CN32)</f>
        <v>0</v>
      </c>
      <c r="H32" s="21">
        <f t="shared" si="0"/>
        <v>2.8409999999999997</v>
      </c>
      <c r="I32" s="21">
        <f t="shared" si="1"/>
        <v>29.139500000000002</v>
      </c>
      <c r="J32" s="21">
        <f t="shared" si="2"/>
        <v>2.8409999999999997</v>
      </c>
      <c r="K32" s="21">
        <f t="shared" si="3"/>
        <v>26.840599999999998</v>
      </c>
      <c r="L32" s="21">
        <f t="shared" si="4"/>
        <v>164.10330000000005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load'!AE5:AE176)</f>
        <v>212.66909999999984</v>
      </c>
      <c r="D33" s="20">
        <f>SUMIF('4. Raw load per load'!$B$5:$B$176,"prosumer",'4. Raw load per load'!AE5:AE176)</f>
        <v>24.530000000000015</v>
      </c>
      <c r="E33" s="20">
        <f>SUMIF('4. Raw load per load'!$B$5:$B$176,"customer",'4. Raw load per load'!AE5:AE176)</f>
        <v>31.16180000000001</v>
      </c>
      <c r="F33" s="20">
        <f>SUM('5. Raw batt charge'!C33:CN33)</f>
        <v>1.6339999999999999</v>
      </c>
      <c r="G33" s="20">
        <f>SUM('6. Raw batt discharge'!C33:CN33)</f>
        <v>0</v>
      </c>
      <c r="H33" s="21">
        <f t="shared" si="0"/>
        <v>1.6339999999999999</v>
      </c>
      <c r="I33" s="21">
        <f t="shared" si="1"/>
        <v>24.530000000000015</v>
      </c>
      <c r="J33" s="21">
        <f t="shared" si="2"/>
        <v>1.6339999999999999</v>
      </c>
      <c r="K33" s="21">
        <f t="shared" si="3"/>
        <v>31.16180000000001</v>
      </c>
      <c r="L33" s="21">
        <f t="shared" si="4"/>
        <v>155.34329999999983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load'!AF5:AF176)</f>
        <v>199.67420000000001</v>
      </c>
      <c r="D34" s="20">
        <f>SUMIF('4. Raw load per load'!$B$5:$B$176,"prosumer",'4. Raw load per load'!AF5:AF176)</f>
        <v>27.646600000000003</v>
      </c>
      <c r="E34" s="20">
        <f>SUMIF('4. Raw load per load'!$B$5:$B$176,"customer",'4. Raw load per load'!AF5:AF176)</f>
        <v>30.018100000000008</v>
      </c>
      <c r="F34" s="20">
        <f>SUM('5. Raw batt charge'!C34:CN34)</f>
        <v>2.4510000000000001</v>
      </c>
      <c r="G34" s="20">
        <f>SUM('6. Raw batt discharge'!C34:CN34)</f>
        <v>9.4E-2</v>
      </c>
      <c r="H34" s="21">
        <f t="shared" si="0"/>
        <v>2.3570000000000002</v>
      </c>
      <c r="I34" s="21">
        <f t="shared" si="1"/>
        <v>27.646600000000003</v>
      </c>
      <c r="J34" s="21">
        <f t="shared" si="2"/>
        <v>2.3570000000000002</v>
      </c>
      <c r="K34" s="21">
        <f t="shared" si="3"/>
        <v>30.018100000000008</v>
      </c>
      <c r="L34" s="21">
        <f t="shared" si="4"/>
        <v>139.6525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load'!AG5:AG176)</f>
        <v>185.86370000000002</v>
      </c>
      <c r="D35" s="20">
        <f>SUMIF('4. Raw load per load'!$B$5:$B$176,"prosumer",'4. Raw load per load'!AG5:AG176)</f>
        <v>30.702299999999997</v>
      </c>
      <c r="E35" s="20">
        <f>SUMIF('4. Raw load per load'!$B$5:$B$176,"customer",'4. Raw load per load'!AG5:AG176)</f>
        <v>25.91940000000001</v>
      </c>
      <c r="F35" s="20">
        <f>SUM('5. Raw batt charge'!C35:CN35)</f>
        <v>2.0960000000000001</v>
      </c>
      <c r="G35" s="20">
        <f>SUM('6. Raw batt discharge'!C35:CN35)</f>
        <v>2.8079999999999998</v>
      </c>
      <c r="H35" s="21">
        <f t="shared" si="0"/>
        <v>-0.71199999999999974</v>
      </c>
      <c r="I35" s="21">
        <f t="shared" si="1"/>
        <v>30.702299999999997</v>
      </c>
      <c r="J35" s="21">
        <f t="shared" si="2"/>
        <v>0</v>
      </c>
      <c r="K35" s="21">
        <f t="shared" si="3"/>
        <v>25.91940000000001</v>
      </c>
      <c r="L35" s="21">
        <f t="shared" si="4"/>
        <v>129.24200000000002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load'!AH5:AH176)</f>
        <v>169.24570000000014</v>
      </c>
      <c r="D36" s="20">
        <f>SUMIF('4. Raw load per load'!$B$5:$B$176,"prosumer",'4. Raw load per load'!AH5:AH176)</f>
        <v>25.755900000000004</v>
      </c>
      <c r="E36" s="20">
        <f>SUMIF('4. Raw load per load'!$B$5:$B$176,"customer",'4. Raw load per load'!AH5:AH176)</f>
        <v>21.366800000000005</v>
      </c>
      <c r="F36" s="20">
        <f>SUM('5. Raw batt charge'!C36:CN36)</f>
        <v>3.0990000000000002</v>
      </c>
      <c r="G36" s="20">
        <f>SUM('6. Raw batt discharge'!C36:CN36)</f>
        <v>1.4669999999999999</v>
      </c>
      <c r="H36" s="21">
        <f t="shared" si="0"/>
        <v>1.6320000000000003</v>
      </c>
      <c r="I36" s="21">
        <f t="shared" si="1"/>
        <v>25.755900000000004</v>
      </c>
      <c r="J36" s="21">
        <f t="shared" si="2"/>
        <v>1.6320000000000003</v>
      </c>
      <c r="K36" s="21">
        <f t="shared" si="3"/>
        <v>21.366800000000005</v>
      </c>
      <c r="L36" s="21">
        <f t="shared" si="4"/>
        <v>120.49100000000013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load'!AI5:AI176)</f>
        <v>150.5308</v>
      </c>
      <c r="D37" s="20">
        <f>SUMIF('4. Raw load per load'!$B$5:$B$176,"prosumer",'4. Raw load per load'!AI5:AI176)</f>
        <v>31.390399999999996</v>
      </c>
      <c r="E37" s="20">
        <f>SUMIF('4. Raw load per load'!$B$5:$B$176,"customer",'4. Raw load per load'!AI5:AI176)</f>
        <v>22.702899999999996</v>
      </c>
      <c r="F37" s="20">
        <f>SUM('5. Raw batt charge'!C37:CN37)</f>
        <v>1.3719999999999999</v>
      </c>
      <c r="G37" s="20">
        <f>SUM('6. Raw batt discharge'!C37:CN37)</f>
        <v>0.88</v>
      </c>
      <c r="H37" s="21">
        <f t="shared" si="0"/>
        <v>0.49199999999999988</v>
      </c>
      <c r="I37" s="21">
        <f t="shared" si="1"/>
        <v>31.390399999999996</v>
      </c>
      <c r="J37" s="21">
        <f t="shared" si="2"/>
        <v>0.49199999999999988</v>
      </c>
      <c r="K37" s="21">
        <f t="shared" si="3"/>
        <v>22.702899999999996</v>
      </c>
      <c r="L37" s="21">
        <f t="shared" si="4"/>
        <v>95.945499999999996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load'!AJ5:AJ176)</f>
        <v>127.93329999999997</v>
      </c>
      <c r="D38" s="20">
        <f>SUMIF('4. Raw load per load'!$B$5:$B$176,"prosumer",'4. Raw load per load'!AJ5:AJ176)</f>
        <v>30.872299999999992</v>
      </c>
      <c r="E38" s="20">
        <f>SUMIF('4. Raw load per load'!$B$5:$B$176,"customer",'4. Raw load per load'!AJ5:AJ176)</f>
        <v>25.575200000000013</v>
      </c>
      <c r="F38" s="20">
        <f>SUM('5. Raw batt charge'!C38:CN38)</f>
        <v>1.87</v>
      </c>
      <c r="G38" s="20">
        <f>SUM('6. Raw batt discharge'!C38:CN38)</f>
        <v>3.8120000000000003</v>
      </c>
      <c r="H38" s="21">
        <f t="shared" si="0"/>
        <v>-1.9420000000000002</v>
      </c>
      <c r="I38" s="21">
        <f t="shared" si="1"/>
        <v>30.872299999999992</v>
      </c>
      <c r="J38" s="21">
        <f t="shared" si="2"/>
        <v>0</v>
      </c>
      <c r="K38" s="21">
        <f t="shared" si="3"/>
        <v>25.575200000000013</v>
      </c>
      <c r="L38" s="21">
        <f t="shared" si="4"/>
        <v>71.485799999999969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load'!AK5:AK176)</f>
        <v>106.78199999999994</v>
      </c>
      <c r="D39" s="20">
        <f>SUMIF('4. Raw load per load'!$B$5:$B$176,"prosumer",'4. Raw load per load'!AK5:AK176)</f>
        <v>34.6158</v>
      </c>
      <c r="E39" s="20">
        <f>SUMIF('4. Raw load per load'!$B$5:$B$176,"customer",'4. Raw load per load'!AK5:AK176)</f>
        <v>25.967999999999996</v>
      </c>
      <c r="F39" s="20">
        <f>SUM('5. Raw batt charge'!C39:CN39)</f>
        <v>1.2189999999999999</v>
      </c>
      <c r="G39" s="20">
        <f>SUM('6. Raw batt discharge'!C39:CN39)</f>
        <v>3.528</v>
      </c>
      <c r="H39" s="21">
        <f t="shared" si="0"/>
        <v>-2.3090000000000002</v>
      </c>
      <c r="I39" s="21">
        <f t="shared" si="1"/>
        <v>34.6158</v>
      </c>
      <c r="J39" s="21">
        <f t="shared" si="2"/>
        <v>0</v>
      </c>
      <c r="K39" s="21">
        <f t="shared" si="3"/>
        <v>25.967999999999996</v>
      </c>
      <c r="L39" s="21">
        <f t="shared" si="4"/>
        <v>46.19819999999995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load'!AL5:AL176)</f>
        <v>85.048999999999936</v>
      </c>
      <c r="D40" s="20">
        <f>SUMIF('4. Raw load per load'!$B$5:$B$176,"prosumer",'4. Raw load per load'!AL5:AL176)</f>
        <v>38.208399999999997</v>
      </c>
      <c r="E40" s="20">
        <f>SUMIF('4. Raw load per load'!$B$5:$B$176,"customer",'4. Raw load per load'!AL5:AL176)</f>
        <v>29.707899999999995</v>
      </c>
      <c r="F40" s="20">
        <f>SUM('5. Raw batt charge'!C40:CN40)</f>
        <v>1.4970000000000001</v>
      </c>
      <c r="G40" s="20">
        <f>SUM('6. Raw batt discharge'!C40:CN40)</f>
        <v>9.347999999999999</v>
      </c>
      <c r="H40" s="21">
        <f t="shared" si="0"/>
        <v>-7.8509999999999991</v>
      </c>
      <c r="I40" s="21">
        <f t="shared" si="1"/>
        <v>38.208399999999997</v>
      </c>
      <c r="J40" s="21">
        <f t="shared" si="2"/>
        <v>0</v>
      </c>
      <c r="K40" s="21">
        <f t="shared" si="3"/>
        <v>29.707899999999995</v>
      </c>
      <c r="L40" s="21">
        <f t="shared" si="4"/>
        <v>17.132699999999943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load'!AM5:AM176)</f>
        <v>64.02789999999996</v>
      </c>
      <c r="D41" s="20">
        <f>SUMIF('4. Raw load per load'!$B$5:$B$176,"prosumer",'4. Raw load per load'!AM5:AM176)</f>
        <v>31.357800000000015</v>
      </c>
      <c r="E41" s="20">
        <f>SUMIF('4. Raw load per load'!$B$5:$B$176,"customer",'4. Raw load per load'!AM5:AM176)</f>
        <v>36.250300000000003</v>
      </c>
      <c r="F41" s="20">
        <f>SUM('5. Raw batt charge'!C41:CN41)</f>
        <v>3.8109999999999995</v>
      </c>
      <c r="G41" s="20">
        <f>SUM('6. Raw batt discharge'!C41:CN41)</f>
        <v>4.6509999999999998</v>
      </c>
      <c r="H41" s="21">
        <f t="shared" si="0"/>
        <v>-0.8400000000000003</v>
      </c>
      <c r="I41" s="21">
        <f t="shared" si="1"/>
        <v>31.357800000000015</v>
      </c>
      <c r="J41" s="21">
        <f t="shared" si="2"/>
        <v>0</v>
      </c>
      <c r="K41" s="21">
        <f t="shared" si="3"/>
        <v>32.670099999999948</v>
      </c>
      <c r="L41" s="21">
        <f t="shared" si="4"/>
        <v>0</v>
      </c>
      <c r="M41" s="21">
        <f t="shared" si="5"/>
        <v>3.5802000000000547</v>
      </c>
    </row>
    <row r="42" spans="1:13" x14ac:dyDescent="0.25">
      <c r="A42" s="8">
        <v>38</v>
      </c>
      <c r="B42" s="19">
        <v>18.5</v>
      </c>
      <c r="C42" s="20">
        <f>SUM('3. Raw PV per load'!AN5:AN176)</f>
        <v>43.760200000000012</v>
      </c>
      <c r="D42" s="20">
        <f>SUMIF('4. Raw load per load'!$B$5:$B$176,"prosumer",'4. Raw load per load'!AN5:AN176)</f>
        <v>35.34320000000001</v>
      </c>
      <c r="E42" s="20">
        <f>SUMIF('4. Raw load per load'!$B$5:$B$176,"customer",'4. Raw load per load'!AN5:AN176)</f>
        <v>31.324799999999993</v>
      </c>
      <c r="F42" s="20">
        <f>SUM('5. Raw batt charge'!C42:CN42)</f>
        <v>3.3899999999999997</v>
      </c>
      <c r="G42" s="20">
        <f>SUM('6. Raw batt discharge'!C42:CN42)</f>
        <v>11.783000000000001</v>
      </c>
      <c r="H42" s="21">
        <f t="shared" si="0"/>
        <v>-8.3930000000000007</v>
      </c>
      <c r="I42" s="21">
        <f t="shared" si="1"/>
        <v>35.34320000000001</v>
      </c>
      <c r="J42" s="21">
        <f t="shared" si="2"/>
        <v>0</v>
      </c>
      <c r="K42" s="21">
        <f t="shared" si="3"/>
        <v>8.4170000000000016</v>
      </c>
      <c r="L42" s="21">
        <f t="shared" si="4"/>
        <v>0</v>
      </c>
      <c r="M42" s="21">
        <f t="shared" si="5"/>
        <v>22.907799999999991</v>
      </c>
    </row>
    <row r="43" spans="1:13" x14ac:dyDescent="0.25">
      <c r="A43" s="8">
        <v>39</v>
      </c>
      <c r="B43" s="19">
        <v>19</v>
      </c>
      <c r="C43" s="20">
        <f>SUM('3. Raw PV per load'!AO5:AO176)</f>
        <v>25.551600000000018</v>
      </c>
      <c r="D43" s="20">
        <f>SUMIF('4. Raw load per load'!$B$5:$B$176,"prosumer",'4. Raw load per load'!AO5:AO176)</f>
        <v>31.277900000000013</v>
      </c>
      <c r="E43" s="20">
        <f>SUMIF('4. Raw load per load'!$B$5:$B$176,"customer",'4. Raw load per load'!AO5:AO176)</f>
        <v>29.654800000000009</v>
      </c>
      <c r="F43" s="20">
        <f>SUM('5. Raw batt charge'!C43:CN43)</f>
        <v>1.635</v>
      </c>
      <c r="G43" s="20">
        <f>SUM('6. Raw batt discharge'!C43:CN43)</f>
        <v>13.011999999999995</v>
      </c>
      <c r="H43" s="21">
        <f t="shared" si="0"/>
        <v>-11.376999999999995</v>
      </c>
      <c r="I43" s="21">
        <f t="shared" si="1"/>
        <v>25.551600000000018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29.654800000000009</v>
      </c>
    </row>
    <row r="44" spans="1:13" x14ac:dyDescent="0.25">
      <c r="A44" s="8">
        <v>40</v>
      </c>
      <c r="B44" s="19">
        <v>19.5</v>
      </c>
      <c r="C44" s="20">
        <f>SUM('3. Raw PV per load'!AP5:AP176)</f>
        <v>7.4369999999999976</v>
      </c>
      <c r="D44" s="20">
        <f>SUMIF('4. Raw load per load'!$B$5:$B$176,"prosumer",'4. Raw load per load'!AP5:AP176)</f>
        <v>41.186499999999974</v>
      </c>
      <c r="E44" s="20">
        <f>SUMIF('4. Raw load per load'!$B$5:$B$176,"customer",'4. Raw load per load'!AP5:AP176)</f>
        <v>35.916400000000003</v>
      </c>
      <c r="F44" s="20">
        <f>SUM('5. Raw batt charge'!C44:CN44)</f>
        <v>7.0000000000000007E-2</v>
      </c>
      <c r="G44" s="20">
        <f>SUM('6. Raw batt discharge'!C44:CN44)</f>
        <v>34.020000000000003</v>
      </c>
      <c r="H44" s="21">
        <f t="shared" si="0"/>
        <v>-33.950000000000003</v>
      </c>
      <c r="I44" s="21">
        <f t="shared" si="1"/>
        <v>7.4369999999999976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35.916400000000003</v>
      </c>
    </row>
    <row r="45" spans="1:13" x14ac:dyDescent="0.25">
      <c r="A45" s="8">
        <v>41</v>
      </c>
      <c r="B45" s="19">
        <v>20</v>
      </c>
      <c r="C45" s="20">
        <f>SUM('3. Raw PV per load'!AQ5:AQ176)</f>
        <v>1.3727000000000005</v>
      </c>
      <c r="D45" s="20">
        <f>SUMIF('4. Raw load per load'!$B$5:$B$176,"prosumer",'4. Raw load per load'!AQ5:AQ176)</f>
        <v>42.042000000000002</v>
      </c>
      <c r="E45" s="20">
        <f>SUMIF('4. Raw load per load'!$B$5:$B$176,"customer",'4. Raw load per load'!AQ5:AQ176)</f>
        <v>39.867000000000004</v>
      </c>
      <c r="F45" s="20">
        <f>SUM('5. Raw batt charge'!C45:CN45)</f>
        <v>0</v>
      </c>
      <c r="G45" s="20">
        <f>SUM('6. Raw batt discharge'!C45:CN45)</f>
        <v>40.668999999999983</v>
      </c>
      <c r="H45" s="21">
        <f t="shared" si="0"/>
        <v>-40.668999999999983</v>
      </c>
      <c r="I45" s="21">
        <f t="shared" si="1"/>
        <v>1.3727000000000005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39.867000000000004</v>
      </c>
    </row>
    <row r="46" spans="1:13" x14ac:dyDescent="0.25">
      <c r="A46" s="8">
        <v>42</v>
      </c>
      <c r="B46" s="19">
        <v>20.5</v>
      </c>
      <c r="C46" s="20">
        <f>SUM('3. Raw PV per load'!AR5:AR176)</f>
        <v>0</v>
      </c>
      <c r="D46" s="20">
        <f>SUMIF('4. Raw load per load'!$B$5:$B$176,"prosumer",'4. Raw load per load'!AR5:AR176)</f>
        <v>38.319500000000005</v>
      </c>
      <c r="E46" s="20">
        <f>SUMIF('4. Raw load per load'!$B$5:$B$176,"customer",'4. Raw load per load'!AR5:AR176)</f>
        <v>43.394500000000001</v>
      </c>
      <c r="F46" s="20">
        <f>SUM('5. Raw batt charge'!C46:CN46)</f>
        <v>0</v>
      </c>
      <c r="G46" s="20">
        <f>SUM('6. Raw batt discharge'!C46:CN46)</f>
        <v>37.415000000000006</v>
      </c>
      <c r="H46" s="21">
        <f t="shared" si="0"/>
        <v>-37.415000000000006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43.394500000000001</v>
      </c>
    </row>
    <row r="47" spans="1:13" x14ac:dyDescent="0.25">
      <c r="A47" s="8">
        <v>43</v>
      </c>
      <c r="B47" s="19">
        <v>21</v>
      </c>
      <c r="C47" s="20">
        <f>SUM('3. Raw PV per load'!AS5:AS176)</f>
        <v>0</v>
      </c>
      <c r="D47" s="20">
        <f>SUMIF('4. Raw load per load'!$B$5:$B$176,"prosumer",'4. Raw load per load'!AS5:AS176)</f>
        <v>45.271300000000018</v>
      </c>
      <c r="E47" s="20">
        <f>SUMIF('4. Raw load per load'!$B$5:$B$176,"customer",'4. Raw load per load'!AS5:AS176)</f>
        <v>43.879599999999989</v>
      </c>
      <c r="F47" s="20">
        <f>SUM('5. Raw batt charge'!C47:CN47)</f>
        <v>0</v>
      </c>
      <c r="G47" s="20">
        <f>SUM('6. Raw batt discharge'!C47:CN47)</f>
        <v>43.491000000000007</v>
      </c>
      <c r="H47" s="21">
        <f t="shared" si="0"/>
        <v>-43.491000000000007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43.879599999999989</v>
      </c>
    </row>
    <row r="48" spans="1:13" x14ac:dyDescent="0.25">
      <c r="A48" s="8">
        <v>44</v>
      </c>
      <c r="B48" s="19">
        <v>21.5</v>
      </c>
      <c r="C48" s="20">
        <f>SUM('3. Raw PV per load'!AT5:AT176)</f>
        <v>0</v>
      </c>
      <c r="D48" s="20">
        <f>SUMIF('4. Raw load per load'!$B$5:$B$176,"prosumer",'4. Raw load per load'!AT5:AT176)</f>
        <v>46.562700000000007</v>
      </c>
      <c r="E48" s="20">
        <f>SUMIF('4. Raw load per load'!$B$5:$B$176,"customer",'4. Raw load per load'!AT5:AT176)</f>
        <v>38.410700000000013</v>
      </c>
      <c r="F48" s="20">
        <f>SUM('5. Raw batt charge'!C48:CN48)</f>
        <v>0</v>
      </c>
      <c r="G48" s="20">
        <f>SUM('6. Raw batt discharge'!C48:CN48)</f>
        <v>44.887000000000008</v>
      </c>
      <c r="H48" s="21">
        <f t="shared" si="0"/>
        <v>-44.887000000000008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38.410700000000013</v>
      </c>
    </row>
    <row r="49" spans="1:13" x14ac:dyDescent="0.25">
      <c r="A49" s="8">
        <v>45</v>
      </c>
      <c r="B49" s="19">
        <v>22</v>
      </c>
      <c r="C49" s="20">
        <f>SUM('3. Raw PV per load'!AU5:AU176)</f>
        <v>0</v>
      </c>
      <c r="D49" s="20">
        <f>SUMIF('4. Raw load per load'!$B$5:$B$176,"prosumer",'4. Raw load per load'!AU5:AU176)</f>
        <v>47.717600000000012</v>
      </c>
      <c r="E49" s="20">
        <f>SUMIF('4. Raw load per load'!$B$5:$B$176,"customer",'4. Raw load per load'!AU5:AU176)</f>
        <v>40.98810000000001</v>
      </c>
      <c r="F49" s="20">
        <f>SUM('5. Raw batt charge'!C49:CN49)</f>
        <v>0</v>
      </c>
      <c r="G49" s="20">
        <f>SUM('6. Raw batt discharge'!C49:CN49)</f>
        <v>45.795000000000009</v>
      </c>
      <c r="H49" s="21">
        <f t="shared" si="0"/>
        <v>-45.795000000000009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40.98810000000001</v>
      </c>
    </row>
    <row r="50" spans="1:13" x14ac:dyDescent="0.25">
      <c r="A50" s="8">
        <v>46</v>
      </c>
      <c r="B50" s="19">
        <v>22.5</v>
      </c>
      <c r="C50" s="20">
        <f>SUM('3. Raw PV per load'!AV5:AV176)</f>
        <v>0</v>
      </c>
      <c r="D50" s="20">
        <f>SUMIF('4. Raw load per load'!$B$5:$B$176,"prosumer",'4. Raw load per load'!AV5:AV176)</f>
        <v>43.112700000000011</v>
      </c>
      <c r="E50" s="20">
        <f>SUMIF('4. Raw load per load'!$B$5:$B$176,"customer",'4. Raw load per load'!AV5:AV176)</f>
        <v>35.393800000000006</v>
      </c>
      <c r="F50" s="20">
        <f>SUM('5. Raw batt charge'!C50:CN50)</f>
        <v>0</v>
      </c>
      <c r="G50" s="20">
        <f>SUM('6. Raw batt discharge'!C50:CN50)</f>
        <v>37.63600000000001</v>
      </c>
      <c r="H50" s="21">
        <f t="shared" si="0"/>
        <v>-37.63600000000001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35.393800000000006</v>
      </c>
    </row>
    <row r="51" spans="1:13" x14ac:dyDescent="0.25">
      <c r="A51" s="8">
        <v>47</v>
      </c>
      <c r="B51" s="19">
        <v>23</v>
      </c>
      <c r="C51" s="20">
        <f>SUM('3. Raw PV per load'!AW5:AW176)</f>
        <v>0</v>
      </c>
      <c r="D51" s="20">
        <f>SUMIF('4. Raw load per load'!$B$5:$B$176,"prosumer",'4. Raw load per load'!AW5:AW176)</f>
        <v>33.267800000000008</v>
      </c>
      <c r="E51" s="20">
        <f>SUMIF('4. Raw load per load'!$B$5:$B$176,"customer",'4. Raw load per load'!AW5:AW176)</f>
        <v>28.878599999999999</v>
      </c>
      <c r="F51" s="20">
        <f>SUM('5. Raw batt charge'!C51:CN51)</f>
        <v>0</v>
      </c>
      <c r="G51" s="20">
        <f>SUM('6. Raw batt discharge'!C51:CN51)</f>
        <v>29.195</v>
      </c>
      <c r="H51" s="21">
        <f t="shared" si="0"/>
        <v>-29.195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28.878599999999999</v>
      </c>
    </row>
    <row r="52" spans="1:13" x14ac:dyDescent="0.25">
      <c r="A52" s="8">
        <v>48</v>
      </c>
      <c r="B52" s="19">
        <v>23.5</v>
      </c>
      <c r="C52" s="20">
        <f>SUM('3. Raw PV per load'!AX5:AX176)</f>
        <v>0</v>
      </c>
      <c r="D52" s="20">
        <f>SUMIF('4. Raw load per load'!$B$5:$B$176,"prosumer",'4. Raw load per load'!AX5:AX176)</f>
        <v>27.273599999999991</v>
      </c>
      <c r="E52" s="20">
        <f>SUMIF('4. Raw load per load'!$B$5:$B$176,"customer",'4. Raw load per load'!AX5:AX176)</f>
        <v>21.131099999999996</v>
      </c>
      <c r="F52" s="20">
        <f>SUM('5. Raw batt charge'!C52:CN52)</f>
        <v>0</v>
      </c>
      <c r="G52" s="20">
        <f>SUM('6. Raw batt discharge'!C52:CN52)</f>
        <v>23.577000000000005</v>
      </c>
      <c r="H52" s="21">
        <f t="shared" si="0"/>
        <v>-23.577000000000005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21.131099999999996</v>
      </c>
    </row>
    <row r="53" spans="1:13" x14ac:dyDescent="0.25">
      <c r="A53" s="22" t="s">
        <v>563</v>
      </c>
      <c r="B53" s="22" t="s">
        <v>31</v>
      </c>
      <c r="C53" s="23">
        <f t="shared" ref="C53:M53" si="6">SUM(C5:C52)*0.5</f>
        <v>2241.1862499999988</v>
      </c>
      <c r="D53" s="23">
        <f t="shared" si="6"/>
        <v>643.09500000000014</v>
      </c>
      <c r="E53" s="23">
        <f t="shared" si="6"/>
        <v>605.07749999999999</v>
      </c>
      <c r="F53" s="23">
        <f t="shared" si="6"/>
        <v>327.46514999999999</v>
      </c>
      <c r="G53" s="23">
        <f t="shared" si="6"/>
        <v>266.33460000000002</v>
      </c>
      <c r="H53" s="23">
        <f t="shared" si="6"/>
        <v>61.130549999999943</v>
      </c>
      <c r="I53" s="23">
        <f t="shared" si="6"/>
        <v>399.90090000000004</v>
      </c>
      <c r="J53" s="23">
        <f t="shared" si="6"/>
        <v>306.73604999999986</v>
      </c>
      <c r="K53" s="23">
        <f t="shared" si="6"/>
        <v>319.08539999999994</v>
      </c>
      <c r="L53" s="23">
        <f t="shared" si="6"/>
        <v>1215.4638999999993</v>
      </c>
      <c r="M53" s="23">
        <f t="shared" si="6"/>
        <v>285.99210000000005</v>
      </c>
    </row>
    <row r="55" spans="1:13" x14ac:dyDescent="0.25">
      <c r="A55" s="15" t="s">
        <v>564</v>
      </c>
    </row>
    <row r="56" spans="1:13" x14ac:dyDescent="0.25">
      <c r="A56" s="15" t="s">
        <v>565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workbookViewId="0">
      <selection activeCell="K27" sqref="K27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566</v>
      </c>
    </row>
    <row r="3" spans="1:7" x14ac:dyDescent="0.25">
      <c r="A3" s="2" t="s">
        <v>567</v>
      </c>
      <c r="E3" s="2" t="s">
        <v>568</v>
      </c>
    </row>
    <row r="4" spans="1:7" x14ac:dyDescent="0.25">
      <c r="A4" s="5" t="s">
        <v>569</v>
      </c>
      <c r="B4" s="5" t="s">
        <v>31</v>
      </c>
      <c r="C4" s="5" t="s">
        <v>37</v>
      </c>
      <c r="E4" s="5" t="s">
        <v>570</v>
      </c>
      <c r="F4" s="5" t="s">
        <v>31</v>
      </c>
      <c r="G4" s="5" t="s">
        <v>571</v>
      </c>
    </row>
    <row r="5" spans="1:7" x14ac:dyDescent="0.25">
      <c r="A5" s="8" t="s">
        <v>572</v>
      </c>
      <c r="B5" s="21">
        <f>'7. PV allocation (per period)'!I53</f>
        <v>399.90090000000004</v>
      </c>
      <c r="C5" s="24">
        <f>'7. PV allocation (per period)'!I53/'7. PV allocation (per period)'!C53</f>
        <v>0.17843269384684127</v>
      </c>
      <c r="E5" s="8" t="s">
        <v>573</v>
      </c>
      <c r="F5" s="21">
        <f>'7. PV allocation (per period)'!K53</f>
        <v>319.08539999999994</v>
      </c>
      <c r="G5" s="24">
        <f>'7. PV allocation (per period)'!K53/'7. PV allocation (per period)'!E53</f>
        <v>0.52734633166825728</v>
      </c>
    </row>
    <row r="6" spans="1:7" x14ac:dyDescent="0.25">
      <c r="A6" s="8" t="s">
        <v>33</v>
      </c>
      <c r="B6" s="21">
        <f>'7. PV allocation (per period)'!J53</f>
        <v>306.73604999999986</v>
      </c>
      <c r="C6" s="24">
        <f>'7. PV allocation (per period)'!J53/'7. PV allocation (per period)'!C53</f>
        <v>0.13686325712555128</v>
      </c>
      <c r="E6" s="8" t="s">
        <v>574</v>
      </c>
      <c r="F6" s="21">
        <f>'7. PV allocation (per period)'!M53</f>
        <v>285.99210000000005</v>
      </c>
      <c r="G6" s="24">
        <f>'7. PV allocation (per period)'!M53/'7. PV allocation (per period)'!E53</f>
        <v>0.47265366833174272</v>
      </c>
    </row>
    <row r="7" spans="1:7" x14ac:dyDescent="0.25">
      <c r="A7" s="8" t="s">
        <v>34</v>
      </c>
      <c r="B7" s="21">
        <f>'7. PV allocation (per period)'!K53</f>
        <v>319.08539999999994</v>
      </c>
      <c r="C7" s="24">
        <f>'7. PV allocation (per period)'!K53/'7. PV allocation (per period)'!C53</f>
        <v>0.14237344174318403</v>
      </c>
      <c r="E7" s="22" t="s">
        <v>575</v>
      </c>
      <c r="F7" s="23">
        <f>'7. PV allocation (per period)'!E53</f>
        <v>605.07749999999999</v>
      </c>
      <c r="G7" s="25">
        <v>1</v>
      </c>
    </row>
    <row r="8" spans="1:7" x14ac:dyDescent="0.25">
      <c r="A8" s="8" t="s">
        <v>35</v>
      </c>
      <c r="B8" s="21">
        <f>'7. PV allocation (per period)'!L53</f>
        <v>1215.4638999999993</v>
      </c>
      <c r="C8" s="24">
        <f>'7. PV allocation (per period)'!L53/'7. PV allocation (per period)'!C53</f>
        <v>0.5423306072844235</v>
      </c>
    </row>
    <row r="9" spans="1:7" x14ac:dyDescent="0.25">
      <c r="A9" s="22" t="s">
        <v>576</v>
      </c>
      <c r="B9" s="23">
        <f>'7. PV allocation (per period)'!C53</f>
        <v>2241.1862499999988</v>
      </c>
      <c r="C9" s="25">
        <v>1</v>
      </c>
    </row>
    <row r="55" spans="1:1" x14ac:dyDescent="0.25">
      <c r="A55" s="15" t="s">
        <v>577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2026-07-24T17:47:17Z</dcterms:created>
  <dcterms:modified xsi:type="dcterms:W3CDTF">2026-07-24T17:56:54Z</dcterms:modified>
</cp:coreProperties>
</file>