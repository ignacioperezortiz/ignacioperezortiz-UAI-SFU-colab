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4_analysis\03_PV_ALLOCATION\"/>
    </mc:Choice>
  </mc:AlternateContent>
  <xr:revisionPtr revIDLastSave="0" documentId="8_{2EC11F76-93F3-49D9-B6F0-EFADE6059653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classification'!$A$4:$F$79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G50" i="7"/>
  <c r="F50" i="7"/>
  <c r="H50" i="7" s="1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G47" i="7"/>
  <c r="F47" i="7"/>
  <c r="H47" i="7" s="1"/>
  <c r="E47" i="7"/>
  <c r="D47" i="7"/>
  <c r="C47" i="7"/>
  <c r="I46" i="7"/>
  <c r="G46" i="7"/>
  <c r="F46" i="7"/>
  <c r="H46" i="7" s="1"/>
  <c r="E46" i="7"/>
  <c r="D46" i="7"/>
  <c r="C46" i="7"/>
  <c r="G45" i="7"/>
  <c r="F45" i="7"/>
  <c r="H45" i="7" s="1"/>
  <c r="E45" i="7"/>
  <c r="D45" i="7"/>
  <c r="C45" i="7"/>
  <c r="G44" i="7"/>
  <c r="F44" i="7"/>
  <c r="H44" i="7" s="1"/>
  <c r="E44" i="7"/>
  <c r="D44" i="7"/>
  <c r="C44" i="7"/>
  <c r="J43" i="7"/>
  <c r="G43" i="7"/>
  <c r="F43" i="7"/>
  <c r="H43" i="7" s="1"/>
  <c r="E43" i="7"/>
  <c r="D43" i="7"/>
  <c r="C43" i="7"/>
  <c r="I43" i="7" s="1"/>
  <c r="G42" i="7"/>
  <c r="F42" i="7"/>
  <c r="H42" i="7" s="1"/>
  <c r="E42" i="7"/>
  <c r="D42" i="7"/>
  <c r="C42" i="7"/>
  <c r="G41" i="7"/>
  <c r="F41" i="7"/>
  <c r="H41" i="7" s="1"/>
  <c r="E41" i="7"/>
  <c r="D41" i="7"/>
  <c r="C41" i="7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G35" i="7"/>
  <c r="F35" i="7"/>
  <c r="H35" i="7" s="1"/>
  <c r="E35" i="7"/>
  <c r="D35" i="7"/>
  <c r="C35" i="7"/>
  <c r="G34" i="7"/>
  <c r="F34" i="7"/>
  <c r="H34" i="7" s="1"/>
  <c r="E34" i="7"/>
  <c r="D34" i="7"/>
  <c r="C34" i="7"/>
  <c r="G33" i="7"/>
  <c r="F33" i="7"/>
  <c r="H33" i="7" s="1"/>
  <c r="E33" i="7"/>
  <c r="D33" i="7"/>
  <c r="I33" i="7" s="1"/>
  <c r="C33" i="7"/>
  <c r="G32" i="7"/>
  <c r="F32" i="7"/>
  <c r="H32" i="7" s="1"/>
  <c r="E32" i="7"/>
  <c r="D32" i="7"/>
  <c r="C32" i="7"/>
  <c r="G31" i="7"/>
  <c r="F31" i="7"/>
  <c r="H31" i="7" s="1"/>
  <c r="E31" i="7"/>
  <c r="D31" i="7"/>
  <c r="C31" i="7"/>
  <c r="I30" i="7"/>
  <c r="G30" i="7"/>
  <c r="F30" i="7"/>
  <c r="H30" i="7" s="1"/>
  <c r="E30" i="7"/>
  <c r="D30" i="7"/>
  <c r="C30" i="7"/>
  <c r="G29" i="7"/>
  <c r="F29" i="7"/>
  <c r="H29" i="7" s="1"/>
  <c r="E29" i="7"/>
  <c r="D29" i="7"/>
  <c r="I29" i="7" s="1"/>
  <c r="C29" i="7"/>
  <c r="G28" i="7"/>
  <c r="F28" i="7"/>
  <c r="H28" i="7" s="1"/>
  <c r="E28" i="7"/>
  <c r="D28" i="7"/>
  <c r="C28" i="7"/>
  <c r="I27" i="7"/>
  <c r="G27" i="7"/>
  <c r="F27" i="7"/>
  <c r="H27" i="7" s="1"/>
  <c r="E27" i="7"/>
  <c r="D27" i="7"/>
  <c r="C27" i="7"/>
  <c r="I26" i="7"/>
  <c r="G26" i="7"/>
  <c r="H26" i="7" s="1"/>
  <c r="F26" i="7"/>
  <c r="E26" i="7"/>
  <c r="D26" i="7"/>
  <c r="C26" i="7"/>
  <c r="G25" i="7"/>
  <c r="F25" i="7"/>
  <c r="H25" i="7" s="1"/>
  <c r="E25" i="7"/>
  <c r="D25" i="7"/>
  <c r="C25" i="7"/>
  <c r="I24" i="7"/>
  <c r="G24" i="7"/>
  <c r="H24" i="7" s="1"/>
  <c r="F24" i="7"/>
  <c r="E24" i="7"/>
  <c r="D24" i="7"/>
  <c r="C24" i="7"/>
  <c r="I23" i="7"/>
  <c r="G23" i="7"/>
  <c r="F23" i="7"/>
  <c r="H23" i="7" s="1"/>
  <c r="E23" i="7"/>
  <c r="D23" i="7"/>
  <c r="C23" i="7"/>
  <c r="G22" i="7"/>
  <c r="F22" i="7"/>
  <c r="H22" i="7" s="1"/>
  <c r="E22" i="7"/>
  <c r="D22" i="7"/>
  <c r="C22" i="7"/>
  <c r="J21" i="7"/>
  <c r="I21" i="7"/>
  <c r="K21" i="7" s="1"/>
  <c r="M21" i="7" s="1"/>
  <c r="H21" i="7"/>
  <c r="G21" i="7"/>
  <c r="F21" i="7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8" i="7"/>
  <c r="G18" i="7"/>
  <c r="F18" i="7"/>
  <c r="H18" i="7" s="1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C16" i="7"/>
  <c r="G15" i="7"/>
  <c r="F15" i="7"/>
  <c r="H15" i="7" s="1"/>
  <c r="E15" i="7"/>
  <c r="D15" i="7"/>
  <c r="C15" i="7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G12" i="7"/>
  <c r="F12" i="7"/>
  <c r="H12" i="7" s="1"/>
  <c r="E12" i="7"/>
  <c r="D12" i="7"/>
  <c r="C12" i="7"/>
  <c r="G11" i="7"/>
  <c r="F11" i="7"/>
  <c r="H11" i="7" s="1"/>
  <c r="E11" i="7"/>
  <c r="D11" i="7"/>
  <c r="C11" i="7"/>
  <c r="I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G8" i="7"/>
  <c r="F8" i="7"/>
  <c r="H8" i="7" s="1"/>
  <c r="E8" i="7"/>
  <c r="D8" i="7"/>
  <c r="C8" i="7"/>
  <c r="G7" i="7"/>
  <c r="F7" i="7"/>
  <c r="H7" i="7" s="1"/>
  <c r="E7" i="7"/>
  <c r="D7" i="7"/>
  <c r="C7" i="7"/>
  <c r="I7" i="7" s="1"/>
  <c r="G6" i="7"/>
  <c r="F6" i="7"/>
  <c r="H6" i="7" s="1"/>
  <c r="E6" i="7"/>
  <c r="D6" i="7"/>
  <c r="C6" i="7"/>
  <c r="G5" i="7"/>
  <c r="F5" i="7"/>
  <c r="H5" i="7" s="1"/>
  <c r="E5" i="7"/>
  <c r="D5" i="7"/>
  <c r="C5" i="7"/>
  <c r="J20" i="7" l="1"/>
  <c r="J23" i="7"/>
  <c r="K14" i="7"/>
  <c r="M14" i="7" s="1"/>
  <c r="K45" i="7"/>
  <c r="L45" i="7" s="1"/>
  <c r="J49" i="7"/>
  <c r="L49" i="7" s="1"/>
  <c r="K49" i="7"/>
  <c r="M49" i="7" s="1"/>
  <c r="I38" i="7"/>
  <c r="J38" i="7" s="1"/>
  <c r="M7" i="7"/>
  <c r="I44" i="7"/>
  <c r="M22" i="7"/>
  <c r="M45" i="7"/>
  <c r="J10" i="7"/>
  <c r="I41" i="7"/>
  <c r="H53" i="7"/>
  <c r="I12" i="7"/>
  <c r="J26" i="7"/>
  <c r="J17" i="7"/>
  <c r="L17" i="7" s="1"/>
  <c r="J39" i="7"/>
  <c r="K39" i="7" s="1"/>
  <c r="M39" i="7" s="1"/>
  <c r="K17" i="7"/>
  <c r="M17" i="7" s="1"/>
  <c r="I9" i="7"/>
  <c r="L50" i="7"/>
  <c r="J29" i="7"/>
  <c r="J14" i="7"/>
  <c r="J46" i="7"/>
  <c r="K46" i="7" s="1"/>
  <c r="K43" i="7"/>
  <c r="M43" i="7" s="1"/>
  <c r="J8" i="7"/>
  <c r="J33" i="7"/>
  <c r="K23" i="7"/>
  <c r="M23" i="7" s="1"/>
  <c r="L23" i="7"/>
  <c r="I35" i="7"/>
  <c r="L24" i="7"/>
  <c r="M30" i="7"/>
  <c r="G53" i="7"/>
  <c r="L20" i="7"/>
  <c r="I6" i="7"/>
  <c r="C53" i="7"/>
  <c r="K20" i="7"/>
  <c r="M20" i="7" s="1"/>
  <c r="D53" i="7"/>
  <c r="J11" i="7"/>
  <c r="L11" i="7" s="1"/>
  <c r="E53" i="7"/>
  <c r="F7" i="8" s="1"/>
  <c r="K11" i="7"/>
  <c r="M11" i="7" s="1"/>
  <c r="I32" i="7"/>
  <c r="J52" i="7"/>
  <c r="F53" i="7"/>
  <c r="I15" i="7"/>
  <c r="I47" i="7"/>
  <c r="I45" i="7"/>
  <c r="J45" i="7"/>
  <c r="I51" i="7"/>
  <c r="J51" i="7" s="1"/>
  <c r="J24" i="7"/>
  <c r="L21" i="7"/>
  <c r="J27" i="7"/>
  <c r="I39" i="7"/>
  <c r="L39" i="7" s="1"/>
  <c r="J7" i="7"/>
  <c r="L7" i="7" s="1"/>
  <c r="I10" i="7"/>
  <c r="K10" i="7" s="1"/>
  <c r="M10" i="7" s="1"/>
  <c r="K7" i="7"/>
  <c r="I13" i="7"/>
  <c r="J13" i="7" s="1"/>
  <c r="I48" i="7"/>
  <c r="J48" i="7" s="1"/>
  <c r="J16" i="7"/>
  <c r="K16" i="7" s="1"/>
  <c r="M16" i="7" s="1"/>
  <c r="J22" i="7"/>
  <c r="K22" i="7" s="1"/>
  <c r="J25" i="7"/>
  <c r="J34" i="7"/>
  <c r="K34" i="7" s="1"/>
  <c r="M34" i="7" s="1"/>
  <c r="I37" i="7"/>
  <c r="J47" i="7"/>
  <c r="J18" i="7"/>
  <c r="J50" i="7"/>
  <c r="K50" i="7" s="1"/>
  <c r="M50" i="7" s="1"/>
  <c r="I16" i="7"/>
  <c r="I22" i="7"/>
  <c r="I25" i="7"/>
  <c r="I31" i="7"/>
  <c r="J31" i="7" s="1"/>
  <c r="J5" i="7"/>
  <c r="I40" i="7"/>
  <c r="J40" i="7" s="1"/>
  <c r="K24" i="7"/>
  <c r="M24" i="7" s="1"/>
  <c r="K27" i="7"/>
  <c r="M27" i="7" s="1"/>
  <c r="J30" i="7"/>
  <c r="L30" i="7" s="1"/>
  <c r="K30" i="7"/>
  <c r="I36" i="7"/>
  <c r="I42" i="7"/>
  <c r="I19" i="7"/>
  <c r="I28" i="7"/>
  <c r="K25" i="7"/>
  <c r="M25" i="7" s="1"/>
  <c r="I34" i="7"/>
  <c r="I5" i="7"/>
  <c r="I8" i="7"/>
  <c r="M46" i="7" l="1"/>
  <c r="L46" i="7"/>
  <c r="J19" i="7"/>
  <c r="K19" i="7"/>
  <c r="M19" i="7" s="1"/>
  <c r="L19" i="7"/>
  <c r="J42" i="7"/>
  <c r="K42" i="7"/>
  <c r="M42" i="7" s="1"/>
  <c r="J15" i="7"/>
  <c r="K15" i="7" s="1"/>
  <c r="M15" i="7" s="1"/>
  <c r="K52" i="7"/>
  <c r="M52" i="7" s="1"/>
  <c r="L52" i="7"/>
  <c r="J32" i="7"/>
  <c r="L10" i="7"/>
  <c r="K47" i="7"/>
  <c r="M47" i="7" s="1"/>
  <c r="L47" i="7"/>
  <c r="J36" i="7"/>
  <c r="K36" i="7" s="1"/>
  <c r="M36" i="7" s="1"/>
  <c r="K29" i="7"/>
  <c r="M29" i="7" s="1"/>
  <c r="J28" i="7"/>
  <c r="K28" i="7"/>
  <c r="M28" i="7" s="1"/>
  <c r="L28" i="7"/>
  <c r="K51" i="7"/>
  <c r="M51" i="7" s="1"/>
  <c r="L9" i="7"/>
  <c r="L26" i="7"/>
  <c r="K31" i="7"/>
  <c r="M31" i="7" s="1"/>
  <c r="K18" i="7"/>
  <c r="M18" i="7" s="1"/>
  <c r="L25" i="7"/>
  <c r="J44" i="7"/>
  <c r="J35" i="7"/>
  <c r="L35" i="7" s="1"/>
  <c r="J9" i="7"/>
  <c r="K35" i="7"/>
  <c r="M35" i="7" s="1"/>
  <c r="K9" i="7"/>
  <c r="M9" i="7" s="1"/>
  <c r="J37" i="7"/>
  <c r="K38" i="7"/>
  <c r="M38" i="7" s="1"/>
  <c r="L27" i="7"/>
  <c r="L38" i="7"/>
  <c r="L22" i="7"/>
  <c r="K33" i="7"/>
  <c r="M33" i="7" s="1"/>
  <c r="K26" i="7"/>
  <c r="M26" i="7" s="1"/>
  <c r="L16" i="7"/>
  <c r="B9" i="8"/>
  <c r="C29" i="1"/>
  <c r="K48" i="7"/>
  <c r="M48" i="7" s="1"/>
  <c r="J6" i="7"/>
  <c r="L6" i="7" s="1"/>
  <c r="K6" i="7"/>
  <c r="M6" i="7" s="1"/>
  <c r="J12" i="7"/>
  <c r="K12" i="7" s="1"/>
  <c r="M12" i="7" s="1"/>
  <c r="K13" i="7"/>
  <c r="M13" i="7" s="1"/>
  <c r="K5" i="7"/>
  <c r="K8" i="7"/>
  <c r="M8" i="7" s="1"/>
  <c r="J41" i="7"/>
  <c r="L41" i="7" s="1"/>
  <c r="K41" i="7"/>
  <c r="M41" i="7" s="1"/>
  <c r="K40" i="7"/>
  <c r="M40" i="7" s="1"/>
  <c r="L40" i="7"/>
  <c r="L34" i="7"/>
  <c r="L43" i="7"/>
  <c r="I53" i="7"/>
  <c r="L5" i="7"/>
  <c r="L14" i="7"/>
  <c r="L33" i="7" l="1"/>
  <c r="L48" i="7"/>
  <c r="J53" i="7"/>
  <c r="L15" i="7"/>
  <c r="L36" i="7"/>
  <c r="L42" i="7"/>
  <c r="K37" i="7"/>
  <c r="M37" i="7" s="1"/>
  <c r="L51" i="7"/>
  <c r="K32" i="7"/>
  <c r="M32" i="7" s="1"/>
  <c r="C5" i="8"/>
  <c r="B5" i="8"/>
  <c r="C30" i="1"/>
  <c r="L8" i="7"/>
  <c r="L18" i="7"/>
  <c r="M5" i="7"/>
  <c r="K44" i="7"/>
  <c r="M44" i="7" s="1"/>
  <c r="L31" i="7"/>
  <c r="L12" i="7"/>
  <c r="L13" i="7"/>
  <c r="L29" i="7"/>
  <c r="K53" i="7" l="1"/>
  <c r="M53" i="7"/>
  <c r="L44" i="7"/>
  <c r="C6" i="8"/>
  <c r="B6" i="8"/>
  <c r="C31" i="1"/>
  <c r="L32" i="7"/>
  <c r="L53" i="7" s="1"/>
  <c r="L37" i="7"/>
  <c r="C8" i="8" l="1"/>
  <c r="B8" i="8"/>
  <c r="C33" i="1"/>
  <c r="B7" i="8"/>
  <c r="C35" i="1"/>
  <c r="F5" i="8"/>
  <c r="C32" i="1"/>
  <c r="G5" i="8"/>
  <c r="C34" i="1"/>
  <c r="C7" i="8"/>
  <c r="G6" i="8"/>
  <c r="F6" i="8"/>
  <c r="C36" i="1"/>
</calcChain>
</file>

<file path=xl/sharedStrings.xml><?xml version="1.0" encoding="utf-8"?>
<sst xmlns="http://schemas.openxmlformats.org/spreadsheetml/2006/main" count="827" uniqueCount="340">
  <si>
    <t>TR4 — Where does the PV energy go?</t>
  </si>
  <si>
    <t>Prosumers vs. pure customers — every kWh traced from the raw model inputs</t>
  </si>
  <si>
    <t>Purpose</t>
  </si>
  <si>
    <t>This workbook accounts for every kWh of PV generated on transformer TR4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</si>
  <si>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</si>
  <si>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</si>
  <si>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TR4_load_PV_48periods.xlsx (sheet PV_generation_kW). Customers = 0.</t>
  </si>
  <si>
    <t>Sheet 4 · Raw load per load</t>
  </si>
  <si>
    <t>The load profile of every connection, 48 half-hours, tagged prosumer / customer. Copied from TR4_load_PV_48periods.xlsx (sheet Load_P_kW).</t>
  </si>
  <si>
    <t>Sheet 5 · Raw batt charge</t>
  </si>
  <si>
    <t>Charging power of every battery, 48 half-hours. Copied from the rolling dispatch TR4_analysis_data.xlsx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</si>
  <si>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</si>
  <si>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</si>
  <si>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</si>
  <si>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</si>
  <si>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</si>
  <si>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</si>
  <si>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</si>
  <si>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</si>
  <si>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</si>
  <si>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</si>
  <si>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</si>
  <si>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</si>
  <si>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</si>
  <si>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</si>
  <si>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</si>
  <si>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</si>
  <si>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</si>
  <si>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</si>
  <si>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</si>
  <si>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</si>
  <si>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</si>
  <si>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</si>
  <si>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</si>
  <si>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</si>
  <si>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</si>
  <si>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</si>
  <si>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</si>
  <si>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</si>
  <si>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</si>
  <si>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</si>
  <si>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</si>
  <si>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</si>
  <si>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results/tables/TR4_load_PV_48periods.xlsx  (built from OpData.xls).</t>
  </si>
  <si>
    <t>• Per-battery charge/discharge:  TR4_analysis/01_DAILY_ROLLING_DISPATCH/TR4_analysis_data.xlsx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</si>
  <si>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</si>
  <si>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</si>
  <si>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TR4 load classification — 75 connections</t>
  </si>
  <si>
    <t>46 prosumers (PV + battery)  ·  29 pure customers (load only)</t>
  </si>
  <si>
    <t>ID</t>
  </si>
  <si>
    <t>Load name</t>
  </si>
  <si>
    <t>Bus</t>
  </si>
  <si>
    <t>Phase</t>
  </si>
  <si>
    <t>PV size (kW)</t>
  </si>
  <si>
    <t>Type</t>
  </si>
  <si>
    <t>Load_TR4_F1_1</t>
  </si>
  <si>
    <t>TR4_one38</t>
  </si>
  <si>
    <t>customer</t>
  </si>
  <si>
    <t>Load_TR4_F1_16</t>
  </si>
  <si>
    <t>TR4_one280</t>
  </si>
  <si>
    <t>Load_TR4_F1_17</t>
  </si>
  <si>
    <t>TR4_one287</t>
  </si>
  <si>
    <t>Load_TR4_F1_19</t>
  </si>
  <si>
    <t>TR4_one313</t>
  </si>
  <si>
    <t>Load_TR4_F1_2</t>
  </si>
  <si>
    <t>TR4_one42</t>
  </si>
  <si>
    <t>Load_TR4_F1_24</t>
  </si>
  <si>
    <t>TR4_one346</t>
  </si>
  <si>
    <t>Load_TR4_F1_25</t>
  </si>
  <si>
    <t>TR4_one363</t>
  </si>
  <si>
    <t>Load_TR4_F1_27</t>
  </si>
  <si>
    <t>TR4_one371</t>
  </si>
  <si>
    <t>Load_TR4_F1_28</t>
  </si>
  <si>
    <t>TR4_one375</t>
  </si>
  <si>
    <t>Load_TR4_F1_33</t>
  </si>
  <si>
    <t>TR4_one469</t>
  </si>
  <si>
    <t>Load_TR4_F1_34</t>
  </si>
  <si>
    <t>TR4_one477</t>
  </si>
  <si>
    <t>Load_TR4_F1_36</t>
  </si>
  <si>
    <t>TR4_one482</t>
  </si>
  <si>
    <t>Load_TR4_F1_37</t>
  </si>
  <si>
    <t>TR4_one521</t>
  </si>
  <si>
    <t>Load_TR4_F1_38</t>
  </si>
  <si>
    <t>TR4_one528</t>
  </si>
  <si>
    <t>Load_TR4_F1_39</t>
  </si>
  <si>
    <t>TR4_one537</t>
  </si>
  <si>
    <t>Load_TR4_F1_41</t>
  </si>
  <si>
    <t>TR4_one552</t>
  </si>
  <si>
    <t>Load_TR4_F1_42</t>
  </si>
  <si>
    <t>TR4_one559</t>
  </si>
  <si>
    <t>Load_TR4_F1_47</t>
  </si>
  <si>
    <t>TR4_one605</t>
  </si>
  <si>
    <t>Load_TR4_F1_48</t>
  </si>
  <si>
    <t>TR4_one614</t>
  </si>
  <si>
    <t>Load_TR4_F1_5</t>
  </si>
  <si>
    <t>TR4_one73</t>
  </si>
  <si>
    <t>Load_TR4_F3_11</t>
  </si>
  <si>
    <t>TR4_three204</t>
  </si>
  <si>
    <t>Load_TR4_F3_12</t>
  </si>
  <si>
    <t>TR4_three210</t>
  </si>
  <si>
    <t>Load_TR4_F3_16</t>
  </si>
  <si>
    <t>TR4_three252</t>
  </si>
  <si>
    <t>Load_TR4_F3_18</t>
  </si>
  <si>
    <t>TR4_three260</t>
  </si>
  <si>
    <t>Load_TR4_F3_19</t>
  </si>
  <si>
    <t>TR4_three284</t>
  </si>
  <si>
    <t>Load_TR4_F3_24</t>
  </si>
  <si>
    <t>TR4_three395</t>
  </si>
  <si>
    <t>Load_TR4_F3_29</t>
  </si>
  <si>
    <t>TR4_three478</t>
  </si>
  <si>
    <t>Load_TR4_F3_7</t>
  </si>
  <si>
    <t>TR4_three126</t>
  </si>
  <si>
    <t>Load_TR4_F3_8</t>
  </si>
  <si>
    <t>TR4_three133</t>
  </si>
  <si>
    <t>Load_TR4_F1_10</t>
  </si>
  <si>
    <t>TR4_one195</t>
  </si>
  <si>
    <t>prosumer</t>
  </si>
  <si>
    <t>Load_TR4_F1_11</t>
  </si>
  <si>
    <t>TR4_one223</t>
  </si>
  <si>
    <t>Load_TR4_F1_12</t>
  </si>
  <si>
    <t>TR4_one235</t>
  </si>
  <si>
    <t>Load_TR4_F1_13</t>
  </si>
  <si>
    <t>TR4_one242</t>
  </si>
  <si>
    <t>Load_TR4_F1_14</t>
  </si>
  <si>
    <t>TR4_one252</t>
  </si>
  <si>
    <t>Load_TR4_F1_15</t>
  </si>
  <si>
    <t>TR4_one260</t>
  </si>
  <si>
    <t>Load_TR4_F1_18</t>
  </si>
  <si>
    <t>TR4_one299</t>
  </si>
  <si>
    <t>Load_TR4_F1_20</t>
  </si>
  <si>
    <t>TR4_one320</t>
  </si>
  <si>
    <t>Load_TR4_F1_21</t>
  </si>
  <si>
    <t>TR4_one321</t>
  </si>
  <si>
    <t>Load_TR4_F1_22</t>
  </si>
  <si>
    <t>TR4_one328</t>
  </si>
  <si>
    <t>Load_TR4_F1_23</t>
  </si>
  <si>
    <t>TR4_one345</t>
  </si>
  <si>
    <t>Load_TR4_F1_26</t>
  </si>
  <si>
    <t>TR4_one366</t>
  </si>
  <si>
    <t>Load_TR4_F1_29</t>
  </si>
  <si>
    <t>TR4_one410</t>
  </si>
  <si>
    <t>Load_TR4_F1_3</t>
  </si>
  <si>
    <t>TR4_one50</t>
  </si>
  <si>
    <t>Load_TR4_F1_30</t>
  </si>
  <si>
    <t>TR4_one416</t>
  </si>
  <si>
    <t>Load_TR4_F1_31</t>
  </si>
  <si>
    <t>TR4_one423</t>
  </si>
  <si>
    <t>Load_TR4_F1_32</t>
  </si>
  <si>
    <t>TR4_one446</t>
  </si>
  <si>
    <t>Load_TR4_F1_35</t>
  </si>
  <si>
    <t>TR4_one480</t>
  </si>
  <si>
    <t>Load_TR4_F1_4</t>
  </si>
  <si>
    <t>TR4_one61</t>
  </si>
  <si>
    <t>Load_TR4_F1_40</t>
  </si>
  <si>
    <t>TR4_one544</t>
  </si>
  <si>
    <t>Load_TR4_F1_43</t>
  </si>
  <si>
    <t>TR4_one560</t>
  </si>
  <si>
    <t>Load_TR4_F1_44</t>
  </si>
  <si>
    <t>TR4_one570</t>
  </si>
  <si>
    <t>Load_TR4_F1_45</t>
  </si>
  <si>
    <t>TR4_one585</t>
  </si>
  <si>
    <t>Load_TR4_F1_46</t>
  </si>
  <si>
    <t>TR4_one590</t>
  </si>
  <si>
    <t>Load_TR4_F1_49</t>
  </si>
  <si>
    <t>TR4_one617</t>
  </si>
  <si>
    <t>Load_TR4_F1_6</t>
  </si>
  <si>
    <t>TR4_one76</t>
  </si>
  <si>
    <t>Load_TR4_F1_7</t>
  </si>
  <si>
    <t>TR4_one133</t>
  </si>
  <si>
    <t>Load_TR4_F1_8</t>
  </si>
  <si>
    <t>TR4_one137</t>
  </si>
  <si>
    <t>Load_TR4_F1_9</t>
  </si>
  <si>
    <t>TR4_one176</t>
  </si>
  <si>
    <t>Load_TR4_F3_1</t>
  </si>
  <si>
    <t>TR4_three64</t>
  </si>
  <si>
    <t>Load_TR4_F3_10</t>
  </si>
  <si>
    <t>TR4_three193</t>
  </si>
  <si>
    <t>Load_TR4_F3_13</t>
  </si>
  <si>
    <t>TR4_three232</t>
  </si>
  <si>
    <t>Load_TR4_F3_14</t>
  </si>
  <si>
    <t>TR4_three233</t>
  </si>
  <si>
    <t>Load_TR4_F3_15</t>
  </si>
  <si>
    <t>TR4_three248</t>
  </si>
  <si>
    <t>Load_TR4_F3_17</t>
  </si>
  <si>
    <t>TR4_three253</t>
  </si>
  <si>
    <t>Load_TR4_F3_2</t>
  </si>
  <si>
    <t>TR4_three66</t>
  </si>
  <si>
    <t>Load_TR4_F3_20</t>
  </si>
  <si>
    <t>TR4_three312</t>
  </si>
  <si>
    <t>Load_TR4_F3_21</t>
  </si>
  <si>
    <t>TR4_three321</t>
  </si>
  <si>
    <t>Load_TR4_F3_22</t>
  </si>
  <si>
    <t>TR4_three368</t>
  </si>
  <si>
    <t>Load_TR4_F3_23</t>
  </si>
  <si>
    <t>TR4_three388</t>
  </si>
  <si>
    <t>Load_TR4_F3_25</t>
  </si>
  <si>
    <t>TR4_three409</t>
  </si>
  <si>
    <t>Load_TR4_F3_3</t>
  </si>
  <si>
    <t>TR4_three76</t>
  </si>
  <si>
    <t>Load_TR4_F3_4</t>
  </si>
  <si>
    <t>TR4_three81</t>
  </si>
  <si>
    <t>Load_TR4_F3_5</t>
  </si>
  <si>
    <t>TR4_three90</t>
  </si>
  <si>
    <t>Load_TR4_F3_6</t>
  </si>
  <si>
    <t>TR4_three97</t>
  </si>
  <si>
    <t>Load_TR4_F3_9</t>
  </si>
  <si>
    <t>TR4_three160</t>
  </si>
  <si>
    <t>Raw PV per load</t>
  </si>
  <si>
    <t>Verbatim copy of PV_generation_kW (TR4_load_PV_48periods.xlsx).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</si>
  <si>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</si>
  <si>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</si>
  <si>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</si>
  <si>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</si>
  <si>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</si>
  <si>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</si>
  <si>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</si>
  <si>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</si>
  <si>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</si>
  <si>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</si>
  <si>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</si>
  <si>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</si>
  <si>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</si>
  <si>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</si>
  <si>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</si>
  <si>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</si>
  <si>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</si>
  <si>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</si>
  <si>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</si>
  <si>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</si>
  <si>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</si>
  <si>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</si>
  <si>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</si>
  <si>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</si>
  <si>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</si>
  <si>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</si>
  <si>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</si>
  <si>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</si>
  <si>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</si>
  <si>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</si>
  <si>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</si>
  <si>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</si>
  <si>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</si>
  <si>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</si>
  <si>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</si>
  <si>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</si>
  <si>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</si>
  <si>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</si>
  <si>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</si>
  <si>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</si>
  <si>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</si>
  <si>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</si>
  <si>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</si>
  <si>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</si>
  <si>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</si>
  <si>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</si>
  <si>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</si>
  <si>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</si>
  <si>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</si>
  <si>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(TR4_load_PV_48periods.xlsx), tagged by type. One row per connection, 48 half-hours (kW).</t>
  </si>
  <si>
    <t>Raw batt charge</t>
  </si>
  <si>
    <t>Verbatim copy of Charge_kW (TR4_analysis_data.xlsx). One row per half-hour, one column per battery (kW).</t>
  </si>
  <si>
    <t>period</t>
  </si>
  <si>
    <t>hour</t>
  </si>
  <si>
    <t>BES_TR4_one195_C</t>
  </si>
  <si>
    <t>BES_TR4_one223_B</t>
  </si>
  <si>
    <t>BES_TR4_one235_A</t>
  </si>
  <si>
    <t>BES_TR4_one242_B</t>
  </si>
  <si>
    <t>BES_TR4_one252_C</t>
  </si>
  <si>
    <t>BES_TR4_one260_C</t>
  </si>
  <si>
    <t>BES_TR4_one299_B</t>
  </si>
  <si>
    <t>BES_TR4_one320_B</t>
  </si>
  <si>
    <t>BES_TR4_one321_C</t>
  </si>
  <si>
    <t>BES_TR4_one328_A</t>
  </si>
  <si>
    <t>BES_TR4_one345_A</t>
  </si>
  <si>
    <t>BES_TR4_one366_B</t>
  </si>
  <si>
    <t>BES_TR4_one410_B</t>
  </si>
  <si>
    <t>BES_TR4_one50_A</t>
  </si>
  <si>
    <t>BES_TR4_one416_C</t>
  </si>
  <si>
    <t>BES_TR4_one423_B</t>
  </si>
  <si>
    <t>BES_TR4_one446_B</t>
  </si>
  <si>
    <t>BES_TR4_one480_A</t>
  </si>
  <si>
    <t>BES_TR4_one61_A</t>
  </si>
  <si>
    <t>BES_TR4_one544_A</t>
  </si>
  <si>
    <t>BES_TR4_one560_C</t>
  </si>
  <si>
    <t>BES_TR4_one570_B</t>
  </si>
  <si>
    <t>BES_TR4_one585_A</t>
  </si>
  <si>
    <t>BES_TR4_one590_A</t>
  </si>
  <si>
    <t>BES_TR4_one617_A</t>
  </si>
  <si>
    <t>BES_TR4_one76_A</t>
  </si>
  <si>
    <t>BES_TR4_one133_A</t>
  </si>
  <si>
    <t>BES_TR4_one137_A</t>
  </si>
  <si>
    <t>BES_TR4_one176_A</t>
  </si>
  <si>
    <t>BES_TR4_three64_A</t>
  </si>
  <si>
    <t>BES_TR4_three193_A</t>
  </si>
  <si>
    <t>BES_TR4_three232_C</t>
  </si>
  <si>
    <t>BES_TR4_three233_A</t>
  </si>
  <si>
    <t>BES_TR4_three248_C</t>
  </si>
  <si>
    <t>BES_TR4_three253_C</t>
  </si>
  <si>
    <t>BES_TR4_three66_C</t>
  </si>
  <si>
    <t>BES_TR4_three312_A</t>
  </si>
  <si>
    <t>BES_TR4_three321_B</t>
  </si>
  <si>
    <t>BES_TR4_three368_A</t>
  </si>
  <si>
    <t>BES_TR4_three388_A</t>
  </si>
  <si>
    <t>BES_TR4_three409_C</t>
  </si>
  <si>
    <t>BES_TR4_three76_A</t>
  </si>
  <si>
    <t>BES_TR4_three81_A</t>
  </si>
  <si>
    <t>BES_TR4_three90_C</t>
  </si>
  <si>
    <t>BES_TR4_three97_B</t>
  </si>
  <si>
    <t>BES_TR4_three160_C</t>
  </si>
  <si>
    <t>Raw batt discharge</t>
  </si>
  <si>
    <t>Verbatim copy of Discharge_kW (TR4_analysis_data.xlsx). One row per half-hour, one column per battery (kW).</t>
  </si>
  <si>
    <t>TR4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</si>
  <si>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</si>
  <si>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</si>
  <si>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</si>
  <si>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</si>
  <si>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</si>
  <si>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</si>
  <si>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</si>
  <si>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</si>
  <si>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</si>
  <si>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</si>
  <si>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</si>
  <si>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</si>
  <si>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</si>
  <si>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</si>
  <si>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</si>
  <si>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75 connections at 00:00). Click it to see the formula.</t>
  </si>
  <si>
    <t>TR4 PV allocation — results</t>
  </si>
  <si>
    <t>Where the day's PV goes</t>
  </si>
  <si>
    <t>How the customers (29)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</si>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</sst>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0.12349999999999996</c:v>
                </c:pt>
                <c:pt idx="8">
                  <c:v>1.7902000000000005</c:v>
                </c:pt>
                <c:pt idx="9">
                  <c:v>5.9863999999999988</c:v>
                </c:pt>
                <c:pt idx="10">
                  <c:v>5.7679999999999998</c:v>
                </c:pt>
                <c:pt idx="11">
                  <c:v>6.5866000000000016</c:v>
                </c:pt>
                <c:pt idx="12">
                  <c:v>7.3661999999999992</c:v>
                </c:pt>
                <c:pt idx="13">
                  <c:v>10.088700000000001</c:v>
                </c:pt>
                <c:pt idx="14">
                  <c:v>13.141900000000001</c:v>
                </c:pt>
                <c:pt idx="15">
                  <c:v>12.777399999999998</c:v>
                </c:pt>
                <c:pt idx="16">
                  <c:v>12.408300000000001</c:v>
                </c:pt>
                <c:pt idx="17">
                  <c:v>16.098600000000001</c:v>
                </c:pt>
                <c:pt idx="18">
                  <c:v>16.783999999999999</c:v>
                </c:pt>
                <c:pt idx="19">
                  <c:v>14.3857</c:v>
                </c:pt>
                <c:pt idx="20">
                  <c:v>18.024199999999997</c:v>
                </c:pt>
                <c:pt idx="21">
                  <c:v>12.410500000000001</c:v>
                </c:pt>
                <c:pt idx="22">
                  <c:v>16.772200000000002</c:v>
                </c:pt>
                <c:pt idx="23">
                  <c:v>19.123900000000003</c:v>
                </c:pt>
                <c:pt idx="24">
                  <c:v>11.440900000000003</c:v>
                </c:pt>
                <c:pt idx="25">
                  <c:v>13.714500000000001</c:v>
                </c:pt>
                <c:pt idx="26">
                  <c:v>15.925999999999995</c:v>
                </c:pt>
                <c:pt idx="27">
                  <c:v>17.847300000000004</c:v>
                </c:pt>
                <c:pt idx="28">
                  <c:v>14.654900000000001</c:v>
                </c:pt>
                <c:pt idx="29">
                  <c:v>14.302100000000001</c:v>
                </c:pt>
                <c:pt idx="30">
                  <c:v>15.745899999999999</c:v>
                </c:pt>
                <c:pt idx="31">
                  <c:v>14.158600000000003</c:v>
                </c:pt>
                <c:pt idx="32">
                  <c:v>16.922799999999995</c:v>
                </c:pt>
                <c:pt idx="33">
                  <c:v>16.186</c:v>
                </c:pt>
                <c:pt idx="34">
                  <c:v>17.741699999999998</c:v>
                </c:pt>
                <c:pt idx="35">
                  <c:v>19.917300000000001</c:v>
                </c:pt>
                <c:pt idx="36">
                  <c:v>20.275299999999998</c:v>
                </c:pt>
                <c:pt idx="37">
                  <c:v>20.723999999999997</c:v>
                </c:pt>
                <c:pt idx="38">
                  <c:v>13.259099999999995</c:v>
                </c:pt>
                <c:pt idx="39">
                  <c:v>3.8592000000000017</c:v>
                </c:pt>
                <c:pt idx="40">
                  <c:v>0.71260000000000023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4-4EC4-A9E4-A01229FC59C6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2.3870000000000013</c:v>
                </c:pt>
                <c:pt idx="10">
                  <c:v>10.837</c:v>
                </c:pt>
                <c:pt idx="11">
                  <c:v>20.120000000000008</c:v>
                </c:pt>
                <c:pt idx="12">
                  <c:v>30.3581</c:v>
                </c:pt>
                <c:pt idx="13">
                  <c:v>38.789500000000004</c:v>
                </c:pt>
                <c:pt idx="14">
                  <c:v>46.830000000000005</c:v>
                </c:pt>
                <c:pt idx="15">
                  <c:v>55.521000000000001</c:v>
                </c:pt>
                <c:pt idx="16">
                  <c:v>37.709000000000003</c:v>
                </c:pt>
                <c:pt idx="17">
                  <c:v>25.157</c:v>
                </c:pt>
                <c:pt idx="18">
                  <c:v>13.035999999999998</c:v>
                </c:pt>
                <c:pt idx="19">
                  <c:v>8.5410000000000004</c:v>
                </c:pt>
                <c:pt idx="20">
                  <c:v>2.7240000000000002</c:v>
                </c:pt>
                <c:pt idx="21">
                  <c:v>6.1059999999999999</c:v>
                </c:pt>
                <c:pt idx="22">
                  <c:v>5.5269999999999992</c:v>
                </c:pt>
                <c:pt idx="23">
                  <c:v>2.4629999999999996</c:v>
                </c:pt>
                <c:pt idx="24">
                  <c:v>3.0540000000000003</c:v>
                </c:pt>
                <c:pt idx="25">
                  <c:v>1.294</c:v>
                </c:pt>
                <c:pt idx="26">
                  <c:v>0.56599999999999995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0.48799999999999999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4-4EC4-A9E4-A01229FC59C6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2.2999999999981924E-3</c:v>
                </c:pt>
                <c:pt idx="11">
                  <c:v>1.2999999999969702E-3</c:v>
                </c:pt>
                <c:pt idx="12">
                  <c:v>0</c:v>
                </c:pt>
                <c:pt idx="13">
                  <c:v>0</c:v>
                </c:pt>
                <c:pt idx="14">
                  <c:v>3.1999999999499096E-3</c:v>
                </c:pt>
                <c:pt idx="15">
                  <c:v>2.787399999999991</c:v>
                </c:pt>
                <c:pt idx="16">
                  <c:v>5.7465000000000002</c:v>
                </c:pt>
                <c:pt idx="17">
                  <c:v>9.1174999999999997</c:v>
                </c:pt>
                <c:pt idx="18">
                  <c:v>8.3508999999999993</c:v>
                </c:pt>
                <c:pt idx="19">
                  <c:v>11.938199999999998</c:v>
                </c:pt>
                <c:pt idx="20">
                  <c:v>10.5084</c:v>
                </c:pt>
                <c:pt idx="21">
                  <c:v>10.020499999999998</c:v>
                </c:pt>
                <c:pt idx="22">
                  <c:v>7.7386999999999997</c:v>
                </c:pt>
                <c:pt idx="23">
                  <c:v>7.7669999999999995</c:v>
                </c:pt>
                <c:pt idx="24">
                  <c:v>8.7308000000000003</c:v>
                </c:pt>
                <c:pt idx="25">
                  <c:v>9.0764000000000014</c:v>
                </c:pt>
                <c:pt idx="26">
                  <c:v>7.5347999999999988</c:v>
                </c:pt>
                <c:pt idx="27">
                  <c:v>12.122100000000001</c:v>
                </c:pt>
                <c:pt idx="28">
                  <c:v>9.2959999999999994</c:v>
                </c:pt>
                <c:pt idx="29">
                  <c:v>7.2098999999999993</c:v>
                </c:pt>
                <c:pt idx="30">
                  <c:v>8.0962999999999976</c:v>
                </c:pt>
                <c:pt idx="31">
                  <c:v>8.4068999999999985</c:v>
                </c:pt>
                <c:pt idx="32">
                  <c:v>9.6716999999999995</c:v>
                </c:pt>
                <c:pt idx="33">
                  <c:v>12.533799999999999</c:v>
                </c:pt>
                <c:pt idx="34">
                  <c:v>8.742799999999999</c:v>
                </c:pt>
                <c:pt idx="35">
                  <c:v>15.136099999999995</c:v>
                </c:pt>
                <c:pt idx="36">
                  <c:v>9.0074999999999985</c:v>
                </c:pt>
                <c:pt idx="37">
                  <c:v>1.9839000000000091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74-4EC4-A9E4-A01229FC59C6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25.651300000000003</c:v>
                </c:pt>
                <c:pt idx="17">
                  <c:v>40.947099999999971</c:v>
                </c:pt>
                <c:pt idx="18">
                  <c:v>61.498500000000092</c:v>
                </c:pt>
                <c:pt idx="19">
                  <c:v>71.925499999999957</c:v>
                </c:pt>
                <c:pt idx="20">
                  <c:v>81.7834</c:v>
                </c:pt>
                <c:pt idx="21">
                  <c:v>89.662299999999973</c:v>
                </c:pt>
                <c:pt idx="22">
                  <c:v>91.821900000000042</c:v>
                </c:pt>
                <c:pt idx="23">
                  <c:v>94.111699999999956</c:v>
                </c:pt>
                <c:pt idx="24">
                  <c:v>100.70439999999994</c:v>
                </c:pt>
                <c:pt idx="25">
                  <c:v>98.974699999999984</c:v>
                </c:pt>
                <c:pt idx="26">
                  <c:v>96.111499999999992</c:v>
                </c:pt>
                <c:pt idx="27">
                  <c:v>85.709900000000033</c:v>
                </c:pt>
                <c:pt idx="28">
                  <c:v>86.406999999999982</c:v>
                </c:pt>
                <c:pt idx="29">
                  <c:v>82.10300000000008</c:v>
                </c:pt>
                <c:pt idx="30">
                  <c:v>72.606200000000044</c:v>
                </c:pt>
                <c:pt idx="31">
                  <c:v>64.771199999999993</c:v>
                </c:pt>
                <c:pt idx="32">
                  <c:v>51.518499999999975</c:v>
                </c:pt>
                <c:pt idx="33">
                  <c:v>37.66699999999998</c:v>
                </c:pt>
                <c:pt idx="34">
                  <c:v>28.926700000000015</c:v>
                </c:pt>
                <c:pt idx="35">
                  <c:v>9.0797000000000239</c:v>
                </c:pt>
                <c:pt idx="36">
                  <c:v>3.9420999999999875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74-4EC4-A9E4-A01229FC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hour of day</a:t>
                </a:r>
                <a:endParaRPr lang="en-US" sz="4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-5.8795617084310512E-17"/>
                  <c:y val="-3.08680555555556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7A-41D6-8710-785C9E70EE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218.51224999999997</c:v>
                </c:pt>
                <c:pt idx="1">
                  <c:v>155.75379999999996</c:v>
                </c:pt>
                <c:pt idx="2">
                  <c:v>100.76544999999996</c:v>
                </c:pt>
                <c:pt idx="3">
                  <c:v>687.96179999999981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A-41D6-8710-785C9E70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100.76544999999996</c:v>
                </c:pt>
                <c:pt idx="1">
                  <c:v>101.97755000000002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D-427A-AC5A-59CDE0DCE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8029574" cy="3790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57150</xdr:colOff>
      <xdr:row>32</xdr:row>
      <xdr:rowOff>9525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>
      <selection activeCell="G28" sqref="G28"/>
    </sheetView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18.8554687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46</v>
      </c>
      <c r="D27" s="7" t="s">
        <v>28</v>
      </c>
    </row>
    <row r="28" spans="2:5" x14ac:dyDescent="0.25">
      <c r="B28" s="6" t="s">
        <v>29</v>
      </c>
      <c r="C28" s="7">
        <v>29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1162.9932999999999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218.51224999999997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155.75379999999996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100.76544999999996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687.96179999999981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8.664319046377994E-2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0.49701074759671093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0.50298925240328907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380</v>
      </c>
      <c r="B5" s="12" t="s">
        <v>55</v>
      </c>
      <c r="C5" s="10" t="s">
        <v>56</v>
      </c>
      <c r="D5" s="10">
        <v>2</v>
      </c>
      <c r="E5" s="10">
        <v>0</v>
      </c>
      <c r="F5" s="10" t="s">
        <v>57</v>
      </c>
    </row>
    <row r="6" spans="1:6" x14ac:dyDescent="0.25">
      <c r="A6" s="10">
        <v>387</v>
      </c>
      <c r="B6" s="12" t="s">
        <v>58</v>
      </c>
      <c r="C6" s="10" t="s">
        <v>59</v>
      </c>
      <c r="D6" s="10">
        <v>1</v>
      </c>
      <c r="E6" s="10">
        <v>0</v>
      </c>
      <c r="F6" s="10" t="s">
        <v>57</v>
      </c>
    </row>
    <row r="7" spans="1:6" x14ac:dyDescent="0.25">
      <c r="A7" s="10">
        <v>388</v>
      </c>
      <c r="B7" s="12" t="s">
        <v>60</v>
      </c>
      <c r="C7" s="10" t="s">
        <v>61</v>
      </c>
      <c r="D7" s="10">
        <v>2</v>
      </c>
      <c r="E7" s="10">
        <v>0</v>
      </c>
      <c r="F7" s="10" t="s">
        <v>57</v>
      </c>
    </row>
    <row r="8" spans="1:6" x14ac:dyDescent="0.25">
      <c r="A8" s="10">
        <v>390</v>
      </c>
      <c r="B8" s="12" t="s">
        <v>62</v>
      </c>
      <c r="C8" s="10" t="s">
        <v>63</v>
      </c>
      <c r="D8" s="10">
        <v>1</v>
      </c>
      <c r="E8" s="10">
        <v>0</v>
      </c>
      <c r="F8" s="10" t="s">
        <v>57</v>
      </c>
    </row>
    <row r="9" spans="1:6" x14ac:dyDescent="0.25">
      <c r="A9" s="10">
        <v>391</v>
      </c>
      <c r="B9" s="12" t="s">
        <v>64</v>
      </c>
      <c r="C9" s="10" t="s">
        <v>65</v>
      </c>
      <c r="D9" s="10">
        <v>2</v>
      </c>
      <c r="E9" s="10">
        <v>0</v>
      </c>
      <c r="F9" s="10" t="s">
        <v>57</v>
      </c>
    </row>
    <row r="10" spans="1:6" x14ac:dyDescent="0.25">
      <c r="A10" s="10">
        <v>396</v>
      </c>
      <c r="B10" s="12" t="s">
        <v>66</v>
      </c>
      <c r="C10" s="10" t="s">
        <v>67</v>
      </c>
      <c r="D10" s="10">
        <v>3</v>
      </c>
      <c r="E10" s="10">
        <v>0</v>
      </c>
      <c r="F10" s="10" t="s">
        <v>57</v>
      </c>
    </row>
    <row r="11" spans="1:6" x14ac:dyDescent="0.25">
      <c r="A11" s="10">
        <v>397</v>
      </c>
      <c r="B11" s="12" t="s">
        <v>68</v>
      </c>
      <c r="C11" s="10" t="s">
        <v>69</v>
      </c>
      <c r="D11" s="10">
        <v>3</v>
      </c>
      <c r="E11" s="10">
        <v>0</v>
      </c>
      <c r="F11" s="10" t="s">
        <v>57</v>
      </c>
    </row>
    <row r="12" spans="1:6" x14ac:dyDescent="0.25">
      <c r="A12" s="10">
        <v>399</v>
      </c>
      <c r="B12" s="12" t="s">
        <v>70</v>
      </c>
      <c r="C12" s="10" t="s">
        <v>71</v>
      </c>
      <c r="D12" s="10">
        <v>3</v>
      </c>
      <c r="E12" s="10">
        <v>0</v>
      </c>
      <c r="F12" s="10" t="s">
        <v>57</v>
      </c>
    </row>
    <row r="13" spans="1:6" x14ac:dyDescent="0.25">
      <c r="A13" s="10">
        <v>400</v>
      </c>
      <c r="B13" s="12" t="s">
        <v>72</v>
      </c>
      <c r="C13" s="10" t="s">
        <v>73</v>
      </c>
      <c r="D13" s="10">
        <v>3</v>
      </c>
      <c r="E13" s="10">
        <v>0</v>
      </c>
      <c r="F13" s="10" t="s">
        <v>57</v>
      </c>
    </row>
    <row r="14" spans="1:6" x14ac:dyDescent="0.25">
      <c r="A14" s="10">
        <v>406</v>
      </c>
      <c r="B14" s="12" t="s">
        <v>74</v>
      </c>
      <c r="C14" s="10" t="s">
        <v>75</v>
      </c>
      <c r="D14" s="10">
        <v>1</v>
      </c>
      <c r="E14" s="10">
        <v>0</v>
      </c>
      <c r="F14" s="10" t="s">
        <v>57</v>
      </c>
    </row>
    <row r="15" spans="1:6" x14ac:dyDescent="0.25">
      <c r="A15" s="10">
        <v>407</v>
      </c>
      <c r="B15" s="12" t="s">
        <v>76</v>
      </c>
      <c r="C15" s="10" t="s">
        <v>77</v>
      </c>
      <c r="D15" s="10">
        <v>1</v>
      </c>
      <c r="E15" s="10">
        <v>0</v>
      </c>
      <c r="F15" s="10" t="s">
        <v>57</v>
      </c>
    </row>
    <row r="16" spans="1:6" x14ac:dyDescent="0.25">
      <c r="A16" s="10">
        <v>409</v>
      </c>
      <c r="B16" s="12" t="s">
        <v>78</v>
      </c>
      <c r="C16" s="10" t="s">
        <v>79</v>
      </c>
      <c r="D16" s="10">
        <v>2</v>
      </c>
      <c r="E16" s="10">
        <v>0</v>
      </c>
      <c r="F16" s="10" t="s">
        <v>57</v>
      </c>
    </row>
    <row r="17" spans="1:6" x14ac:dyDescent="0.25">
      <c r="A17" s="10">
        <v>410</v>
      </c>
      <c r="B17" s="12" t="s">
        <v>80</v>
      </c>
      <c r="C17" s="10" t="s">
        <v>81</v>
      </c>
      <c r="D17" s="10">
        <v>3</v>
      </c>
      <c r="E17" s="10">
        <v>0</v>
      </c>
      <c r="F17" s="10" t="s">
        <v>57</v>
      </c>
    </row>
    <row r="18" spans="1:6" x14ac:dyDescent="0.25">
      <c r="A18" s="10">
        <v>411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412</v>
      </c>
      <c r="B19" s="12" t="s">
        <v>84</v>
      </c>
      <c r="C19" s="10" t="s">
        <v>85</v>
      </c>
      <c r="D19" s="10">
        <v>1</v>
      </c>
      <c r="E19" s="10">
        <v>0</v>
      </c>
      <c r="F19" s="10" t="s">
        <v>57</v>
      </c>
    </row>
    <row r="20" spans="1:6" x14ac:dyDescent="0.25">
      <c r="A20" s="10">
        <v>415</v>
      </c>
      <c r="B20" s="12" t="s">
        <v>86</v>
      </c>
      <c r="C20" s="10" t="s">
        <v>87</v>
      </c>
      <c r="D20" s="10">
        <v>2</v>
      </c>
      <c r="E20" s="10">
        <v>0</v>
      </c>
      <c r="F20" s="10" t="s">
        <v>57</v>
      </c>
    </row>
    <row r="21" spans="1:6" x14ac:dyDescent="0.25">
      <c r="A21" s="10">
        <v>416</v>
      </c>
      <c r="B21" s="12" t="s">
        <v>88</v>
      </c>
      <c r="C21" s="10" t="s">
        <v>89</v>
      </c>
      <c r="D21" s="10">
        <v>3</v>
      </c>
      <c r="E21" s="10">
        <v>0</v>
      </c>
      <c r="F21" s="10" t="s">
        <v>57</v>
      </c>
    </row>
    <row r="22" spans="1:6" x14ac:dyDescent="0.25">
      <c r="A22" s="10">
        <v>421</v>
      </c>
      <c r="B22" s="12" t="s">
        <v>90</v>
      </c>
      <c r="C22" s="10" t="s">
        <v>91</v>
      </c>
      <c r="D22" s="10">
        <v>1</v>
      </c>
      <c r="E22" s="10">
        <v>0</v>
      </c>
      <c r="F22" s="10" t="s">
        <v>57</v>
      </c>
    </row>
    <row r="23" spans="1:6" x14ac:dyDescent="0.25">
      <c r="A23" s="10">
        <v>422</v>
      </c>
      <c r="B23" s="12" t="s">
        <v>92</v>
      </c>
      <c r="C23" s="10" t="s">
        <v>93</v>
      </c>
      <c r="D23" s="10">
        <v>2</v>
      </c>
      <c r="E23" s="10">
        <v>0</v>
      </c>
      <c r="F23" s="10" t="s">
        <v>57</v>
      </c>
    </row>
    <row r="24" spans="1:6" x14ac:dyDescent="0.25">
      <c r="A24" s="10">
        <v>424</v>
      </c>
      <c r="B24" s="12" t="s">
        <v>94</v>
      </c>
      <c r="C24" s="10" t="s">
        <v>95</v>
      </c>
      <c r="D24" s="10">
        <v>1</v>
      </c>
      <c r="E24" s="10">
        <v>0</v>
      </c>
      <c r="F24" s="10" t="s">
        <v>57</v>
      </c>
    </row>
    <row r="25" spans="1:6" x14ac:dyDescent="0.25">
      <c r="A25" s="10">
        <v>431</v>
      </c>
      <c r="B25" s="12" t="s">
        <v>96</v>
      </c>
      <c r="C25" s="10" t="s">
        <v>97</v>
      </c>
      <c r="D25" s="10">
        <v>2</v>
      </c>
      <c r="E25" s="10">
        <v>0</v>
      </c>
      <c r="F25" s="10" t="s">
        <v>57</v>
      </c>
    </row>
    <row r="26" spans="1:6" x14ac:dyDescent="0.25">
      <c r="A26" s="10">
        <v>432</v>
      </c>
      <c r="B26" s="12" t="s">
        <v>98</v>
      </c>
      <c r="C26" s="10" t="s">
        <v>99</v>
      </c>
      <c r="D26" s="10">
        <v>2</v>
      </c>
      <c r="E26" s="10">
        <v>0</v>
      </c>
      <c r="F26" s="10" t="s">
        <v>57</v>
      </c>
    </row>
    <row r="27" spans="1:6" x14ac:dyDescent="0.25">
      <c r="A27" s="10">
        <v>436</v>
      </c>
      <c r="B27" s="12" t="s">
        <v>100</v>
      </c>
      <c r="C27" s="10" t="s">
        <v>101</v>
      </c>
      <c r="D27" s="10">
        <v>2</v>
      </c>
      <c r="E27" s="10">
        <v>0</v>
      </c>
      <c r="F27" s="10" t="s">
        <v>57</v>
      </c>
    </row>
    <row r="28" spans="1:6" x14ac:dyDescent="0.25">
      <c r="A28" s="10">
        <v>438</v>
      </c>
      <c r="B28" s="12" t="s">
        <v>102</v>
      </c>
      <c r="C28" s="10" t="s">
        <v>103</v>
      </c>
      <c r="D28" s="10">
        <v>3</v>
      </c>
      <c r="E28" s="10">
        <v>0</v>
      </c>
      <c r="F28" s="10" t="s">
        <v>57</v>
      </c>
    </row>
    <row r="29" spans="1:6" x14ac:dyDescent="0.25">
      <c r="A29" s="10">
        <v>439</v>
      </c>
      <c r="B29" s="12" t="s">
        <v>104</v>
      </c>
      <c r="C29" s="10" t="s">
        <v>105</v>
      </c>
      <c r="D29" s="10">
        <v>2</v>
      </c>
      <c r="E29" s="10">
        <v>0</v>
      </c>
      <c r="F29" s="10" t="s">
        <v>57</v>
      </c>
    </row>
    <row r="30" spans="1:6" x14ac:dyDescent="0.25">
      <c r="A30" s="10">
        <v>445</v>
      </c>
      <c r="B30" s="12" t="s">
        <v>106</v>
      </c>
      <c r="C30" s="10" t="s">
        <v>107</v>
      </c>
      <c r="D30" s="10">
        <v>2</v>
      </c>
      <c r="E30" s="10">
        <v>0</v>
      </c>
      <c r="F30" s="10" t="s">
        <v>57</v>
      </c>
    </row>
    <row r="31" spans="1:6" x14ac:dyDescent="0.25">
      <c r="A31" s="10">
        <v>447</v>
      </c>
      <c r="B31" s="12" t="s">
        <v>108</v>
      </c>
      <c r="C31" s="10" t="s">
        <v>109</v>
      </c>
      <c r="D31" s="10">
        <v>2</v>
      </c>
      <c r="E31" s="10">
        <v>0</v>
      </c>
      <c r="F31" s="10" t="s">
        <v>57</v>
      </c>
    </row>
    <row r="32" spans="1:6" x14ac:dyDescent="0.25">
      <c r="A32" s="10">
        <v>452</v>
      </c>
      <c r="B32" s="12" t="s">
        <v>110</v>
      </c>
      <c r="C32" s="10" t="s">
        <v>111</v>
      </c>
      <c r="D32" s="10">
        <v>2</v>
      </c>
      <c r="E32" s="10">
        <v>0</v>
      </c>
      <c r="F32" s="10" t="s">
        <v>57</v>
      </c>
    </row>
    <row r="33" spans="1:6" x14ac:dyDescent="0.25">
      <c r="A33" s="10">
        <v>453</v>
      </c>
      <c r="B33" s="12" t="s">
        <v>112</v>
      </c>
      <c r="C33" s="10" t="s">
        <v>113</v>
      </c>
      <c r="D33" s="10">
        <v>3</v>
      </c>
      <c r="E33" s="10">
        <v>0</v>
      </c>
      <c r="F33" s="10" t="s">
        <v>57</v>
      </c>
    </row>
    <row r="34" spans="1:6" x14ac:dyDescent="0.25">
      <c r="A34" s="13">
        <v>381</v>
      </c>
      <c r="B34" s="14" t="s">
        <v>114</v>
      </c>
      <c r="C34" s="13" t="s">
        <v>115</v>
      </c>
      <c r="D34" s="13">
        <v>3</v>
      </c>
      <c r="E34" s="13">
        <v>3.5</v>
      </c>
      <c r="F34" s="13" t="s">
        <v>116</v>
      </c>
    </row>
    <row r="35" spans="1:6" x14ac:dyDescent="0.25">
      <c r="A35" s="13">
        <v>382</v>
      </c>
      <c r="B35" s="14" t="s">
        <v>117</v>
      </c>
      <c r="C35" s="13" t="s">
        <v>118</v>
      </c>
      <c r="D35" s="13">
        <v>2</v>
      </c>
      <c r="E35" s="13">
        <v>3</v>
      </c>
      <c r="F35" s="13" t="s">
        <v>116</v>
      </c>
    </row>
    <row r="36" spans="1:6" x14ac:dyDescent="0.25">
      <c r="A36" s="13">
        <v>383</v>
      </c>
      <c r="B36" s="14" t="s">
        <v>119</v>
      </c>
      <c r="C36" s="13" t="s">
        <v>120</v>
      </c>
      <c r="D36" s="13">
        <v>1</v>
      </c>
      <c r="E36" s="13">
        <v>4</v>
      </c>
      <c r="F36" s="13" t="s">
        <v>116</v>
      </c>
    </row>
    <row r="37" spans="1:6" x14ac:dyDescent="0.25">
      <c r="A37" s="13">
        <v>384</v>
      </c>
      <c r="B37" s="14" t="s">
        <v>121</v>
      </c>
      <c r="C37" s="13" t="s">
        <v>122</v>
      </c>
      <c r="D37" s="13">
        <v>2</v>
      </c>
      <c r="E37" s="13">
        <v>4</v>
      </c>
      <c r="F37" s="13" t="s">
        <v>116</v>
      </c>
    </row>
    <row r="38" spans="1:6" x14ac:dyDescent="0.25">
      <c r="A38" s="13">
        <v>385</v>
      </c>
      <c r="B38" s="14" t="s">
        <v>123</v>
      </c>
      <c r="C38" s="13" t="s">
        <v>124</v>
      </c>
      <c r="D38" s="13">
        <v>3</v>
      </c>
      <c r="E38" s="13">
        <v>3</v>
      </c>
      <c r="F38" s="13" t="s">
        <v>116</v>
      </c>
    </row>
    <row r="39" spans="1:6" x14ac:dyDescent="0.25">
      <c r="A39" s="13">
        <v>386</v>
      </c>
      <c r="B39" s="14" t="s">
        <v>125</v>
      </c>
      <c r="C39" s="13" t="s">
        <v>126</v>
      </c>
      <c r="D39" s="13">
        <v>3</v>
      </c>
      <c r="E39" s="13">
        <v>4</v>
      </c>
      <c r="F39" s="13" t="s">
        <v>116</v>
      </c>
    </row>
    <row r="40" spans="1:6" x14ac:dyDescent="0.25">
      <c r="A40" s="13">
        <v>389</v>
      </c>
      <c r="B40" s="14" t="s">
        <v>127</v>
      </c>
      <c r="C40" s="13" t="s">
        <v>128</v>
      </c>
      <c r="D40" s="13">
        <v>2</v>
      </c>
      <c r="E40" s="13">
        <v>4</v>
      </c>
      <c r="F40" s="13" t="s">
        <v>116</v>
      </c>
    </row>
    <row r="41" spans="1:6" x14ac:dyDescent="0.25">
      <c r="A41" s="13">
        <v>392</v>
      </c>
      <c r="B41" s="14" t="s">
        <v>129</v>
      </c>
      <c r="C41" s="13" t="s">
        <v>130</v>
      </c>
      <c r="D41" s="13">
        <v>2</v>
      </c>
      <c r="E41" s="13">
        <v>2.5</v>
      </c>
      <c r="F41" s="13" t="s">
        <v>116</v>
      </c>
    </row>
    <row r="42" spans="1:6" x14ac:dyDescent="0.25">
      <c r="A42" s="13">
        <v>393</v>
      </c>
      <c r="B42" s="14" t="s">
        <v>131</v>
      </c>
      <c r="C42" s="13" t="s">
        <v>132</v>
      </c>
      <c r="D42" s="13">
        <v>3</v>
      </c>
      <c r="E42" s="13">
        <v>2.5</v>
      </c>
      <c r="F42" s="13" t="s">
        <v>116</v>
      </c>
    </row>
    <row r="43" spans="1:6" x14ac:dyDescent="0.25">
      <c r="A43" s="13">
        <v>394</v>
      </c>
      <c r="B43" s="14" t="s">
        <v>133</v>
      </c>
      <c r="C43" s="13" t="s">
        <v>134</v>
      </c>
      <c r="D43" s="13">
        <v>1</v>
      </c>
      <c r="E43" s="13">
        <v>4</v>
      </c>
      <c r="F43" s="13" t="s">
        <v>116</v>
      </c>
    </row>
    <row r="44" spans="1:6" x14ac:dyDescent="0.25">
      <c r="A44" s="13">
        <v>395</v>
      </c>
      <c r="B44" s="14" t="s">
        <v>135</v>
      </c>
      <c r="C44" s="13" t="s">
        <v>136</v>
      </c>
      <c r="D44" s="13">
        <v>1</v>
      </c>
      <c r="E44" s="13">
        <v>3</v>
      </c>
      <c r="F44" s="13" t="s">
        <v>116</v>
      </c>
    </row>
    <row r="45" spans="1:6" x14ac:dyDescent="0.25">
      <c r="A45" s="13">
        <v>398</v>
      </c>
      <c r="B45" s="14" t="s">
        <v>137</v>
      </c>
      <c r="C45" s="13" t="s">
        <v>138</v>
      </c>
      <c r="D45" s="13">
        <v>2</v>
      </c>
      <c r="E45" s="13">
        <v>4</v>
      </c>
      <c r="F45" s="13" t="s">
        <v>116</v>
      </c>
    </row>
    <row r="46" spans="1:6" x14ac:dyDescent="0.25">
      <c r="A46" s="13">
        <v>401</v>
      </c>
      <c r="B46" s="14" t="s">
        <v>139</v>
      </c>
      <c r="C46" s="13" t="s">
        <v>140</v>
      </c>
      <c r="D46" s="13">
        <v>2</v>
      </c>
      <c r="E46" s="13">
        <v>1.5</v>
      </c>
      <c r="F46" s="13" t="s">
        <v>116</v>
      </c>
    </row>
    <row r="47" spans="1:6" x14ac:dyDescent="0.25">
      <c r="A47" s="13">
        <v>402</v>
      </c>
      <c r="B47" s="14" t="s">
        <v>141</v>
      </c>
      <c r="C47" s="13" t="s">
        <v>142</v>
      </c>
      <c r="D47" s="13">
        <v>1</v>
      </c>
      <c r="E47" s="13">
        <v>2</v>
      </c>
      <c r="F47" s="13" t="s">
        <v>116</v>
      </c>
    </row>
    <row r="48" spans="1:6" x14ac:dyDescent="0.25">
      <c r="A48" s="13">
        <v>403</v>
      </c>
      <c r="B48" s="14" t="s">
        <v>143</v>
      </c>
      <c r="C48" s="13" t="s">
        <v>144</v>
      </c>
      <c r="D48" s="13">
        <v>3</v>
      </c>
      <c r="E48" s="13">
        <v>4</v>
      </c>
      <c r="F48" s="13" t="s">
        <v>116</v>
      </c>
    </row>
    <row r="49" spans="1:6" x14ac:dyDescent="0.25">
      <c r="A49" s="13">
        <v>404</v>
      </c>
      <c r="B49" s="14" t="s">
        <v>145</v>
      </c>
      <c r="C49" s="13" t="s">
        <v>146</v>
      </c>
      <c r="D49" s="13">
        <v>2</v>
      </c>
      <c r="E49" s="13">
        <v>2.5</v>
      </c>
      <c r="F49" s="13" t="s">
        <v>116</v>
      </c>
    </row>
    <row r="50" spans="1:6" x14ac:dyDescent="0.25">
      <c r="A50" s="13">
        <v>405</v>
      </c>
      <c r="B50" s="14" t="s">
        <v>147</v>
      </c>
      <c r="C50" s="13" t="s">
        <v>148</v>
      </c>
      <c r="D50" s="13">
        <v>2</v>
      </c>
      <c r="E50" s="13">
        <v>1.5</v>
      </c>
      <c r="F50" s="13" t="s">
        <v>116</v>
      </c>
    </row>
    <row r="51" spans="1:6" x14ac:dyDescent="0.25">
      <c r="A51" s="13">
        <v>408</v>
      </c>
      <c r="B51" s="14" t="s">
        <v>149</v>
      </c>
      <c r="C51" s="13" t="s">
        <v>150</v>
      </c>
      <c r="D51" s="13">
        <v>1</v>
      </c>
      <c r="E51" s="13">
        <v>4</v>
      </c>
      <c r="F51" s="13" t="s">
        <v>116</v>
      </c>
    </row>
    <row r="52" spans="1:6" x14ac:dyDescent="0.25">
      <c r="A52" s="13">
        <v>413</v>
      </c>
      <c r="B52" s="14" t="s">
        <v>151</v>
      </c>
      <c r="C52" s="13" t="s">
        <v>152</v>
      </c>
      <c r="D52" s="13">
        <v>1</v>
      </c>
      <c r="E52" s="13">
        <v>4</v>
      </c>
      <c r="F52" s="13" t="s">
        <v>116</v>
      </c>
    </row>
    <row r="53" spans="1:6" x14ac:dyDescent="0.25">
      <c r="A53" s="13">
        <v>414</v>
      </c>
      <c r="B53" s="14" t="s">
        <v>153</v>
      </c>
      <c r="C53" s="13" t="s">
        <v>154</v>
      </c>
      <c r="D53" s="13">
        <v>1</v>
      </c>
      <c r="E53" s="13">
        <v>2.5</v>
      </c>
      <c r="F53" s="13" t="s">
        <v>116</v>
      </c>
    </row>
    <row r="54" spans="1:6" x14ac:dyDescent="0.25">
      <c r="A54" s="13">
        <v>417</v>
      </c>
      <c r="B54" s="14" t="s">
        <v>155</v>
      </c>
      <c r="C54" s="13" t="s">
        <v>156</v>
      </c>
      <c r="D54" s="13">
        <v>3</v>
      </c>
      <c r="E54" s="13">
        <v>3.5</v>
      </c>
      <c r="F54" s="13" t="s">
        <v>116</v>
      </c>
    </row>
    <row r="55" spans="1:6" x14ac:dyDescent="0.25">
      <c r="A55" s="13">
        <v>418</v>
      </c>
      <c r="B55" s="14" t="s">
        <v>157</v>
      </c>
      <c r="C55" s="13" t="s">
        <v>158</v>
      </c>
      <c r="D55" s="13">
        <v>2</v>
      </c>
      <c r="E55" s="13">
        <v>2.5</v>
      </c>
      <c r="F55" s="13" t="s">
        <v>116</v>
      </c>
    </row>
    <row r="56" spans="1:6" x14ac:dyDescent="0.25">
      <c r="A56" s="13">
        <v>419</v>
      </c>
      <c r="B56" s="14" t="s">
        <v>159</v>
      </c>
      <c r="C56" s="13" t="s">
        <v>160</v>
      </c>
      <c r="D56" s="13">
        <v>1</v>
      </c>
      <c r="E56" s="13">
        <v>4</v>
      </c>
      <c r="F56" s="13" t="s">
        <v>116</v>
      </c>
    </row>
    <row r="57" spans="1:6" x14ac:dyDescent="0.25">
      <c r="A57" s="13">
        <v>420</v>
      </c>
      <c r="B57" s="14" t="s">
        <v>161</v>
      </c>
      <c r="C57" s="13" t="s">
        <v>162</v>
      </c>
      <c r="D57" s="13">
        <v>1</v>
      </c>
      <c r="E57" s="13">
        <v>2.5</v>
      </c>
      <c r="F57" s="13" t="s">
        <v>116</v>
      </c>
    </row>
    <row r="58" spans="1:6" x14ac:dyDescent="0.25">
      <c r="A58" s="13">
        <v>423</v>
      </c>
      <c r="B58" s="14" t="s">
        <v>163</v>
      </c>
      <c r="C58" s="13" t="s">
        <v>164</v>
      </c>
      <c r="D58" s="13">
        <v>1</v>
      </c>
      <c r="E58" s="13">
        <v>3.5</v>
      </c>
      <c r="F58" s="13" t="s">
        <v>116</v>
      </c>
    </row>
    <row r="59" spans="1:6" x14ac:dyDescent="0.25">
      <c r="A59" s="13">
        <v>425</v>
      </c>
      <c r="B59" s="14" t="s">
        <v>165</v>
      </c>
      <c r="C59" s="13" t="s">
        <v>166</v>
      </c>
      <c r="D59" s="13">
        <v>1</v>
      </c>
      <c r="E59" s="13">
        <v>2.5</v>
      </c>
      <c r="F59" s="13" t="s">
        <v>116</v>
      </c>
    </row>
    <row r="60" spans="1:6" x14ac:dyDescent="0.25">
      <c r="A60" s="13">
        <v>426</v>
      </c>
      <c r="B60" s="14" t="s">
        <v>167</v>
      </c>
      <c r="C60" s="13" t="s">
        <v>168</v>
      </c>
      <c r="D60" s="13">
        <v>1</v>
      </c>
      <c r="E60" s="13">
        <v>4</v>
      </c>
      <c r="F60" s="13" t="s">
        <v>116</v>
      </c>
    </row>
    <row r="61" spans="1:6" x14ac:dyDescent="0.25">
      <c r="A61" s="13">
        <v>427</v>
      </c>
      <c r="B61" s="14" t="s">
        <v>169</v>
      </c>
      <c r="C61" s="13" t="s">
        <v>170</v>
      </c>
      <c r="D61" s="13">
        <v>1</v>
      </c>
      <c r="E61" s="13">
        <v>2</v>
      </c>
      <c r="F61" s="13" t="s">
        <v>116</v>
      </c>
    </row>
    <row r="62" spans="1:6" x14ac:dyDescent="0.25">
      <c r="A62" s="13">
        <v>428</v>
      </c>
      <c r="B62" s="14" t="s">
        <v>171</v>
      </c>
      <c r="C62" s="13" t="s">
        <v>172</v>
      </c>
      <c r="D62" s="13">
        <v>1</v>
      </c>
      <c r="E62" s="13">
        <v>2.5</v>
      </c>
      <c r="F62" s="13" t="s">
        <v>116</v>
      </c>
    </row>
    <row r="63" spans="1:6" x14ac:dyDescent="0.25">
      <c r="A63" s="13">
        <v>429</v>
      </c>
      <c r="B63" s="14" t="s">
        <v>173</v>
      </c>
      <c r="C63" s="13" t="s">
        <v>174</v>
      </c>
      <c r="D63" s="13">
        <v>1</v>
      </c>
      <c r="E63" s="13">
        <v>4</v>
      </c>
      <c r="F63" s="13" t="s">
        <v>116</v>
      </c>
    </row>
    <row r="64" spans="1:6" x14ac:dyDescent="0.25">
      <c r="A64" s="13">
        <v>430</v>
      </c>
      <c r="B64" s="14" t="s">
        <v>175</v>
      </c>
      <c r="C64" s="13" t="s">
        <v>176</v>
      </c>
      <c r="D64" s="13">
        <v>1</v>
      </c>
      <c r="E64" s="13">
        <v>4</v>
      </c>
      <c r="F64" s="13" t="s">
        <v>116</v>
      </c>
    </row>
    <row r="65" spans="1:6" x14ac:dyDescent="0.25">
      <c r="A65" s="13">
        <v>433</v>
      </c>
      <c r="B65" s="14" t="s">
        <v>177</v>
      </c>
      <c r="C65" s="13" t="s">
        <v>178</v>
      </c>
      <c r="D65" s="13">
        <v>3</v>
      </c>
      <c r="E65" s="13">
        <v>3.5</v>
      </c>
      <c r="F65" s="13" t="s">
        <v>116</v>
      </c>
    </row>
    <row r="66" spans="1:6" x14ac:dyDescent="0.25">
      <c r="A66" s="13">
        <v>434</v>
      </c>
      <c r="B66" s="14" t="s">
        <v>179</v>
      </c>
      <c r="C66" s="13" t="s">
        <v>180</v>
      </c>
      <c r="D66" s="13">
        <v>1</v>
      </c>
      <c r="E66" s="13">
        <v>1.5</v>
      </c>
      <c r="F66" s="13" t="s">
        <v>116</v>
      </c>
    </row>
    <row r="67" spans="1:6" x14ac:dyDescent="0.25">
      <c r="A67" s="13">
        <v>435</v>
      </c>
      <c r="B67" s="14" t="s">
        <v>181</v>
      </c>
      <c r="C67" s="13" t="s">
        <v>182</v>
      </c>
      <c r="D67" s="13">
        <v>3</v>
      </c>
      <c r="E67" s="13">
        <v>3</v>
      </c>
      <c r="F67" s="13" t="s">
        <v>116</v>
      </c>
    </row>
    <row r="68" spans="1:6" x14ac:dyDescent="0.25">
      <c r="A68" s="13">
        <v>437</v>
      </c>
      <c r="B68" s="14" t="s">
        <v>183</v>
      </c>
      <c r="C68" s="13" t="s">
        <v>184</v>
      </c>
      <c r="D68" s="13">
        <v>3</v>
      </c>
      <c r="E68" s="13">
        <v>2</v>
      </c>
      <c r="F68" s="13" t="s">
        <v>116</v>
      </c>
    </row>
    <row r="69" spans="1:6" x14ac:dyDescent="0.25">
      <c r="A69" s="13">
        <v>440</v>
      </c>
      <c r="B69" s="14" t="s">
        <v>185</v>
      </c>
      <c r="C69" s="13" t="s">
        <v>186</v>
      </c>
      <c r="D69" s="13">
        <v>3</v>
      </c>
      <c r="E69" s="13">
        <v>2</v>
      </c>
      <c r="F69" s="13" t="s">
        <v>116</v>
      </c>
    </row>
    <row r="70" spans="1:6" x14ac:dyDescent="0.25">
      <c r="A70" s="13">
        <v>441</v>
      </c>
      <c r="B70" s="14" t="s">
        <v>187</v>
      </c>
      <c r="C70" s="13" t="s">
        <v>188</v>
      </c>
      <c r="D70" s="13">
        <v>1</v>
      </c>
      <c r="E70" s="13">
        <v>4</v>
      </c>
      <c r="F70" s="13" t="s">
        <v>116</v>
      </c>
    </row>
    <row r="71" spans="1:6" x14ac:dyDescent="0.25">
      <c r="A71" s="13">
        <v>442</v>
      </c>
      <c r="B71" s="14" t="s">
        <v>189</v>
      </c>
      <c r="C71" s="13" t="s">
        <v>190</v>
      </c>
      <c r="D71" s="13">
        <v>2</v>
      </c>
      <c r="E71" s="13">
        <v>4</v>
      </c>
      <c r="F71" s="13" t="s">
        <v>116</v>
      </c>
    </row>
    <row r="72" spans="1:6" x14ac:dyDescent="0.25">
      <c r="A72" s="13">
        <v>443</v>
      </c>
      <c r="B72" s="14" t="s">
        <v>191</v>
      </c>
      <c r="C72" s="13" t="s">
        <v>192</v>
      </c>
      <c r="D72" s="13">
        <v>1</v>
      </c>
      <c r="E72" s="13">
        <v>1.5</v>
      </c>
      <c r="F72" s="13" t="s">
        <v>116</v>
      </c>
    </row>
    <row r="73" spans="1:6" x14ac:dyDescent="0.25">
      <c r="A73" s="13">
        <v>444</v>
      </c>
      <c r="B73" s="14" t="s">
        <v>193</v>
      </c>
      <c r="C73" s="13" t="s">
        <v>194</v>
      </c>
      <c r="D73" s="13">
        <v>1</v>
      </c>
      <c r="E73" s="13">
        <v>1.5</v>
      </c>
      <c r="F73" s="13" t="s">
        <v>116</v>
      </c>
    </row>
    <row r="74" spans="1:6" x14ac:dyDescent="0.25">
      <c r="A74" s="13">
        <v>446</v>
      </c>
      <c r="B74" s="14" t="s">
        <v>195</v>
      </c>
      <c r="C74" s="13" t="s">
        <v>196</v>
      </c>
      <c r="D74" s="13">
        <v>3</v>
      </c>
      <c r="E74" s="13">
        <v>4</v>
      </c>
      <c r="F74" s="13" t="s">
        <v>116</v>
      </c>
    </row>
    <row r="75" spans="1:6" x14ac:dyDescent="0.25">
      <c r="A75" s="13">
        <v>448</v>
      </c>
      <c r="B75" s="14" t="s">
        <v>197</v>
      </c>
      <c r="C75" s="13" t="s">
        <v>198</v>
      </c>
      <c r="D75" s="13">
        <v>1</v>
      </c>
      <c r="E75" s="13">
        <v>4</v>
      </c>
      <c r="F75" s="13" t="s">
        <v>116</v>
      </c>
    </row>
    <row r="76" spans="1:6" x14ac:dyDescent="0.25">
      <c r="A76" s="13">
        <v>449</v>
      </c>
      <c r="B76" s="14" t="s">
        <v>199</v>
      </c>
      <c r="C76" s="13" t="s">
        <v>200</v>
      </c>
      <c r="D76" s="13">
        <v>1</v>
      </c>
      <c r="E76" s="13">
        <v>4</v>
      </c>
      <c r="F76" s="13" t="s">
        <v>116</v>
      </c>
    </row>
    <row r="77" spans="1:6" x14ac:dyDescent="0.25">
      <c r="A77" s="13">
        <v>450</v>
      </c>
      <c r="B77" s="14" t="s">
        <v>201</v>
      </c>
      <c r="C77" s="13" t="s">
        <v>202</v>
      </c>
      <c r="D77" s="13">
        <v>3</v>
      </c>
      <c r="E77" s="13">
        <v>2.5</v>
      </c>
      <c r="F77" s="13" t="s">
        <v>116</v>
      </c>
    </row>
    <row r="78" spans="1:6" x14ac:dyDescent="0.25">
      <c r="A78" s="13">
        <v>451</v>
      </c>
      <c r="B78" s="14" t="s">
        <v>203</v>
      </c>
      <c r="C78" s="13" t="s">
        <v>204</v>
      </c>
      <c r="D78" s="13">
        <v>2</v>
      </c>
      <c r="E78" s="13">
        <v>4</v>
      </c>
      <c r="F78" s="13" t="s">
        <v>116</v>
      </c>
    </row>
    <row r="79" spans="1:6" x14ac:dyDescent="0.25">
      <c r="A79" s="13">
        <v>454</v>
      </c>
      <c r="B79" s="14" t="s">
        <v>205</v>
      </c>
      <c r="C79" s="13" t="s">
        <v>206</v>
      </c>
      <c r="D79" s="13">
        <v>3</v>
      </c>
      <c r="E79" s="13">
        <v>4</v>
      </c>
      <c r="F79" s="13" t="s">
        <v>116</v>
      </c>
    </row>
  </sheetData>
  <autoFilter ref="A4:F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207</v>
      </c>
    </row>
    <row r="2" spans="1:50" x14ac:dyDescent="0.25">
      <c r="A2" s="29" t="s">
        <v>208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209</v>
      </c>
      <c r="D4" s="5" t="s">
        <v>210</v>
      </c>
      <c r="E4" s="5" t="s">
        <v>211</v>
      </c>
      <c r="F4" s="5" t="s">
        <v>212</v>
      </c>
      <c r="G4" s="5" t="s">
        <v>213</v>
      </c>
      <c r="H4" s="5" t="s">
        <v>214</v>
      </c>
      <c r="I4" s="5" t="s">
        <v>215</v>
      </c>
      <c r="J4" s="5" t="s">
        <v>216</v>
      </c>
      <c r="K4" s="5" t="s">
        <v>217</v>
      </c>
      <c r="L4" s="5" t="s">
        <v>218</v>
      </c>
      <c r="M4" s="5" t="s">
        <v>219</v>
      </c>
      <c r="N4" s="5" t="s">
        <v>220</v>
      </c>
      <c r="O4" s="5" t="s">
        <v>221</v>
      </c>
      <c r="P4" s="5" t="s">
        <v>222</v>
      </c>
      <c r="Q4" s="5" t="s">
        <v>223</v>
      </c>
      <c r="R4" s="5" t="s">
        <v>224</v>
      </c>
      <c r="S4" s="5" t="s">
        <v>225</v>
      </c>
      <c r="T4" s="5" t="s">
        <v>226</v>
      </c>
      <c r="U4" s="5" t="s">
        <v>227</v>
      </c>
      <c r="V4" s="5" t="s">
        <v>228</v>
      </c>
      <c r="W4" s="5" t="s">
        <v>229</v>
      </c>
      <c r="X4" s="5" t="s">
        <v>230</v>
      </c>
      <c r="Y4" s="5" t="s">
        <v>231</v>
      </c>
      <c r="Z4" s="5" t="s">
        <v>232</v>
      </c>
      <c r="AA4" s="5" t="s">
        <v>233</v>
      </c>
      <c r="AB4" s="5" t="s">
        <v>234</v>
      </c>
      <c r="AC4" s="5" t="s">
        <v>235</v>
      </c>
      <c r="AD4" s="5" t="s">
        <v>236</v>
      </c>
      <c r="AE4" s="5" t="s">
        <v>237</v>
      </c>
      <c r="AF4" s="5" t="s">
        <v>238</v>
      </c>
      <c r="AG4" s="5" t="s">
        <v>239</v>
      </c>
      <c r="AH4" s="5" t="s">
        <v>240</v>
      </c>
      <c r="AI4" s="5" t="s">
        <v>241</v>
      </c>
      <c r="AJ4" s="5" t="s">
        <v>242</v>
      </c>
      <c r="AK4" s="5" t="s">
        <v>243</v>
      </c>
      <c r="AL4" s="5" t="s">
        <v>244</v>
      </c>
      <c r="AM4" s="5" t="s">
        <v>245</v>
      </c>
      <c r="AN4" s="5" t="s">
        <v>246</v>
      </c>
      <c r="AO4" s="5" t="s">
        <v>247</v>
      </c>
      <c r="AP4" s="5" t="s">
        <v>248</v>
      </c>
      <c r="AQ4" s="5" t="s">
        <v>249</v>
      </c>
      <c r="AR4" s="5" t="s">
        <v>250</v>
      </c>
      <c r="AS4" s="5" t="s">
        <v>251</v>
      </c>
      <c r="AT4" s="5" t="s">
        <v>252</v>
      </c>
      <c r="AU4" s="5" t="s">
        <v>253</v>
      </c>
      <c r="AV4" s="5" t="s">
        <v>254</v>
      </c>
      <c r="AW4" s="5" t="s">
        <v>255</v>
      </c>
      <c r="AX4" s="5" t="s">
        <v>256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17" t="s">
        <v>114</v>
      </c>
      <c r="B6" s="13" t="s">
        <v>116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3.0000000000000001E-3</v>
      </c>
      <c r="K6" s="18">
        <v>4.3499999999999997E-2</v>
      </c>
      <c r="L6" s="18">
        <v>0.20349999999999999</v>
      </c>
      <c r="M6" s="18">
        <v>0.4037</v>
      </c>
      <c r="N6" s="18">
        <v>0.64910000000000001</v>
      </c>
      <c r="O6" s="18">
        <v>0.91690000000000005</v>
      </c>
      <c r="P6" s="18">
        <v>1.1879999999999999</v>
      </c>
      <c r="Q6" s="18">
        <v>1.4577</v>
      </c>
      <c r="R6" s="18">
        <v>1.7278</v>
      </c>
      <c r="S6" s="18">
        <v>1.9813000000000001</v>
      </c>
      <c r="T6" s="18">
        <v>2.2195999999999998</v>
      </c>
      <c r="U6" s="18">
        <v>2.4224999999999999</v>
      </c>
      <c r="V6" s="18">
        <v>2.5956000000000001</v>
      </c>
      <c r="W6" s="18">
        <v>2.7475000000000001</v>
      </c>
      <c r="X6" s="18">
        <v>2.8729</v>
      </c>
      <c r="Y6" s="18">
        <v>2.9619</v>
      </c>
      <c r="Z6" s="18">
        <v>3.0009000000000001</v>
      </c>
      <c r="AA6" s="18">
        <v>3.0122</v>
      </c>
      <c r="AB6" s="18">
        <v>2.9910000000000001</v>
      </c>
      <c r="AC6" s="18">
        <v>2.92</v>
      </c>
      <c r="AD6" s="18">
        <v>2.8117000000000001</v>
      </c>
      <c r="AE6" s="18">
        <v>2.6823000000000001</v>
      </c>
      <c r="AF6" s="18">
        <v>2.5184000000000002</v>
      </c>
      <c r="AG6" s="18">
        <v>2.3441999999999998</v>
      </c>
      <c r="AH6" s="18">
        <v>2.1345999999999998</v>
      </c>
      <c r="AI6" s="18">
        <v>1.8986000000000001</v>
      </c>
      <c r="AJ6" s="18">
        <v>1.6135999999999999</v>
      </c>
      <c r="AK6" s="18">
        <v>1.3468</v>
      </c>
      <c r="AL6" s="18">
        <v>1.0727</v>
      </c>
      <c r="AM6" s="18">
        <v>0.80759999999999998</v>
      </c>
      <c r="AN6" s="18">
        <v>0.55189999999999995</v>
      </c>
      <c r="AO6" s="18">
        <v>0.32229999999999998</v>
      </c>
      <c r="AP6" s="18">
        <v>9.3799999999999994E-2</v>
      </c>
      <c r="AQ6" s="18">
        <v>1.7299999999999999E-2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</row>
    <row r="7" spans="1:50" x14ac:dyDescent="0.25">
      <c r="A7" s="17" t="s">
        <v>117</v>
      </c>
      <c r="B7" s="13" t="s">
        <v>116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2.5999999999999999E-3</v>
      </c>
      <c r="K7" s="18">
        <v>3.73E-2</v>
      </c>
      <c r="L7" s="18">
        <v>0.1744</v>
      </c>
      <c r="M7" s="18">
        <v>0.34599999999999997</v>
      </c>
      <c r="N7" s="18">
        <v>0.55640000000000001</v>
      </c>
      <c r="O7" s="18">
        <v>0.78590000000000004</v>
      </c>
      <c r="P7" s="18">
        <v>1.0183</v>
      </c>
      <c r="Q7" s="18">
        <v>1.2495000000000001</v>
      </c>
      <c r="R7" s="18">
        <v>1.4810000000000001</v>
      </c>
      <c r="S7" s="18">
        <v>1.6981999999999999</v>
      </c>
      <c r="T7" s="18">
        <v>1.9025000000000001</v>
      </c>
      <c r="U7" s="18">
        <v>2.0764</v>
      </c>
      <c r="V7" s="18">
        <v>2.2248000000000001</v>
      </c>
      <c r="W7" s="18">
        <v>2.355</v>
      </c>
      <c r="X7" s="18">
        <v>2.4624999999999999</v>
      </c>
      <c r="Y7" s="18">
        <v>2.5387</v>
      </c>
      <c r="Z7" s="18">
        <v>2.5722</v>
      </c>
      <c r="AA7" s="18">
        <v>2.5819000000000001</v>
      </c>
      <c r="AB7" s="18">
        <v>2.5636999999999999</v>
      </c>
      <c r="AC7" s="18">
        <v>2.5028999999999999</v>
      </c>
      <c r="AD7" s="18">
        <v>2.41</v>
      </c>
      <c r="AE7" s="18">
        <v>2.2991000000000001</v>
      </c>
      <c r="AF7" s="18">
        <v>2.1585999999999999</v>
      </c>
      <c r="AG7" s="18">
        <v>2.0093000000000001</v>
      </c>
      <c r="AH7" s="18">
        <v>1.8297000000000001</v>
      </c>
      <c r="AI7" s="18">
        <v>1.6274</v>
      </c>
      <c r="AJ7" s="18">
        <v>1.3831</v>
      </c>
      <c r="AK7" s="18">
        <v>1.1544000000000001</v>
      </c>
      <c r="AL7" s="18">
        <v>0.91949999999999998</v>
      </c>
      <c r="AM7" s="18">
        <v>0.69220000000000004</v>
      </c>
      <c r="AN7" s="18">
        <v>0.47310000000000002</v>
      </c>
      <c r="AO7" s="18">
        <v>0.2762</v>
      </c>
      <c r="AP7" s="18">
        <v>8.0399999999999999E-2</v>
      </c>
      <c r="AQ7" s="18">
        <v>1.4800000000000001E-2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</row>
    <row r="8" spans="1:50" x14ac:dyDescent="0.25">
      <c r="A8" s="17" t="s">
        <v>119</v>
      </c>
      <c r="B8" s="13" t="s">
        <v>116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3.3999999999999998E-3</v>
      </c>
      <c r="K8" s="18">
        <v>4.9700000000000001E-2</v>
      </c>
      <c r="L8" s="18">
        <v>0.2326</v>
      </c>
      <c r="M8" s="18">
        <v>0.46129999999999999</v>
      </c>
      <c r="N8" s="18">
        <v>0.7419</v>
      </c>
      <c r="O8" s="18">
        <v>1.0479000000000001</v>
      </c>
      <c r="P8" s="18">
        <v>1.3576999999999999</v>
      </c>
      <c r="Q8" s="18">
        <v>1.6659999999999999</v>
      </c>
      <c r="R8" s="18">
        <v>1.9745999999999999</v>
      </c>
      <c r="S8" s="18">
        <v>2.2643</v>
      </c>
      <c r="T8" s="18">
        <v>2.5367000000000002</v>
      </c>
      <c r="U8" s="18">
        <v>2.7686000000000002</v>
      </c>
      <c r="V8" s="18">
        <v>2.9664000000000001</v>
      </c>
      <c r="W8" s="18">
        <v>3.14</v>
      </c>
      <c r="X8" s="18">
        <v>3.2833000000000001</v>
      </c>
      <c r="Y8" s="18">
        <v>3.3849999999999998</v>
      </c>
      <c r="Z8" s="18">
        <v>3.4296000000000002</v>
      </c>
      <c r="AA8" s="18">
        <v>3.4424999999999999</v>
      </c>
      <c r="AB8" s="18">
        <v>3.4182999999999999</v>
      </c>
      <c r="AC8" s="18">
        <v>3.3372000000000002</v>
      </c>
      <c r="AD8" s="18">
        <v>3.2132999999999998</v>
      </c>
      <c r="AE8" s="18">
        <v>3.0655000000000001</v>
      </c>
      <c r="AF8" s="18">
        <v>2.8782000000000001</v>
      </c>
      <c r="AG8" s="18">
        <v>2.6791</v>
      </c>
      <c r="AH8" s="18">
        <v>2.4396</v>
      </c>
      <c r="AI8" s="18">
        <v>2.1698</v>
      </c>
      <c r="AJ8" s="18">
        <v>1.8441000000000001</v>
      </c>
      <c r="AK8" s="18">
        <v>1.5391999999999999</v>
      </c>
      <c r="AL8" s="18">
        <v>1.2259</v>
      </c>
      <c r="AM8" s="18">
        <v>0.92290000000000005</v>
      </c>
      <c r="AN8" s="18">
        <v>0.63080000000000003</v>
      </c>
      <c r="AO8" s="18">
        <v>0.36830000000000002</v>
      </c>
      <c r="AP8" s="18">
        <v>0.1072</v>
      </c>
      <c r="AQ8" s="18">
        <v>1.9800000000000002E-2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</row>
    <row r="9" spans="1:50" x14ac:dyDescent="0.25">
      <c r="A9" s="17" t="s">
        <v>121</v>
      </c>
      <c r="B9" s="13" t="s">
        <v>116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3.3999999999999998E-3</v>
      </c>
      <c r="K9" s="18">
        <v>4.9700000000000001E-2</v>
      </c>
      <c r="L9" s="18">
        <v>0.2326</v>
      </c>
      <c r="M9" s="18">
        <v>0.46129999999999999</v>
      </c>
      <c r="N9" s="18">
        <v>0.7419</v>
      </c>
      <c r="O9" s="18">
        <v>1.0479000000000001</v>
      </c>
      <c r="P9" s="18">
        <v>1.3576999999999999</v>
      </c>
      <c r="Q9" s="18">
        <v>1.6659999999999999</v>
      </c>
      <c r="R9" s="18">
        <v>1.9745999999999999</v>
      </c>
      <c r="S9" s="18">
        <v>2.2643</v>
      </c>
      <c r="T9" s="18">
        <v>2.5367000000000002</v>
      </c>
      <c r="U9" s="18">
        <v>2.7686000000000002</v>
      </c>
      <c r="V9" s="18">
        <v>2.9664000000000001</v>
      </c>
      <c r="W9" s="18">
        <v>3.14</v>
      </c>
      <c r="X9" s="18">
        <v>3.2833000000000001</v>
      </c>
      <c r="Y9" s="18">
        <v>3.3849999999999998</v>
      </c>
      <c r="Z9" s="18">
        <v>3.4296000000000002</v>
      </c>
      <c r="AA9" s="18">
        <v>3.4424999999999999</v>
      </c>
      <c r="AB9" s="18">
        <v>3.4182999999999999</v>
      </c>
      <c r="AC9" s="18">
        <v>3.3372000000000002</v>
      </c>
      <c r="AD9" s="18">
        <v>3.2132999999999998</v>
      </c>
      <c r="AE9" s="18">
        <v>3.0655000000000001</v>
      </c>
      <c r="AF9" s="18">
        <v>2.8782000000000001</v>
      </c>
      <c r="AG9" s="18">
        <v>2.6791</v>
      </c>
      <c r="AH9" s="18">
        <v>2.4396</v>
      </c>
      <c r="AI9" s="18">
        <v>2.1698</v>
      </c>
      <c r="AJ9" s="18">
        <v>1.8441000000000001</v>
      </c>
      <c r="AK9" s="18">
        <v>1.5391999999999999</v>
      </c>
      <c r="AL9" s="18">
        <v>1.2259</v>
      </c>
      <c r="AM9" s="18">
        <v>0.92290000000000005</v>
      </c>
      <c r="AN9" s="18">
        <v>0.63080000000000003</v>
      </c>
      <c r="AO9" s="18">
        <v>0.36830000000000002</v>
      </c>
      <c r="AP9" s="18">
        <v>0.1072</v>
      </c>
      <c r="AQ9" s="18">
        <v>1.9800000000000002E-2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</row>
    <row r="10" spans="1:50" x14ac:dyDescent="0.25">
      <c r="A10" s="17" t="s">
        <v>123</v>
      </c>
      <c r="B10" s="13" t="s">
        <v>116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2.5999999999999999E-3</v>
      </c>
      <c r="K10" s="18">
        <v>3.73E-2</v>
      </c>
      <c r="L10" s="18">
        <v>0.1744</v>
      </c>
      <c r="M10" s="18">
        <v>0.34599999999999997</v>
      </c>
      <c r="N10" s="18">
        <v>0.55640000000000001</v>
      </c>
      <c r="O10" s="18">
        <v>0.78590000000000004</v>
      </c>
      <c r="P10" s="18">
        <v>1.0183</v>
      </c>
      <c r="Q10" s="18">
        <v>1.2495000000000001</v>
      </c>
      <c r="R10" s="18">
        <v>1.4810000000000001</v>
      </c>
      <c r="S10" s="18">
        <v>1.6981999999999999</v>
      </c>
      <c r="T10" s="18">
        <v>1.9025000000000001</v>
      </c>
      <c r="U10" s="18">
        <v>2.0764</v>
      </c>
      <c r="V10" s="18">
        <v>2.2248000000000001</v>
      </c>
      <c r="W10" s="18">
        <v>2.355</v>
      </c>
      <c r="X10" s="18">
        <v>2.4624999999999999</v>
      </c>
      <c r="Y10" s="18">
        <v>2.5387</v>
      </c>
      <c r="Z10" s="18">
        <v>2.5722</v>
      </c>
      <c r="AA10" s="18">
        <v>2.5819000000000001</v>
      </c>
      <c r="AB10" s="18">
        <v>2.5636999999999999</v>
      </c>
      <c r="AC10" s="18">
        <v>2.5028999999999999</v>
      </c>
      <c r="AD10" s="18">
        <v>2.41</v>
      </c>
      <c r="AE10" s="18">
        <v>2.2991000000000001</v>
      </c>
      <c r="AF10" s="18">
        <v>2.1585999999999999</v>
      </c>
      <c r="AG10" s="18">
        <v>2.0093000000000001</v>
      </c>
      <c r="AH10" s="18">
        <v>1.8297000000000001</v>
      </c>
      <c r="AI10" s="18">
        <v>1.6274</v>
      </c>
      <c r="AJ10" s="18">
        <v>1.3831</v>
      </c>
      <c r="AK10" s="18">
        <v>1.1544000000000001</v>
      </c>
      <c r="AL10" s="18">
        <v>0.91949999999999998</v>
      </c>
      <c r="AM10" s="18">
        <v>0.69220000000000004</v>
      </c>
      <c r="AN10" s="18">
        <v>0.47310000000000002</v>
      </c>
      <c r="AO10" s="18">
        <v>0.2762</v>
      </c>
      <c r="AP10" s="18">
        <v>8.0399999999999999E-2</v>
      </c>
      <c r="AQ10" s="18">
        <v>1.4800000000000001E-2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</row>
    <row r="11" spans="1:50" x14ac:dyDescent="0.25">
      <c r="A11" s="17" t="s">
        <v>125</v>
      </c>
      <c r="B11" s="13" t="s">
        <v>116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3.3999999999999998E-3</v>
      </c>
      <c r="K11" s="18">
        <v>4.9700000000000001E-2</v>
      </c>
      <c r="L11" s="18">
        <v>0.2326</v>
      </c>
      <c r="M11" s="18">
        <v>0.46129999999999999</v>
      </c>
      <c r="N11" s="18">
        <v>0.7419</v>
      </c>
      <c r="O11" s="18">
        <v>1.0479000000000001</v>
      </c>
      <c r="P11" s="18">
        <v>1.3576999999999999</v>
      </c>
      <c r="Q11" s="18">
        <v>1.6659999999999999</v>
      </c>
      <c r="R11" s="18">
        <v>1.9745999999999999</v>
      </c>
      <c r="S11" s="18">
        <v>2.2643</v>
      </c>
      <c r="T11" s="18">
        <v>2.5367000000000002</v>
      </c>
      <c r="U11" s="18">
        <v>2.7686000000000002</v>
      </c>
      <c r="V11" s="18">
        <v>2.9664000000000001</v>
      </c>
      <c r="W11" s="18">
        <v>3.14</v>
      </c>
      <c r="X11" s="18">
        <v>3.2833000000000001</v>
      </c>
      <c r="Y11" s="18">
        <v>3.3849999999999998</v>
      </c>
      <c r="Z11" s="18">
        <v>3.4296000000000002</v>
      </c>
      <c r="AA11" s="18">
        <v>3.4424999999999999</v>
      </c>
      <c r="AB11" s="18">
        <v>3.4182999999999999</v>
      </c>
      <c r="AC11" s="18">
        <v>3.3372000000000002</v>
      </c>
      <c r="AD11" s="18">
        <v>3.2132999999999998</v>
      </c>
      <c r="AE11" s="18">
        <v>3.0655000000000001</v>
      </c>
      <c r="AF11" s="18">
        <v>2.8782000000000001</v>
      </c>
      <c r="AG11" s="18">
        <v>2.6791</v>
      </c>
      <c r="AH11" s="18">
        <v>2.4396</v>
      </c>
      <c r="AI11" s="18">
        <v>2.1698</v>
      </c>
      <c r="AJ11" s="18">
        <v>1.8441000000000001</v>
      </c>
      <c r="AK11" s="18">
        <v>1.5391999999999999</v>
      </c>
      <c r="AL11" s="18">
        <v>1.2259</v>
      </c>
      <c r="AM11" s="18">
        <v>0.92290000000000005</v>
      </c>
      <c r="AN11" s="18">
        <v>0.63080000000000003</v>
      </c>
      <c r="AO11" s="18">
        <v>0.36830000000000002</v>
      </c>
      <c r="AP11" s="18">
        <v>0.1072</v>
      </c>
      <c r="AQ11" s="18">
        <v>1.9800000000000002E-2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</row>
    <row r="12" spans="1:50" x14ac:dyDescent="0.25">
      <c r="A12" s="8" t="s">
        <v>58</v>
      </c>
      <c r="B12" s="10" t="s">
        <v>57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</row>
    <row r="13" spans="1:50" x14ac:dyDescent="0.25">
      <c r="A13" s="8" t="s">
        <v>60</v>
      </c>
      <c r="B13" s="10" t="s">
        <v>57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</row>
    <row r="14" spans="1:50" x14ac:dyDescent="0.25">
      <c r="A14" s="17" t="s">
        <v>127</v>
      </c>
      <c r="B14" s="13" t="s">
        <v>116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3.3999999999999998E-3</v>
      </c>
      <c r="K14" s="18">
        <v>4.9700000000000001E-2</v>
      </c>
      <c r="L14" s="18">
        <v>0.2326</v>
      </c>
      <c r="M14" s="18">
        <v>0.46129999999999999</v>
      </c>
      <c r="N14" s="18">
        <v>0.7419</v>
      </c>
      <c r="O14" s="18">
        <v>1.0479000000000001</v>
      </c>
      <c r="P14" s="18">
        <v>1.3576999999999999</v>
      </c>
      <c r="Q14" s="18">
        <v>1.6659999999999999</v>
      </c>
      <c r="R14" s="18">
        <v>1.9745999999999999</v>
      </c>
      <c r="S14" s="18">
        <v>2.2643</v>
      </c>
      <c r="T14" s="18">
        <v>2.5367000000000002</v>
      </c>
      <c r="U14" s="18">
        <v>2.7686000000000002</v>
      </c>
      <c r="V14" s="18">
        <v>2.9664000000000001</v>
      </c>
      <c r="W14" s="18">
        <v>3.14</v>
      </c>
      <c r="X14" s="18">
        <v>3.2833000000000001</v>
      </c>
      <c r="Y14" s="18">
        <v>3.3849999999999998</v>
      </c>
      <c r="Z14" s="18">
        <v>3.4296000000000002</v>
      </c>
      <c r="AA14" s="18">
        <v>3.4424999999999999</v>
      </c>
      <c r="AB14" s="18">
        <v>3.4182999999999999</v>
      </c>
      <c r="AC14" s="18">
        <v>3.3372000000000002</v>
      </c>
      <c r="AD14" s="18">
        <v>3.2132999999999998</v>
      </c>
      <c r="AE14" s="18">
        <v>3.0655000000000001</v>
      </c>
      <c r="AF14" s="18">
        <v>2.8782000000000001</v>
      </c>
      <c r="AG14" s="18">
        <v>2.6791</v>
      </c>
      <c r="AH14" s="18">
        <v>2.4396</v>
      </c>
      <c r="AI14" s="18">
        <v>2.1698</v>
      </c>
      <c r="AJ14" s="18">
        <v>1.8441000000000001</v>
      </c>
      <c r="AK14" s="18">
        <v>1.5391999999999999</v>
      </c>
      <c r="AL14" s="18">
        <v>1.2259</v>
      </c>
      <c r="AM14" s="18">
        <v>0.92290000000000005</v>
      </c>
      <c r="AN14" s="18">
        <v>0.63080000000000003</v>
      </c>
      <c r="AO14" s="18">
        <v>0.36830000000000002</v>
      </c>
      <c r="AP14" s="18">
        <v>0.1072</v>
      </c>
      <c r="AQ14" s="18">
        <v>1.9800000000000002E-2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</row>
    <row r="15" spans="1:50" x14ac:dyDescent="0.25">
      <c r="A15" s="8" t="s">
        <v>62</v>
      </c>
      <c r="B15" s="10" t="s">
        <v>57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</row>
    <row r="16" spans="1:50" x14ac:dyDescent="0.25">
      <c r="A16" s="8" t="s">
        <v>64</v>
      </c>
      <c r="B16" s="10" t="s">
        <v>57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</row>
    <row r="17" spans="1:50" x14ac:dyDescent="0.25">
      <c r="A17" s="17" t="s">
        <v>129</v>
      </c>
      <c r="B17" s="13" t="s">
        <v>116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2.2000000000000001E-3</v>
      </c>
      <c r="K17" s="18">
        <v>3.1099999999999999E-2</v>
      </c>
      <c r="L17" s="18">
        <v>0.1454</v>
      </c>
      <c r="M17" s="18">
        <v>0.2883</v>
      </c>
      <c r="N17" s="18">
        <v>0.4637</v>
      </c>
      <c r="O17" s="18">
        <v>0.65490000000000004</v>
      </c>
      <c r="P17" s="18">
        <v>0.84860000000000002</v>
      </c>
      <c r="Q17" s="18">
        <v>1.0411999999999999</v>
      </c>
      <c r="R17" s="18">
        <v>1.2341</v>
      </c>
      <c r="S17" s="18">
        <v>1.4152</v>
      </c>
      <c r="T17" s="18">
        <v>1.5853999999999999</v>
      </c>
      <c r="U17" s="18">
        <v>1.7303999999999999</v>
      </c>
      <c r="V17" s="18">
        <v>1.8540000000000001</v>
      </c>
      <c r="W17" s="18">
        <v>1.9624999999999999</v>
      </c>
      <c r="X17" s="18">
        <v>2.0520999999999998</v>
      </c>
      <c r="Y17" s="18">
        <v>2.1156000000000001</v>
      </c>
      <c r="Z17" s="18">
        <v>2.1435</v>
      </c>
      <c r="AA17" s="18">
        <v>2.1516000000000002</v>
      </c>
      <c r="AB17" s="18">
        <v>2.1364999999999998</v>
      </c>
      <c r="AC17" s="18">
        <v>2.0857000000000001</v>
      </c>
      <c r="AD17" s="18">
        <v>2.0083000000000002</v>
      </c>
      <c r="AE17" s="18">
        <v>1.9158999999999999</v>
      </c>
      <c r="AF17" s="18">
        <v>1.7988999999999999</v>
      </c>
      <c r="AG17" s="18">
        <v>1.6745000000000001</v>
      </c>
      <c r="AH17" s="18">
        <v>1.5246999999999999</v>
      </c>
      <c r="AI17" s="18">
        <v>1.3561000000000001</v>
      </c>
      <c r="AJ17" s="18">
        <v>1.1525000000000001</v>
      </c>
      <c r="AK17" s="18">
        <v>0.96199999999999997</v>
      </c>
      <c r="AL17" s="18">
        <v>0.76619999999999999</v>
      </c>
      <c r="AM17" s="18">
        <v>0.57679999999999998</v>
      </c>
      <c r="AN17" s="18">
        <v>0.39419999999999999</v>
      </c>
      <c r="AO17" s="18">
        <v>0.23019999999999999</v>
      </c>
      <c r="AP17" s="18">
        <v>6.7000000000000004E-2</v>
      </c>
      <c r="AQ17" s="18">
        <v>1.24E-2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</row>
    <row r="18" spans="1:50" x14ac:dyDescent="0.25">
      <c r="A18" s="17" t="s">
        <v>131</v>
      </c>
      <c r="B18" s="13" t="s">
        <v>116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2.2000000000000001E-3</v>
      </c>
      <c r="K18" s="18">
        <v>3.1099999999999999E-2</v>
      </c>
      <c r="L18" s="18">
        <v>0.1454</v>
      </c>
      <c r="M18" s="18">
        <v>0.2883</v>
      </c>
      <c r="N18" s="18">
        <v>0.4637</v>
      </c>
      <c r="O18" s="18">
        <v>0.65490000000000004</v>
      </c>
      <c r="P18" s="18">
        <v>0.84860000000000002</v>
      </c>
      <c r="Q18" s="18">
        <v>1.0411999999999999</v>
      </c>
      <c r="R18" s="18">
        <v>1.2341</v>
      </c>
      <c r="S18" s="18">
        <v>1.4152</v>
      </c>
      <c r="T18" s="18">
        <v>1.5853999999999999</v>
      </c>
      <c r="U18" s="18">
        <v>1.7303999999999999</v>
      </c>
      <c r="V18" s="18">
        <v>1.8540000000000001</v>
      </c>
      <c r="W18" s="18">
        <v>1.9624999999999999</v>
      </c>
      <c r="X18" s="18">
        <v>2.0520999999999998</v>
      </c>
      <c r="Y18" s="18">
        <v>2.1156000000000001</v>
      </c>
      <c r="Z18" s="18">
        <v>2.1435</v>
      </c>
      <c r="AA18" s="18">
        <v>2.1516000000000002</v>
      </c>
      <c r="AB18" s="18">
        <v>2.1364999999999998</v>
      </c>
      <c r="AC18" s="18">
        <v>2.0857000000000001</v>
      </c>
      <c r="AD18" s="18">
        <v>2.0083000000000002</v>
      </c>
      <c r="AE18" s="18">
        <v>1.9158999999999999</v>
      </c>
      <c r="AF18" s="18">
        <v>1.7988999999999999</v>
      </c>
      <c r="AG18" s="18">
        <v>1.6745000000000001</v>
      </c>
      <c r="AH18" s="18">
        <v>1.5246999999999999</v>
      </c>
      <c r="AI18" s="18">
        <v>1.3561000000000001</v>
      </c>
      <c r="AJ18" s="18">
        <v>1.1525000000000001</v>
      </c>
      <c r="AK18" s="18">
        <v>0.96199999999999997</v>
      </c>
      <c r="AL18" s="18">
        <v>0.76619999999999999</v>
      </c>
      <c r="AM18" s="18">
        <v>0.57679999999999998</v>
      </c>
      <c r="AN18" s="18">
        <v>0.39419999999999999</v>
      </c>
      <c r="AO18" s="18">
        <v>0.23019999999999999</v>
      </c>
      <c r="AP18" s="18">
        <v>6.7000000000000004E-2</v>
      </c>
      <c r="AQ18" s="18">
        <v>1.24E-2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17" t="s">
        <v>133</v>
      </c>
      <c r="B19" s="13" t="s">
        <v>116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3.3999999999999998E-3</v>
      </c>
      <c r="K19" s="18">
        <v>4.9700000000000001E-2</v>
      </c>
      <c r="L19" s="18">
        <v>0.2326</v>
      </c>
      <c r="M19" s="18">
        <v>0.46129999999999999</v>
      </c>
      <c r="N19" s="18">
        <v>0.7419</v>
      </c>
      <c r="O19" s="18">
        <v>1.0479000000000001</v>
      </c>
      <c r="P19" s="18">
        <v>1.3576999999999999</v>
      </c>
      <c r="Q19" s="18">
        <v>1.6659999999999999</v>
      </c>
      <c r="R19" s="18">
        <v>1.9745999999999999</v>
      </c>
      <c r="S19" s="18">
        <v>2.2643</v>
      </c>
      <c r="T19" s="18">
        <v>2.5367000000000002</v>
      </c>
      <c r="U19" s="18">
        <v>2.7686000000000002</v>
      </c>
      <c r="V19" s="18">
        <v>2.9664000000000001</v>
      </c>
      <c r="W19" s="18">
        <v>3.14</v>
      </c>
      <c r="X19" s="18">
        <v>3.2833000000000001</v>
      </c>
      <c r="Y19" s="18">
        <v>3.3849999999999998</v>
      </c>
      <c r="Z19" s="18">
        <v>3.4296000000000002</v>
      </c>
      <c r="AA19" s="18">
        <v>3.4424999999999999</v>
      </c>
      <c r="AB19" s="18">
        <v>3.4182999999999999</v>
      </c>
      <c r="AC19" s="18">
        <v>3.3372000000000002</v>
      </c>
      <c r="AD19" s="18">
        <v>3.2132999999999998</v>
      </c>
      <c r="AE19" s="18">
        <v>3.0655000000000001</v>
      </c>
      <c r="AF19" s="18">
        <v>2.8782000000000001</v>
      </c>
      <c r="AG19" s="18">
        <v>2.6791</v>
      </c>
      <c r="AH19" s="18">
        <v>2.4396</v>
      </c>
      <c r="AI19" s="18">
        <v>2.1698</v>
      </c>
      <c r="AJ19" s="18">
        <v>1.8441000000000001</v>
      </c>
      <c r="AK19" s="18">
        <v>1.5391999999999999</v>
      </c>
      <c r="AL19" s="18">
        <v>1.2259</v>
      </c>
      <c r="AM19" s="18">
        <v>0.92290000000000005</v>
      </c>
      <c r="AN19" s="18">
        <v>0.63080000000000003</v>
      </c>
      <c r="AO19" s="18">
        <v>0.36830000000000002</v>
      </c>
      <c r="AP19" s="18">
        <v>0.1072</v>
      </c>
      <c r="AQ19" s="18">
        <v>1.9800000000000002E-2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</row>
    <row r="20" spans="1:50" x14ac:dyDescent="0.25">
      <c r="A20" s="17" t="s">
        <v>135</v>
      </c>
      <c r="B20" s="13" t="s">
        <v>116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2.5999999999999999E-3</v>
      </c>
      <c r="K20" s="18">
        <v>3.73E-2</v>
      </c>
      <c r="L20" s="18">
        <v>0.1744</v>
      </c>
      <c r="M20" s="18">
        <v>0.34599999999999997</v>
      </c>
      <c r="N20" s="18">
        <v>0.55640000000000001</v>
      </c>
      <c r="O20" s="18">
        <v>0.78590000000000004</v>
      </c>
      <c r="P20" s="18">
        <v>1.0183</v>
      </c>
      <c r="Q20" s="18">
        <v>1.2495000000000001</v>
      </c>
      <c r="R20" s="18">
        <v>1.4810000000000001</v>
      </c>
      <c r="S20" s="18">
        <v>1.6981999999999999</v>
      </c>
      <c r="T20" s="18">
        <v>1.9025000000000001</v>
      </c>
      <c r="U20" s="18">
        <v>2.0764</v>
      </c>
      <c r="V20" s="18">
        <v>2.2248000000000001</v>
      </c>
      <c r="W20" s="18">
        <v>2.355</v>
      </c>
      <c r="X20" s="18">
        <v>2.4624999999999999</v>
      </c>
      <c r="Y20" s="18">
        <v>2.5387</v>
      </c>
      <c r="Z20" s="18">
        <v>2.5722</v>
      </c>
      <c r="AA20" s="18">
        <v>2.5819000000000001</v>
      </c>
      <c r="AB20" s="18">
        <v>2.5636999999999999</v>
      </c>
      <c r="AC20" s="18">
        <v>2.5028999999999999</v>
      </c>
      <c r="AD20" s="18">
        <v>2.41</v>
      </c>
      <c r="AE20" s="18">
        <v>2.2991000000000001</v>
      </c>
      <c r="AF20" s="18">
        <v>2.1585999999999999</v>
      </c>
      <c r="AG20" s="18">
        <v>2.0093000000000001</v>
      </c>
      <c r="AH20" s="18">
        <v>1.8297000000000001</v>
      </c>
      <c r="AI20" s="18">
        <v>1.6274</v>
      </c>
      <c r="AJ20" s="18">
        <v>1.3831</v>
      </c>
      <c r="AK20" s="18">
        <v>1.1544000000000001</v>
      </c>
      <c r="AL20" s="18">
        <v>0.91949999999999998</v>
      </c>
      <c r="AM20" s="18">
        <v>0.69220000000000004</v>
      </c>
      <c r="AN20" s="18">
        <v>0.47310000000000002</v>
      </c>
      <c r="AO20" s="18">
        <v>0.2762</v>
      </c>
      <c r="AP20" s="18">
        <v>8.0399999999999999E-2</v>
      </c>
      <c r="AQ20" s="18">
        <v>1.4800000000000001E-2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</row>
    <row r="21" spans="1:50" x14ac:dyDescent="0.25">
      <c r="A21" s="8" t="s">
        <v>66</v>
      </c>
      <c r="B21" s="10" t="s">
        <v>57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</row>
    <row r="22" spans="1:50" x14ac:dyDescent="0.25">
      <c r="A22" s="8" t="s">
        <v>68</v>
      </c>
      <c r="B22" s="10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</row>
    <row r="23" spans="1:50" x14ac:dyDescent="0.25">
      <c r="A23" s="17" t="s">
        <v>137</v>
      </c>
      <c r="B23" s="13" t="s">
        <v>116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3.3999999999999998E-3</v>
      </c>
      <c r="K23" s="18">
        <v>4.9700000000000001E-2</v>
      </c>
      <c r="L23" s="18">
        <v>0.2326</v>
      </c>
      <c r="M23" s="18">
        <v>0.46129999999999999</v>
      </c>
      <c r="N23" s="18">
        <v>0.7419</v>
      </c>
      <c r="O23" s="18">
        <v>1.0479000000000001</v>
      </c>
      <c r="P23" s="18">
        <v>1.3576999999999999</v>
      </c>
      <c r="Q23" s="18">
        <v>1.6659999999999999</v>
      </c>
      <c r="R23" s="18">
        <v>1.9745999999999999</v>
      </c>
      <c r="S23" s="18">
        <v>2.2643</v>
      </c>
      <c r="T23" s="18">
        <v>2.5367000000000002</v>
      </c>
      <c r="U23" s="18">
        <v>2.7686000000000002</v>
      </c>
      <c r="V23" s="18">
        <v>2.9664000000000001</v>
      </c>
      <c r="W23" s="18">
        <v>3.14</v>
      </c>
      <c r="X23" s="18">
        <v>3.2833000000000001</v>
      </c>
      <c r="Y23" s="18">
        <v>3.3849999999999998</v>
      </c>
      <c r="Z23" s="18">
        <v>3.4296000000000002</v>
      </c>
      <c r="AA23" s="18">
        <v>3.4424999999999999</v>
      </c>
      <c r="AB23" s="18">
        <v>3.4182999999999999</v>
      </c>
      <c r="AC23" s="18">
        <v>3.3372000000000002</v>
      </c>
      <c r="AD23" s="18">
        <v>3.2132999999999998</v>
      </c>
      <c r="AE23" s="18">
        <v>3.0655000000000001</v>
      </c>
      <c r="AF23" s="18">
        <v>2.8782000000000001</v>
      </c>
      <c r="AG23" s="18">
        <v>2.6791</v>
      </c>
      <c r="AH23" s="18">
        <v>2.4396</v>
      </c>
      <c r="AI23" s="18">
        <v>2.1698</v>
      </c>
      <c r="AJ23" s="18">
        <v>1.8441000000000001</v>
      </c>
      <c r="AK23" s="18">
        <v>1.5391999999999999</v>
      </c>
      <c r="AL23" s="18">
        <v>1.2259</v>
      </c>
      <c r="AM23" s="18">
        <v>0.92290000000000005</v>
      </c>
      <c r="AN23" s="18">
        <v>0.63080000000000003</v>
      </c>
      <c r="AO23" s="18">
        <v>0.36830000000000002</v>
      </c>
      <c r="AP23" s="18">
        <v>0.1072</v>
      </c>
      <c r="AQ23" s="18">
        <v>1.9800000000000002E-2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</row>
    <row r="24" spans="1:50" x14ac:dyDescent="0.25">
      <c r="A24" s="8" t="s">
        <v>70</v>
      </c>
      <c r="B24" s="10" t="s">
        <v>57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</row>
    <row r="25" spans="1:50" x14ac:dyDescent="0.25">
      <c r="A25" s="8" t="s">
        <v>72</v>
      </c>
      <c r="B25" s="10" t="s">
        <v>57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</row>
    <row r="26" spans="1:50" x14ac:dyDescent="0.25">
      <c r="A26" s="17" t="s">
        <v>139</v>
      </c>
      <c r="B26" s="13" t="s">
        <v>116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1.2999999999999999E-3</v>
      </c>
      <c r="K26" s="18">
        <v>1.8700000000000001E-2</v>
      </c>
      <c r="L26" s="18">
        <v>8.72E-2</v>
      </c>
      <c r="M26" s="18">
        <v>0.17299999999999999</v>
      </c>
      <c r="N26" s="18">
        <v>0.2782</v>
      </c>
      <c r="O26" s="18">
        <v>0.39300000000000002</v>
      </c>
      <c r="P26" s="18">
        <v>0.50919999999999999</v>
      </c>
      <c r="Q26" s="18">
        <v>0.62470000000000003</v>
      </c>
      <c r="R26" s="18">
        <v>0.74050000000000005</v>
      </c>
      <c r="S26" s="18">
        <v>0.84909999999999997</v>
      </c>
      <c r="T26" s="18">
        <v>0.95120000000000005</v>
      </c>
      <c r="U26" s="18">
        <v>1.0382</v>
      </c>
      <c r="V26" s="18">
        <v>1.1124000000000001</v>
      </c>
      <c r="W26" s="18">
        <v>1.1775</v>
      </c>
      <c r="X26" s="18">
        <v>1.2312000000000001</v>
      </c>
      <c r="Y26" s="18">
        <v>1.2694000000000001</v>
      </c>
      <c r="Z26" s="18">
        <v>1.2861</v>
      </c>
      <c r="AA26" s="18">
        <v>1.2908999999999999</v>
      </c>
      <c r="AB26" s="18">
        <v>1.2819</v>
      </c>
      <c r="AC26" s="18">
        <v>1.2514000000000001</v>
      </c>
      <c r="AD26" s="18">
        <v>1.2050000000000001</v>
      </c>
      <c r="AE26" s="18">
        <v>1.1496</v>
      </c>
      <c r="AF26" s="18">
        <v>1.0792999999999999</v>
      </c>
      <c r="AG26" s="18">
        <v>1.0046999999999999</v>
      </c>
      <c r="AH26" s="18">
        <v>0.91479999999999995</v>
      </c>
      <c r="AI26" s="18">
        <v>0.81369999999999998</v>
      </c>
      <c r="AJ26" s="18">
        <v>0.6915</v>
      </c>
      <c r="AK26" s="18">
        <v>0.57720000000000005</v>
      </c>
      <c r="AL26" s="18">
        <v>0.4597</v>
      </c>
      <c r="AM26" s="18">
        <v>0.34610000000000002</v>
      </c>
      <c r="AN26" s="18">
        <v>0.23649999999999999</v>
      </c>
      <c r="AO26" s="18">
        <v>0.1381</v>
      </c>
      <c r="AP26" s="18">
        <v>4.02E-2</v>
      </c>
      <c r="AQ26" s="18">
        <v>7.4000000000000003E-3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17" t="s">
        <v>141</v>
      </c>
      <c r="B27" s="13" t="s">
        <v>116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1.6999999999999999E-3</v>
      </c>
      <c r="K27" s="18">
        <v>2.4899999999999999E-2</v>
      </c>
      <c r="L27" s="18">
        <v>0.1163</v>
      </c>
      <c r="M27" s="18">
        <v>0.23069999999999999</v>
      </c>
      <c r="N27" s="18">
        <v>0.37090000000000001</v>
      </c>
      <c r="O27" s="18">
        <v>0.52400000000000002</v>
      </c>
      <c r="P27" s="18">
        <v>0.67889999999999995</v>
      </c>
      <c r="Q27" s="18">
        <v>0.83299999999999996</v>
      </c>
      <c r="R27" s="18">
        <v>0.98729999999999996</v>
      </c>
      <c r="S27" s="18">
        <v>1.1322000000000001</v>
      </c>
      <c r="T27" s="18">
        <v>1.2683</v>
      </c>
      <c r="U27" s="18">
        <v>1.3843000000000001</v>
      </c>
      <c r="V27" s="18">
        <v>1.4832000000000001</v>
      </c>
      <c r="W27" s="18">
        <v>1.57</v>
      </c>
      <c r="X27" s="18">
        <v>1.6416999999999999</v>
      </c>
      <c r="Y27" s="18">
        <v>1.6924999999999999</v>
      </c>
      <c r="Z27" s="18">
        <v>1.7148000000000001</v>
      </c>
      <c r="AA27" s="18">
        <v>1.7212000000000001</v>
      </c>
      <c r="AB27" s="18">
        <v>1.7092000000000001</v>
      </c>
      <c r="AC27" s="18">
        <v>1.6686000000000001</v>
      </c>
      <c r="AD27" s="18">
        <v>1.6067</v>
      </c>
      <c r="AE27" s="18">
        <v>1.5327999999999999</v>
      </c>
      <c r="AF27" s="18">
        <v>1.4391</v>
      </c>
      <c r="AG27" s="18">
        <v>1.3395999999999999</v>
      </c>
      <c r="AH27" s="18">
        <v>1.2198</v>
      </c>
      <c r="AI27" s="18">
        <v>1.0849</v>
      </c>
      <c r="AJ27" s="18">
        <v>0.92200000000000004</v>
      </c>
      <c r="AK27" s="18">
        <v>0.76959999999999995</v>
      </c>
      <c r="AL27" s="18">
        <v>0.61299999999999999</v>
      </c>
      <c r="AM27" s="18">
        <v>0.46150000000000002</v>
      </c>
      <c r="AN27" s="18">
        <v>0.31540000000000001</v>
      </c>
      <c r="AO27" s="18">
        <v>0.1842</v>
      </c>
      <c r="AP27" s="18">
        <v>5.3600000000000002E-2</v>
      </c>
      <c r="AQ27" s="18">
        <v>9.9000000000000008E-3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17" t="s">
        <v>143</v>
      </c>
      <c r="B28" s="13" t="s">
        <v>116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3.3999999999999998E-3</v>
      </c>
      <c r="K28" s="18">
        <v>4.9700000000000001E-2</v>
      </c>
      <c r="L28" s="18">
        <v>0.2326</v>
      </c>
      <c r="M28" s="18">
        <v>0.46129999999999999</v>
      </c>
      <c r="N28" s="18">
        <v>0.7419</v>
      </c>
      <c r="O28" s="18">
        <v>1.0479000000000001</v>
      </c>
      <c r="P28" s="18">
        <v>1.3576999999999999</v>
      </c>
      <c r="Q28" s="18">
        <v>1.6659999999999999</v>
      </c>
      <c r="R28" s="18">
        <v>1.9745999999999999</v>
      </c>
      <c r="S28" s="18">
        <v>2.2643</v>
      </c>
      <c r="T28" s="18">
        <v>2.5367000000000002</v>
      </c>
      <c r="U28" s="18">
        <v>2.7686000000000002</v>
      </c>
      <c r="V28" s="18">
        <v>2.9664000000000001</v>
      </c>
      <c r="W28" s="18">
        <v>3.14</v>
      </c>
      <c r="X28" s="18">
        <v>3.2833000000000001</v>
      </c>
      <c r="Y28" s="18">
        <v>3.3849999999999998</v>
      </c>
      <c r="Z28" s="18">
        <v>3.4296000000000002</v>
      </c>
      <c r="AA28" s="18">
        <v>3.4424999999999999</v>
      </c>
      <c r="AB28" s="18">
        <v>3.4182999999999999</v>
      </c>
      <c r="AC28" s="18">
        <v>3.3372000000000002</v>
      </c>
      <c r="AD28" s="18">
        <v>3.2132999999999998</v>
      </c>
      <c r="AE28" s="18">
        <v>3.0655000000000001</v>
      </c>
      <c r="AF28" s="18">
        <v>2.8782000000000001</v>
      </c>
      <c r="AG28" s="18">
        <v>2.6791</v>
      </c>
      <c r="AH28" s="18">
        <v>2.4396</v>
      </c>
      <c r="AI28" s="18">
        <v>2.1698</v>
      </c>
      <c r="AJ28" s="18">
        <v>1.8441000000000001</v>
      </c>
      <c r="AK28" s="18">
        <v>1.5391999999999999</v>
      </c>
      <c r="AL28" s="18">
        <v>1.2259</v>
      </c>
      <c r="AM28" s="18">
        <v>0.92290000000000005</v>
      </c>
      <c r="AN28" s="18">
        <v>0.63080000000000003</v>
      </c>
      <c r="AO28" s="18">
        <v>0.36830000000000002</v>
      </c>
      <c r="AP28" s="18">
        <v>0.1072</v>
      </c>
      <c r="AQ28" s="18">
        <v>1.9800000000000002E-2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</row>
    <row r="29" spans="1:50" x14ac:dyDescent="0.25">
      <c r="A29" s="17" t="s">
        <v>145</v>
      </c>
      <c r="B29" s="13" t="s">
        <v>116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2.2000000000000001E-3</v>
      </c>
      <c r="K29" s="18">
        <v>3.1099999999999999E-2</v>
      </c>
      <c r="L29" s="18">
        <v>0.1454</v>
      </c>
      <c r="M29" s="18">
        <v>0.2883</v>
      </c>
      <c r="N29" s="18">
        <v>0.4637</v>
      </c>
      <c r="O29" s="18">
        <v>0.65490000000000004</v>
      </c>
      <c r="P29" s="18">
        <v>0.84860000000000002</v>
      </c>
      <c r="Q29" s="18">
        <v>1.0411999999999999</v>
      </c>
      <c r="R29" s="18">
        <v>1.2341</v>
      </c>
      <c r="S29" s="18">
        <v>1.4152</v>
      </c>
      <c r="T29" s="18">
        <v>1.5853999999999999</v>
      </c>
      <c r="U29" s="18">
        <v>1.7303999999999999</v>
      </c>
      <c r="V29" s="18">
        <v>1.8540000000000001</v>
      </c>
      <c r="W29" s="18">
        <v>1.9624999999999999</v>
      </c>
      <c r="X29" s="18">
        <v>2.0520999999999998</v>
      </c>
      <c r="Y29" s="18">
        <v>2.1156000000000001</v>
      </c>
      <c r="Z29" s="18">
        <v>2.1435</v>
      </c>
      <c r="AA29" s="18">
        <v>2.1516000000000002</v>
      </c>
      <c r="AB29" s="18">
        <v>2.1364999999999998</v>
      </c>
      <c r="AC29" s="18">
        <v>2.0857000000000001</v>
      </c>
      <c r="AD29" s="18">
        <v>2.0083000000000002</v>
      </c>
      <c r="AE29" s="18">
        <v>1.9158999999999999</v>
      </c>
      <c r="AF29" s="18">
        <v>1.7988999999999999</v>
      </c>
      <c r="AG29" s="18">
        <v>1.6745000000000001</v>
      </c>
      <c r="AH29" s="18">
        <v>1.5246999999999999</v>
      </c>
      <c r="AI29" s="18">
        <v>1.3561000000000001</v>
      </c>
      <c r="AJ29" s="18">
        <v>1.1525000000000001</v>
      </c>
      <c r="AK29" s="18">
        <v>0.96199999999999997</v>
      </c>
      <c r="AL29" s="18">
        <v>0.76619999999999999</v>
      </c>
      <c r="AM29" s="18">
        <v>0.57679999999999998</v>
      </c>
      <c r="AN29" s="18">
        <v>0.39419999999999999</v>
      </c>
      <c r="AO29" s="18">
        <v>0.23019999999999999</v>
      </c>
      <c r="AP29" s="18">
        <v>6.7000000000000004E-2</v>
      </c>
      <c r="AQ29" s="18">
        <v>1.24E-2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7" t="s">
        <v>147</v>
      </c>
      <c r="B30" s="13" t="s">
        <v>116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1.2999999999999999E-3</v>
      </c>
      <c r="K30" s="18">
        <v>1.8700000000000001E-2</v>
      </c>
      <c r="L30" s="18">
        <v>8.72E-2</v>
      </c>
      <c r="M30" s="18">
        <v>0.17299999999999999</v>
      </c>
      <c r="N30" s="18">
        <v>0.2782</v>
      </c>
      <c r="O30" s="18">
        <v>0.39300000000000002</v>
      </c>
      <c r="P30" s="18">
        <v>0.50919999999999999</v>
      </c>
      <c r="Q30" s="18">
        <v>0.62470000000000003</v>
      </c>
      <c r="R30" s="18">
        <v>0.74050000000000005</v>
      </c>
      <c r="S30" s="18">
        <v>0.84909999999999997</v>
      </c>
      <c r="T30" s="18">
        <v>0.95120000000000005</v>
      </c>
      <c r="U30" s="18">
        <v>1.0382</v>
      </c>
      <c r="V30" s="18">
        <v>1.1124000000000001</v>
      </c>
      <c r="W30" s="18">
        <v>1.1775</v>
      </c>
      <c r="X30" s="18">
        <v>1.2312000000000001</v>
      </c>
      <c r="Y30" s="18">
        <v>1.2694000000000001</v>
      </c>
      <c r="Z30" s="18">
        <v>1.2861</v>
      </c>
      <c r="AA30" s="18">
        <v>1.2908999999999999</v>
      </c>
      <c r="AB30" s="18">
        <v>1.2819</v>
      </c>
      <c r="AC30" s="18">
        <v>1.2514000000000001</v>
      </c>
      <c r="AD30" s="18">
        <v>1.2050000000000001</v>
      </c>
      <c r="AE30" s="18">
        <v>1.1496</v>
      </c>
      <c r="AF30" s="18">
        <v>1.0792999999999999</v>
      </c>
      <c r="AG30" s="18">
        <v>1.0046999999999999</v>
      </c>
      <c r="AH30" s="18">
        <v>0.91479999999999995</v>
      </c>
      <c r="AI30" s="18">
        <v>0.81369999999999998</v>
      </c>
      <c r="AJ30" s="18">
        <v>0.6915</v>
      </c>
      <c r="AK30" s="18">
        <v>0.57720000000000005</v>
      </c>
      <c r="AL30" s="18">
        <v>0.4597</v>
      </c>
      <c r="AM30" s="18">
        <v>0.34610000000000002</v>
      </c>
      <c r="AN30" s="18">
        <v>0.23649999999999999</v>
      </c>
      <c r="AO30" s="18">
        <v>0.1381</v>
      </c>
      <c r="AP30" s="18">
        <v>4.02E-2</v>
      </c>
      <c r="AQ30" s="18">
        <v>7.4000000000000003E-3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</row>
    <row r="31" spans="1:50" x14ac:dyDescent="0.25">
      <c r="A31" s="8" t="s">
        <v>74</v>
      </c>
      <c r="B31" s="10" t="s">
        <v>57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</row>
    <row r="32" spans="1:50" x14ac:dyDescent="0.25">
      <c r="A32" s="8" t="s">
        <v>76</v>
      </c>
      <c r="B32" s="10" t="s">
        <v>57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</row>
    <row r="33" spans="1:50" x14ac:dyDescent="0.25">
      <c r="A33" s="17" t="s">
        <v>149</v>
      </c>
      <c r="B33" s="13" t="s">
        <v>116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3.3999999999999998E-3</v>
      </c>
      <c r="K33" s="18">
        <v>4.9700000000000001E-2</v>
      </c>
      <c r="L33" s="18">
        <v>0.2326</v>
      </c>
      <c r="M33" s="18">
        <v>0.46129999999999999</v>
      </c>
      <c r="N33" s="18">
        <v>0.7419</v>
      </c>
      <c r="O33" s="18">
        <v>1.0479000000000001</v>
      </c>
      <c r="P33" s="18">
        <v>1.3576999999999999</v>
      </c>
      <c r="Q33" s="18">
        <v>1.6659999999999999</v>
      </c>
      <c r="R33" s="18">
        <v>1.9745999999999999</v>
      </c>
      <c r="S33" s="18">
        <v>2.2643</v>
      </c>
      <c r="T33" s="18">
        <v>2.5367000000000002</v>
      </c>
      <c r="U33" s="18">
        <v>2.7686000000000002</v>
      </c>
      <c r="V33" s="18">
        <v>2.9664000000000001</v>
      </c>
      <c r="W33" s="18">
        <v>3.14</v>
      </c>
      <c r="X33" s="18">
        <v>3.2833000000000001</v>
      </c>
      <c r="Y33" s="18">
        <v>3.3849999999999998</v>
      </c>
      <c r="Z33" s="18">
        <v>3.4296000000000002</v>
      </c>
      <c r="AA33" s="18">
        <v>3.4424999999999999</v>
      </c>
      <c r="AB33" s="18">
        <v>3.4182999999999999</v>
      </c>
      <c r="AC33" s="18">
        <v>3.3372000000000002</v>
      </c>
      <c r="AD33" s="18">
        <v>3.2132999999999998</v>
      </c>
      <c r="AE33" s="18">
        <v>3.0655000000000001</v>
      </c>
      <c r="AF33" s="18">
        <v>2.8782000000000001</v>
      </c>
      <c r="AG33" s="18">
        <v>2.6791</v>
      </c>
      <c r="AH33" s="18">
        <v>2.4396</v>
      </c>
      <c r="AI33" s="18">
        <v>2.1698</v>
      </c>
      <c r="AJ33" s="18">
        <v>1.8441000000000001</v>
      </c>
      <c r="AK33" s="18">
        <v>1.5391999999999999</v>
      </c>
      <c r="AL33" s="18">
        <v>1.2259</v>
      </c>
      <c r="AM33" s="18">
        <v>0.92290000000000005</v>
      </c>
      <c r="AN33" s="18">
        <v>0.63080000000000003</v>
      </c>
      <c r="AO33" s="18">
        <v>0.36830000000000002</v>
      </c>
      <c r="AP33" s="18">
        <v>0.1072</v>
      </c>
      <c r="AQ33" s="18">
        <v>1.9800000000000002E-2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</row>
    <row r="34" spans="1:50" x14ac:dyDescent="0.25">
      <c r="A34" s="8" t="s">
        <v>78</v>
      </c>
      <c r="B34" s="10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</row>
    <row r="35" spans="1:50" x14ac:dyDescent="0.25">
      <c r="A35" s="8" t="s">
        <v>80</v>
      </c>
      <c r="B35" s="10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</row>
    <row r="36" spans="1:50" x14ac:dyDescent="0.25">
      <c r="A36" s="8" t="s">
        <v>82</v>
      </c>
      <c r="B36" s="10" t="s">
        <v>57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</row>
    <row r="37" spans="1:50" x14ac:dyDescent="0.25">
      <c r="A37" s="8" t="s">
        <v>84</v>
      </c>
      <c r="B37" s="10" t="s">
        <v>57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</row>
    <row r="38" spans="1:50" x14ac:dyDescent="0.25">
      <c r="A38" s="17" t="s">
        <v>151</v>
      </c>
      <c r="B38" s="13" t="s">
        <v>116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3.3999999999999998E-3</v>
      </c>
      <c r="K38" s="18">
        <v>4.9700000000000001E-2</v>
      </c>
      <c r="L38" s="18">
        <v>0.2326</v>
      </c>
      <c r="M38" s="18">
        <v>0.46129999999999999</v>
      </c>
      <c r="N38" s="18">
        <v>0.7419</v>
      </c>
      <c r="O38" s="18">
        <v>1.0479000000000001</v>
      </c>
      <c r="P38" s="18">
        <v>1.3576999999999999</v>
      </c>
      <c r="Q38" s="18">
        <v>1.6659999999999999</v>
      </c>
      <c r="R38" s="18">
        <v>1.9745999999999999</v>
      </c>
      <c r="S38" s="18">
        <v>2.2643</v>
      </c>
      <c r="T38" s="18">
        <v>2.5367000000000002</v>
      </c>
      <c r="U38" s="18">
        <v>2.7686000000000002</v>
      </c>
      <c r="V38" s="18">
        <v>2.9664000000000001</v>
      </c>
      <c r="W38" s="18">
        <v>3.14</v>
      </c>
      <c r="X38" s="18">
        <v>3.2833000000000001</v>
      </c>
      <c r="Y38" s="18">
        <v>3.3849999999999998</v>
      </c>
      <c r="Z38" s="18">
        <v>3.4296000000000002</v>
      </c>
      <c r="AA38" s="18">
        <v>3.4424999999999999</v>
      </c>
      <c r="AB38" s="18">
        <v>3.4182999999999999</v>
      </c>
      <c r="AC38" s="18">
        <v>3.3372000000000002</v>
      </c>
      <c r="AD38" s="18">
        <v>3.2132999999999998</v>
      </c>
      <c r="AE38" s="18">
        <v>3.0655000000000001</v>
      </c>
      <c r="AF38" s="18">
        <v>2.8782000000000001</v>
      </c>
      <c r="AG38" s="18">
        <v>2.6791</v>
      </c>
      <c r="AH38" s="18">
        <v>2.4396</v>
      </c>
      <c r="AI38" s="18">
        <v>2.1698</v>
      </c>
      <c r="AJ38" s="18">
        <v>1.8441000000000001</v>
      </c>
      <c r="AK38" s="18">
        <v>1.5391999999999999</v>
      </c>
      <c r="AL38" s="18">
        <v>1.2259</v>
      </c>
      <c r="AM38" s="18">
        <v>0.92290000000000005</v>
      </c>
      <c r="AN38" s="18">
        <v>0.63080000000000003</v>
      </c>
      <c r="AO38" s="18">
        <v>0.36830000000000002</v>
      </c>
      <c r="AP38" s="18">
        <v>0.1072</v>
      </c>
      <c r="AQ38" s="18">
        <v>1.9800000000000002E-2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17" t="s">
        <v>153</v>
      </c>
      <c r="B39" s="13" t="s">
        <v>116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2.2000000000000001E-3</v>
      </c>
      <c r="K39" s="18">
        <v>3.1099999999999999E-2</v>
      </c>
      <c r="L39" s="18">
        <v>0.1454</v>
      </c>
      <c r="M39" s="18">
        <v>0.2883</v>
      </c>
      <c r="N39" s="18">
        <v>0.4637</v>
      </c>
      <c r="O39" s="18">
        <v>0.65490000000000004</v>
      </c>
      <c r="P39" s="18">
        <v>0.84860000000000002</v>
      </c>
      <c r="Q39" s="18">
        <v>1.0411999999999999</v>
      </c>
      <c r="R39" s="18">
        <v>1.2341</v>
      </c>
      <c r="S39" s="18">
        <v>1.4152</v>
      </c>
      <c r="T39" s="18">
        <v>1.5853999999999999</v>
      </c>
      <c r="U39" s="18">
        <v>1.7303999999999999</v>
      </c>
      <c r="V39" s="18">
        <v>1.8540000000000001</v>
      </c>
      <c r="W39" s="18">
        <v>1.9624999999999999</v>
      </c>
      <c r="X39" s="18">
        <v>2.0520999999999998</v>
      </c>
      <c r="Y39" s="18">
        <v>2.1156000000000001</v>
      </c>
      <c r="Z39" s="18">
        <v>2.1435</v>
      </c>
      <c r="AA39" s="18">
        <v>2.1516000000000002</v>
      </c>
      <c r="AB39" s="18">
        <v>2.1364999999999998</v>
      </c>
      <c r="AC39" s="18">
        <v>2.0857000000000001</v>
      </c>
      <c r="AD39" s="18">
        <v>2.0083000000000002</v>
      </c>
      <c r="AE39" s="18">
        <v>1.9158999999999999</v>
      </c>
      <c r="AF39" s="18">
        <v>1.7988999999999999</v>
      </c>
      <c r="AG39" s="18">
        <v>1.6745000000000001</v>
      </c>
      <c r="AH39" s="18">
        <v>1.5246999999999999</v>
      </c>
      <c r="AI39" s="18">
        <v>1.3561000000000001</v>
      </c>
      <c r="AJ39" s="18">
        <v>1.1525000000000001</v>
      </c>
      <c r="AK39" s="18">
        <v>0.96199999999999997</v>
      </c>
      <c r="AL39" s="18">
        <v>0.76619999999999999</v>
      </c>
      <c r="AM39" s="18">
        <v>0.57679999999999998</v>
      </c>
      <c r="AN39" s="18">
        <v>0.39419999999999999</v>
      </c>
      <c r="AO39" s="18">
        <v>0.23019999999999999</v>
      </c>
      <c r="AP39" s="18">
        <v>6.7000000000000004E-2</v>
      </c>
      <c r="AQ39" s="18">
        <v>1.24E-2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</row>
    <row r="40" spans="1:50" x14ac:dyDescent="0.25">
      <c r="A40" s="8" t="s">
        <v>86</v>
      </c>
      <c r="B40" s="10" t="s">
        <v>57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</row>
    <row r="41" spans="1:50" x14ac:dyDescent="0.25">
      <c r="A41" s="8" t="s">
        <v>88</v>
      </c>
      <c r="B41" s="10" t="s">
        <v>57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</row>
    <row r="42" spans="1:50" x14ac:dyDescent="0.25">
      <c r="A42" s="17" t="s">
        <v>155</v>
      </c>
      <c r="B42" s="13" t="s">
        <v>116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3.0000000000000001E-3</v>
      </c>
      <c r="K42" s="18">
        <v>4.3499999999999997E-2</v>
      </c>
      <c r="L42" s="18">
        <v>0.20349999999999999</v>
      </c>
      <c r="M42" s="18">
        <v>0.4037</v>
      </c>
      <c r="N42" s="18">
        <v>0.64910000000000001</v>
      </c>
      <c r="O42" s="18">
        <v>0.91690000000000005</v>
      </c>
      <c r="P42" s="18">
        <v>1.1879999999999999</v>
      </c>
      <c r="Q42" s="18">
        <v>1.4577</v>
      </c>
      <c r="R42" s="18">
        <v>1.7278</v>
      </c>
      <c r="S42" s="18">
        <v>1.9813000000000001</v>
      </c>
      <c r="T42" s="18">
        <v>2.2195999999999998</v>
      </c>
      <c r="U42" s="18">
        <v>2.4224999999999999</v>
      </c>
      <c r="V42" s="18">
        <v>2.5956000000000001</v>
      </c>
      <c r="W42" s="18">
        <v>2.7475000000000001</v>
      </c>
      <c r="X42" s="18">
        <v>2.8729</v>
      </c>
      <c r="Y42" s="18">
        <v>2.9619</v>
      </c>
      <c r="Z42" s="18">
        <v>3.0009000000000001</v>
      </c>
      <c r="AA42" s="18">
        <v>3.0122</v>
      </c>
      <c r="AB42" s="18">
        <v>2.9910000000000001</v>
      </c>
      <c r="AC42" s="18">
        <v>2.92</v>
      </c>
      <c r="AD42" s="18">
        <v>2.8117000000000001</v>
      </c>
      <c r="AE42" s="18">
        <v>2.6823000000000001</v>
      </c>
      <c r="AF42" s="18">
        <v>2.5184000000000002</v>
      </c>
      <c r="AG42" s="18">
        <v>2.3441999999999998</v>
      </c>
      <c r="AH42" s="18">
        <v>2.1345999999999998</v>
      </c>
      <c r="AI42" s="18">
        <v>1.8986000000000001</v>
      </c>
      <c r="AJ42" s="18">
        <v>1.6135999999999999</v>
      </c>
      <c r="AK42" s="18">
        <v>1.3468</v>
      </c>
      <c r="AL42" s="18">
        <v>1.0727</v>
      </c>
      <c r="AM42" s="18">
        <v>0.80759999999999998</v>
      </c>
      <c r="AN42" s="18">
        <v>0.55189999999999995</v>
      </c>
      <c r="AO42" s="18">
        <v>0.32229999999999998</v>
      </c>
      <c r="AP42" s="18">
        <v>9.3799999999999994E-2</v>
      </c>
      <c r="AQ42" s="18">
        <v>1.7299999999999999E-2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17" t="s">
        <v>157</v>
      </c>
      <c r="B43" s="13" t="s">
        <v>116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2.2000000000000001E-3</v>
      </c>
      <c r="K43" s="18">
        <v>3.1099999999999999E-2</v>
      </c>
      <c r="L43" s="18">
        <v>0.1454</v>
      </c>
      <c r="M43" s="18">
        <v>0.2883</v>
      </c>
      <c r="N43" s="18">
        <v>0.4637</v>
      </c>
      <c r="O43" s="18">
        <v>0.65490000000000004</v>
      </c>
      <c r="P43" s="18">
        <v>0.84860000000000002</v>
      </c>
      <c r="Q43" s="18">
        <v>1.0411999999999999</v>
      </c>
      <c r="R43" s="18">
        <v>1.2341</v>
      </c>
      <c r="S43" s="18">
        <v>1.4152</v>
      </c>
      <c r="T43" s="18">
        <v>1.5853999999999999</v>
      </c>
      <c r="U43" s="18">
        <v>1.7303999999999999</v>
      </c>
      <c r="V43" s="18">
        <v>1.8540000000000001</v>
      </c>
      <c r="W43" s="18">
        <v>1.9624999999999999</v>
      </c>
      <c r="X43" s="18">
        <v>2.0520999999999998</v>
      </c>
      <c r="Y43" s="18">
        <v>2.1156000000000001</v>
      </c>
      <c r="Z43" s="18">
        <v>2.1435</v>
      </c>
      <c r="AA43" s="18">
        <v>2.1516000000000002</v>
      </c>
      <c r="AB43" s="18">
        <v>2.1364999999999998</v>
      </c>
      <c r="AC43" s="18">
        <v>2.0857000000000001</v>
      </c>
      <c r="AD43" s="18">
        <v>2.0083000000000002</v>
      </c>
      <c r="AE43" s="18">
        <v>1.9158999999999999</v>
      </c>
      <c r="AF43" s="18">
        <v>1.7988999999999999</v>
      </c>
      <c r="AG43" s="18">
        <v>1.6745000000000001</v>
      </c>
      <c r="AH43" s="18">
        <v>1.5246999999999999</v>
      </c>
      <c r="AI43" s="18">
        <v>1.3561000000000001</v>
      </c>
      <c r="AJ43" s="18">
        <v>1.1525000000000001</v>
      </c>
      <c r="AK43" s="18">
        <v>0.96199999999999997</v>
      </c>
      <c r="AL43" s="18">
        <v>0.76619999999999999</v>
      </c>
      <c r="AM43" s="18">
        <v>0.57679999999999998</v>
      </c>
      <c r="AN43" s="18">
        <v>0.39419999999999999</v>
      </c>
      <c r="AO43" s="18">
        <v>0.23019999999999999</v>
      </c>
      <c r="AP43" s="18">
        <v>6.7000000000000004E-2</v>
      </c>
      <c r="AQ43" s="18">
        <v>1.24E-2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</row>
    <row r="44" spans="1:50" x14ac:dyDescent="0.25">
      <c r="A44" s="17" t="s">
        <v>159</v>
      </c>
      <c r="B44" s="13" t="s">
        <v>116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3.3999999999999998E-3</v>
      </c>
      <c r="K44" s="18">
        <v>4.9700000000000001E-2</v>
      </c>
      <c r="L44" s="18">
        <v>0.2326</v>
      </c>
      <c r="M44" s="18">
        <v>0.46129999999999999</v>
      </c>
      <c r="N44" s="18">
        <v>0.7419</v>
      </c>
      <c r="O44" s="18">
        <v>1.0479000000000001</v>
      </c>
      <c r="P44" s="18">
        <v>1.3576999999999999</v>
      </c>
      <c r="Q44" s="18">
        <v>1.6659999999999999</v>
      </c>
      <c r="R44" s="18">
        <v>1.9745999999999999</v>
      </c>
      <c r="S44" s="18">
        <v>2.2643</v>
      </c>
      <c r="T44" s="18">
        <v>2.5367000000000002</v>
      </c>
      <c r="U44" s="18">
        <v>2.7686000000000002</v>
      </c>
      <c r="V44" s="18">
        <v>2.9664000000000001</v>
      </c>
      <c r="W44" s="18">
        <v>3.14</v>
      </c>
      <c r="X44" s="18">
        <v>3.2833000000000001</v>
      </c>
      <c r="Y44" s="18">
        <v>3.3849999999999998</v>
      </c>
      <c r="Z44" s="18">
        <v>3.4296000000000002</v>
      </c>
      <c r="AA44" s="18">
        <v>3.4424999999999999</v>
      </c>
      <c r="AB44" s="18">
        <v>3.4182999999999999</v>
      </c>
      <c r="AC44" s="18">
        <v>3.3372000000000002</v>
      </c>
      <c r="AD44" s="18">
        <v>3.2132999999999998</v>
      </c>
      <c r="AE44" s="18">
        <v>3.0655000000000001</v>
      </c>
      <c r="AF44" s="18">
        <v>2.8782000000000001</v>
      </c>
      <c r="AG44" s="18">
        <v>2.6791</v>
      </c>
      <c r="AH44" s="18">
        <v>2.4396</v>
      </c>
      <c r="AI44" s="18">
        <v>2.1698</v>
      </c>
      <c r="AJ44" s="18">
        <v>1.8441000000000001</v>
      </c>
      <c r="AK44" s="18">
        <v>1.5391999999999999</v>
      </c>
      <c r="AL44" s="18">
        <v>1.2259</v>
      </c>
      <c r="AM44" s="18">
        <v>0.92290000000000005</v>
      </c>
      <c r="AN44" s="18">
        <v>0.63080000000000003</v>
      </c>
      <c r="AO44" s="18">
        <v>0.36830000000000002</v>
      </c>
      <c r="AP44" s="18">
        <v>0.1072</v>
      </c>
      <c r="AQ44" s="18">
        <v>1.9800000000000002E-2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</row>
    <row r="45" spans="1:50" x14ac:dyDescent="0.25">
      <c r="A45" s="17" t="s">
        <v>161</v>
      </c>
      <c r="B45" s="13" t="s">
        <v>116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2.2000000000000001E-3</v>
      </c>
      <c r="K45" s="18">
        <v>3.1099999999999999E-2</v>
      </c>
      <c r="L45" s="18">
        <v>0.1454</v>
      </c>
      <c r="M45" s="18">
        <v>0.2883</v>
      </c>
      <c r="N45" s="18">
        <v>0.4637</v>
      </c>
      <c r="O45" s="18">
        <v>0.65490000000000004</v>
      </c>
      <c r="P45" s="18">
        <v>0.84860000000000002</v>
      </c>
      <c r="Q45" s="18">
        <v>1.0411999999999999</v>
      </c>
      <c r="R45" s="18">
        <v>1.2341</v>
      </c>
      <c r="S45" s="18">
        <v>1.4152</v>
      </c>
      <c r="T45" s="18">
        <v>1.5853999999999999</v>
      </c>
      <c r="U45" s="18">
        <v>1.7303999999999999</v>
      </c>
      <c r="V45" s="18">
        <v>1.8540000000000001</v>
      </c>
      <c r="W45" s="18">
        <v>1.9624999999999999</v>
      </c>
      <c r="X45" s="18">
        <v>2.0520999999999998</v>
      </c>
      <c r="Y45" s="18">
        <v>2.1156000000000001</v>
      </c>
      <c r="Z45" s="18">
        <v>2.1435</v>
      </c>
      <c r="AA45" s="18">
        <v>2.1516000000000002</v>
      </c>
      <c r="AB45" s="18">
        <v>2.1364999999999998</v>
      </c>
      <c r="AC45" s="18">
        <v>2.0857000000000001</v>
      </c>
      <c r="AD45" s="18">
        <v>2.0083000000000002</v>
      </c>
      <c r="AE45" s="18">
        <v>1.9158999999999999</v>
      </c>
      <c r="AF45" s="18">
        <v>1.7988999999999999</v>
      </c>
      <c r="AG45" s="18">
        <v>1.6745000000000001</v>
      </c>
      <c r="AH45" s="18">
        <v>1.5246999999999999</v>
      </c>
      <c r="AI45" s="18">
        <v>1.3561000000000001</v>
      </c>
      <c r="AJ45" s="18">
        <v>1.1525000000000001</v>
      </c>
      <c r="AK45" s="18">
        <v>0.96199999999999997</v>
      </c>
      <c r="AL45" s="18">
        <v>0.76619999999999999</v>
      </c>
      <c r="AM45" s="18">
        <v>0.57679999999999998</v>
      </c>
      <c r="AN45" s="18">
        <v>0.39419999999999999</v>
      </c>
      <c r="AO45" s="18">
        <v>0.23019999999999999</v>
      </c>
      <c r="AP45" s="18">
        <v>6.7000000000000004E-2</v>
      </c>
      <c r="AQ45" s="18">
        <v>1.24E-2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</row>
    <row r="46" spans="1:50" x14ac:dyDescent="0.25">
      <c r="A46" s="8" t="s">
        <v>90</v>
      </c>
      <c r="B46" s="10" t="s">
        <v>57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</row>
    <row r="47" spans="1:50" x14ac:dyDescent="0.25">
      <c r="A47" s="8" t="s">
        <v>92</v>
      </c>
      <c r="B47" s="10" t="s">
        <v>57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</row>
    <row r="48" spans="1:50" x14ac:dyDescent="0.25">
      <c r="A48" s="17" t="s">
        <v>163</v>
      </c>
      <c r="B48" s="13" t="s">
        <v>116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3.0000000000000001E-3</v>
      </c>
      <c r="K48" s="18">
        <v>4.3499999999999997E-2</v>
      </c>
      <c r="L48" s="18">
        <v>0.20349999999999999</v>
      </c>
      <c r="M48" s="18">
        <v>0.4037</v>
      </c>
      <c r="N48" s="18">
        <v>0.64910000000000001</v>
      </c>
      <c r="O48" s="18">
        <v>0.91690000000000005</v>
      </c>
      <c r="P48" s="18">
        <v>1.1879999999999999</v>
      </c>
      <c r="Q48" s="18">
        <v>1.4577</v>
      </c>
      <c r="R48" s="18">
        <v>1.7278</v>
      </c>
      <c r="S48" s="18">
        <v>1.9813000000000001</v>
      </c>
      <c r="T48" s="18">
        <v>2.2195999999999998</v>
      </c>
      <c r="U48" s="18">
        <v>2.4224999999999999</v>
      </c>
      <c r="V48" s="18">
        <v>2.5956000000000001</v>
      </c>
      <c r="W48" s="18">
        <v>2.7475000000000001</v>
      </c>
      <c r="X48" s="18">
        <v>2.8729</v>
      </c>
      <c r="Y48" s="18">
        <v>2.9619</v>
      </c>
      <c r="Z48" s="18">
        <v>3.0009000000000001</v>
      </c>
      <c r="AA48" s="18">
        <v>3.0122</v>
      </c>
      <c r="AB48" s="18">
        <v>2.9910000000000001</v>
      </c>
      <c r="AC48" s="18">
        <v>2.92</v>
      </c>
      <c r="AD48" s="18">
        <v>2.8117000000000001</v>
      </c>
      <c r="AE48" s="18">
        <v>2.6823000000000001</v>
      </c>
      <c r="AF48" s="18">
        <v>2.5184000000000002</v>
      </c>
      <c r="AG48" s="18">
        <v>2.3441999999999998</v>
      </c>
      <c r="AH48" s="18">
        <v>2.1345999999999998</v>
      </c>
      <c r="AI48" s="18">
        <v>1.8986000000000001</v>
      </c>
      <c r="AJ48" s="18">
        <v>1.6135999999999999</v>
      </c>
      <c r="AK48" s="18">
        <v>1.3468</v>
      </c>
      <c r="AL48" s="18">
        <v>1.0727</v>
      </c>
      <c r="AM48" s="18">
        <v>0.80759999999999998</v>
      </c>
      <c r="AN48" s="18">
        <v>0.55189999999999995</v>
      </c>
      <c r="AO48" s="18">
        <v>0.32229999999999998</v>
      </c>
      <c r="AP48" s="18">
        <v>9.3799999999999994E-2</v>
      </c>
      <c r="AQ48" s="18">
        <v>1.7299999999999999E-2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8" t="s">
        <v>94</v>
      </c>
      <c r="B49" s="10" t="s">
        <v>57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</row>
    <row r="50" spans="1:50" x14ac:dyDescent="0.25">
      <c r="A50" s="17" t="s">
        <v>165</v>
      </c>
      <c r="B50" s="13" t="s">
        <v>116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2.2000000000000001E-3</v>
      </c>
      <c r="K50" s="18">
        <v>3.1099999999999999E-2</v>
      </c>
      <c r="L50" s="18">
        <v>0.1454</v>
      </c>
      <c r="M50" s="18">
        <v>0.2883</v>
      </c>
      <c r="N50" s="18">
        <v>0.4637</v>
      </c>
      <c r="O50" s="18">
        <v>0.65490000000000004</v>
      </c>
      <c r="P50" s="18">
        <v>0.84860000000000002</v>
      </c>
      <c r="Q50" s="18">
        <v>1.0411999999999999</v>
      </c>
      <c r="R50" s="18">
        <v>1.2341</v>
      </c>
      <c r="S50" s="18">
        <v>1.4152</v>
      </c>
      <c r="T50" s="18">
        <v>1.5853999999999999</v>
      </c>
      <c r="U50" s="18">
        <v>1.7303999999999999</v>
      </c>
      <c r="V50" s="18">
        <v>1.8540000000000001</v>
      </c>
      <c r="W50" s="18">
        <v>1.9624999999999999</v>
      </c>
      <c r="X50" s="18">
        <v>2.0520999999999998</v>
      </c>
      <c r="Y50" s="18">
        <v>2.1156000000000001</v>
      </c>
      <c r="Z50" s="18">
        <v>2.1435</v>
      </c>
      <c r="AA50" s="18">
        <v>2.1516000000000002</v>
      </c>
      <c r="AB50" s="18">
        <v>2.1364999999999998</v>
      </c>
      <c r="AC50" s="18">
        <v>2.0857000000000001</v>
      </c>
      <c r="AD50" s="18">
        <v>2.0083000000000002</v>
      </c>
      <c r="AE50" s="18">
        <v>1.9158999999999999</v>
      </c>
      <c r="AF50" s="18">
        <v>1.7988999999999999</v>
      </c>
      <c r="AG50" s="18">
        <v>1.6745000000000001</v>
      </c>
      <c r="AH50" s="18">
        <v>1.5246999999999999</v>
      </c>
      <c r="AI50" s="18">
        <v>1.3561000000000001</v>
      </c>
      <c r="AJ50" s="18">
        <v>1.1525000000000001</v>
      </c>
      <c r="AK50" s="18">
        <v>0.96199999999999997</v>
      </c>
      <c r="AL50" s="18">
        <v>0.76619999999999999</v>
      </c>
      <c r="AM50" s="18">
        <v>0.57679999999999998</v>
      </c>
      <c r="AN50" s="18">
        <v>0.39419999999999999</v>
      </c>
      <c r="AO50" s="18">
        <v>0.23019999999999999</v>
      </c>
      <c r="AP50" s="18">
        <v>6.7000000000000004E-2</v>
      </c>
      <c r="AQ50" s="18">
        <v>1.24E-2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</row>
    <row r="51" spans="1:50" x14ac:dyDescent="0.25">
      <c r="A51" s="17" t="s">
        <v>167</v>
      </c>
      <c r="B51" s="13" t="s">
        <v>116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3.3999999999999998E-3</v>
      </c>
      <c r="K51" s="18">
        <v>4.9700000000000001E-2</v>
      </c>
      <c r="L51" s="18">
        <v>0.2326</v>
      </c>
      <c r="M51" s="18">
        <v>0.46129999999999999</v>
      </c>
      <c r="N51" s="18">
        <v>0.7419</v>
      </c>
      <c r="O51" s="18">
        <v>1.0479000000000001</v>
      </c>
      <c r="P51" s="18">
        <v>1.3576999999999999</v>
      </c>
      <c r="Q51" s="18">
        <v>1.6659999999999999</v>
      </c>
      <c r="R51" s="18">
        <v>1.9745999999999999</v>
      </c>
      <c r="S51" s="18">
        <v>2.2643</v>
      </c>
      <c r="T51" s="18">
        <v>2.5367000000000002</v>
      </c>
      <c r="U51" s="18">
        <v>2.7686000000000002</v>
      </c>
      <c r="V51" s="18">
        <v>2.9664000000000001</v>
      </c>
      <c r="W51" s="18">
        <v>3.14</v>
      </c>
      <c r="X51" s="18">
        <v>3.2833000000000001</v>
      </c>
      <c r="Y51" s="18">
        <v>3.3849999999999998</v>
      </c>
      <c r="Z51" s="18">
        <v>3.4296000000000002</v>
      </c>
      <c r="AA51" s="18">
        <v>3.4424999999999999</v>
      </c>
      <c r="AB51" s="18">
        <v>3.4182999999999999</v>
      </c>
      <c r="AC51" s="18">
        <v>3.3372000000000002</v>
      </c>
      <c r="AD51" s="18">
        <v>3.2132999999999998</v>
      </c>
      <c r="AE51" s="18">
        <v>3.0655000000000001</v>
      </c>
      <c r="AF51" s="18">
        <v>2.8782000000000001</v>
      </c>
      <c r="AG51" s="18">
        <v>2.6791</v>
      </c>
      <c r="AH51" s="18">
        <v>2.4396</v>
      </c>
      <c r="AI51" s="18">
        <v>2.1698</v>
      </c>
      <c r="AJ51" s="18">
        <v>1.8441000000000001</v>
      </c>
      <c r="AK51" s="18">
        <v>1.5391999999999999</v>
      </c>
      <c r="AL51" s="18">
        <v>1.2259</v>
      </c>
      <c r="AM51" s="18">
        <v>0.92290000000000005</v>
      </c>
      <c r="AN51" s="18">
        <v>0.63080000000000003</v>
      </c>
      <c r="AO51" s="18">
        <v>0.36830000000000002</v>
      </c>
      <c r="AP51" s="18">
        <v>0.1072</v>
      </c>
      <c r="AQ51" s="18">
        <v>1.9800000000000002E-2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</row>
    <row r="52" spans="1:50" x14ac:dyDescent="0.25">
      <c r="A52" s="17" t="s">
        <v>169</v>
      </c>
      <c r="B52" s="13" t="s">
        <v>116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1.6999999999999999E-3</v>
      </c>
      <c r="K52" s="18">
        <v>2.4899999999999999E-2</v>
      </c>
      <c r="L52" s="18">
        <v>0.1163</v>
      </c>
      <c r="M52" s="18">
        <v>0.23069999999999999</v>
      </c>
      <c r="N52" s="18">
        <v>0.37090000000000001</v>
      </c>
      <c r="O52" s="18">
        <v>0.52400000000000002</v>
      </c>
      <c r="P52" s="18">
        <v>0.67889999999999995</v>
      </c>
      <c r="Q52" s="18">
        <v>0.83299999999999996</v>
      </c>
      <c r="R52" s="18">
        <v>0.98729999999999996</v>
      </c>
      <c r="S52" s="18">
        <v>1.1322000000000001</v>
      </c>
      <c r="T52" s="18">
        <v>1.2683</v>
      </c>
      <c r="U52" s="18">
        <v>1.3843000000000001</v>
      </c>
      <c r="V52" s="18">
        <v>1.4832000000000001</v>
      </c>
      <c r="W52" s="18">
        <v>1.57</v>
      </c>
      <c r="X52" s="18">
        <v>1.6416999999999999</v>
      </c>
      <c r="Y52" s="18">
        <v>1.6924999999999999</v>
      </c>
      <c r="Z52" s="18">
        <v>1.7148000000000001</v>
      </c>
      <c r="AA52" s="18">
        <v>1.7212000000000001</v>
      </c>
      <c r="AB52" s="18">
        <v>1.7092000000000001</v>
      </c>
      <c r="AC52" s="18">
        <v>1.6686000000000001</v>
      </c>
      <c r="AD52" s="18">
        <v>1.6067</v>
      </c>
      <c r="AE52" s="18">
        <v>1.5327999999999999</v>
      </c>
      <c r="AF52" s="18">
        <v>1.4391</v>
      </c>
      <c r="AG52" s="18">
        <v>1.3395999999999999</v>
      </c>
      <c r="AH52" s="18">
        <v>1.2198</v>
      </c>
      <c r="AI52" s="18">
        <v>1.0849</v>
      </c>
      <c r="AJ52" s="18">
        <v>0.92200000000000004</v>
      </c>
      <c r="AK52" s="18">
        <v>0.76959999999999995</v>
      </c>
      <c r="AL52" s="18">
        <v>0.61299999999999999</v>
      </c>
      <c r="AM52" s="18">
        <v>0.46150000000000002</v>
      </c>
      <c r="AN52" s="18">
        <v>0.31540000000000001</v>
      </c>
      <c r="AO52" s="18">
        <v>0.1842</v>
      </c>
      <c r="AP52" s="18">
        <v>5.3600000000000002E-2</v>
      </c>
      <c r="AQ52" s="18">
        <v>9.9000000000000008E-3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</row>
    <row r="53" spans="1:50" x14ac:dyDescent="0.25">
      <c r="A53" s="17" t="s">
        <v>171</v>
      </c>
      <c r="B53" s="13" t="s">
        <v>116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2.2000000000000001E-3</v>
      </c>
      <c r="K53" s="18">
        <v>3.1099999999999999E-2</v>
      </c>
      <c r="L53" s="18">
        <v>0.1454</v>
      </c>
      <c r="M53" s="18">
        <v>0.2883</v>
      </c>
      <c r="N53" s="18">
        <v>0.4637</v>
      </c>
      <c r="O53" s="18">
        <v>0.65490000000000004</v>
      </c>
      <c r="P53" s="18">
        <v>0.84860000000000002</v>
      </c>
      <c r="Q53" s="18">
        <v>1.0411999999999999</v>
      </c>
      <c r="R53" s="18">
        <v>1.2341</v>
      </c>
      <c r="S53" s="18">
        <v>1.4152</v>
      </c>
      <c r="T53" s="18">
        <v>1.5853999999999999</v>
      </c>
      <c r="U53" s="18">
        <v>1.7303999999999999</v>
      </c>
      <c r="V53" s="18">
        <v>1.8540000000000001</v>
      </c>
      <c r="W53" s="18">
        <v>1.9624999999999999</v>
      </c>
      <c r="X53" s="18">
        <v>2.0520999999999998</v>
      </c>
      <c r="Y53" s="18">
        <v>2.1156000000000001</v>
      </c>
      <c r="Z53" s="18">
        <v>2.1435</v>
      </c>
      <c r="AA53" s="18">
        <v>2.1516000000000002</v>
      </c>
      <c r="AB53" s="18">
        <v>2.1364999999999998</v>
      </c>
      <c r="AC53" s="18">
        <v>2.0857000000000001</v>
      </c>
      <c r="AD53" s="18">
        <v>2.0083000000000002</v>
      </c>
      <c r="AE53" s="18">
        <v>1.9158999999999999</v>
      </c>
      <c r="AF53" s="18">
        <v>1.7988999999999999</v>
      </c>
      <c r="AG53" s="18">
        <v>1.6745000000000001</v>
      </c>
      <c r="AH53" s="18">
        <v>1.5246999999999999</v>
      </c>
      <c r="AI53" s="18">
        <v>1.3561000000000001</v>
      </c>
      <c r="AJ53" s="18">
        <v>1.1525000000000001</v>
      </c>
      <c r="AK53" s="18">
        <v>0.96199999999999997</v>
      </c>
      <c r="AL53" s="18">
        <v>0.76619999999999999</v>
      </c>
      <c r="AM53" s="18">
        <v>0.57679999999999998</v>
      </c>
      <c r="AN53" s="18">
        <v>0.39419999999999999</v>
      </c>
      <c r="AO53" s="18">
        <v>0.23019999999999999</v>
      </c>
      <c r="AP53" s="18">
        <v>6.7000000000000004E-2</v>
      </c>
      <c r="AQ53" s="18">
        <v>1.24E-2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</row>
    <row r="54" spans="1:50" x14ac:dyDescent="0.25">
      <c r="A54" s="17" t="s">
        <v>173</v>
      </c>
      <c r="B54" s="13" t="s">
        <v>116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3.3999999999999998E-3</v>
      </c>
      <c r="K54" s="18">
        <v>4.9700000000000001E-2</v>
      </c>
      <c r="L54" s="18">
        <v>0.2326</v>
      </c>
      <c r="M54" s="18">
        <v>0.46129999999999999</v>
      </c>
      <c r="N54" s="18">
        <v>0.7419</v>
      </c>
      <c r="O54" s="18">
        <v>1.0479000000000001</v>
      </c>
      <c r="P54" s="18">
        <v>1.3576999999999999</v>
      </c>
      <c r="Q54" s="18">
        <v>1.6659999999999999</v>
      </c>
      <c r="R54" s="18">
        <v>1.9745999999999999</v>
      </c>
      <c r="S54" s="18">
        <v>2.2643</v>
      </c>
      <c r="T54" s="18">
        <v>2.5367000000000002</v>
      </c>
      <c r="U54" s="18">
        <v>2.7686000000000002</v>
      </c>
      <c r="V54" s="18">
        <v>2.9664000000000001</v>
      </c>
      <c r="W54" s="18">
        <v>3.14</v>
      </c>
      <c r="X54" s="18">
        <v>3.2833000000000001</v>
      </c>
      <c r="Y54" s="18">
        <v>3.3849999999999998</v>
      </c>
      <c r="Z54" s="18">
        <v>3.4296000000000002</v>
      </c>
      <c r="AA54" s="18">
        <v>3.4424999999999999</v>
      </c>
      <c r="AB54" s="18">
        <v>3.4182999999999999</v>
      </c>
      <c r="AC54" s="18">
        <v>3.3372000000000002</v>
      </c>
      <c r="AD54" s="18">
        <v>3.2132999999999998</v>
      </c>
      <c r="AE54" s="18">
        <v>3.0655000000000001</v>
      </c>
      <c r="AF54" s="18">
        <v>2.8782000000000001</v>
      </c>
      <c r="AG54" s="18">
        <v>2.6791</v>
      </c>
      <c r="AH54" s="18">
        <v>2.4396</v>
      </c>
      <c r="AI54" s="18">
        <v>2.1698</v>
      </c>
      <c r="AJ54" s="18">
        <v>1.8441000000000001</v>
      </c>
      <c r="AK54" s="18">
        <v>1.5391999999999999</v>
      </c>
      <c r="AL54" s="18">
        <v>1.2259</v>
      </c>
      <c r="AM54" s="18">
        <v>0.92290000000000005</v>
      </c>
      <c r="AN54" s="18">
        <v>0.63080000000000003</v>
      </c>
      <c r="AO54" s="18">
        <v>0.36830000000000002</v>
      </c>
      <c r="AP54" s="18">
        <v>0.1072</v>
      </c>
      <c r="AQ54" s="18">
        <v>1.9800000000000002E-2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17" t="s">
        <v>175</v>
      </c>
      <c r="B55" s="13" t="s">
        <v>116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3.3999999999999998E-3</v>
      </c>
      <c r="K55" s="18">
        <v>4.9700000000000001E-2</v>
      </c>
      <c r="L55" s="18">
        <v>0.2326</v>
      </c>
      <c r="M55" s="18">
        <v>0.46129999999999999</v>
      </c>
      <c r="N55" s="18">
        <v>0.7419</v>
      </c>
      <c r="O55" s="18">
        <v>1.0479000000000001</v>
      </c>
      <c r="P55" s="18">
        <v>1.3576999999999999</v>
      </c>
      <c r="Q55" s="18">
        <v>1.6659999999999999</v>
      </c>
      <c r="R55" s="18">
        <v>1.9745999999999999</v>
      </c>
      <c r="S55" s="18">
        <v>2.2643</v>
      </c>
      <c r="T55" s="18">
        <v>2.5367000000000002</v>
      </c>
      <c r="U55" s="18">
        <v>2.7686000000000002</v>
      </c>
      <c r="V55" s="18">
        <v>2.9664000000000001</v>
      </c>
      <c r="W55" s="18">
        <v>3.14</v>
      </c>
      <c r="X55" s="18">
        <v>3.2833000000000001</v>
      </c>
      <c r="Y55" s="18">
        <v>3.3849999999999998</v>
      </c>
      <c r="Z55" s="18">
        <v>3.4296000000000002</v>
      </c>
      <c r="AA55" s="18">
        <v>3.4424999999999999</v>
      </c>
      <c r="AB55" s="18">
        <v>3.4182999999999999</v>
      </c>
      <c r="AC55" s="18">
        <v>3.3372000000000002</v>
      </c>
      <c r="AD55" s="18">
        <v>3.2132999999999998</v>
      </c>
      <c r="AE55" s="18">
        <v>3.0655000000000001</v>
      </c>
      <c r="AF55" s="18">
        <v>2.8782000000000001</v>
      </c>
      <c r="AG55" s="18">
        <v>2.6791</v>
      </c>
      <c r="AH55" s="18">
        <v>2.4396</v>
      </c>
      <c r="AI55" s="18">
        <v>2.1698</v>
      </c>
      <c r="AJ55" s="18">
        <v>1.8441000000000001</v>
      </c>
      <c r="AK55" s="18">
        <v>1.5391999999999999</v>
      </c>
      <c r="AL55" s="18">
        <v>1.2259</v>
      </c>
      <c r="AM55" s="18">
        <v>0.92290000000000005</v>
      </c>
      <c r="AN55" s="18">
        <v>0.63080000000000003</v>
      </c>
      <c r="AO55" s="18">
        <v>0.36830000000000002</v>
      </c>
      <c r="AP55" s="18">
        <v>0.1072</v>
      </c>
      <c r="AQ55" s="18">
        <v>1.9800000000000002E-2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</row>
    <row r="56" spans="1:50" x14ac:dyDescent="0.25">
      <c r="A56" s="8" t="s">
        <v>96</v>
      </c>
      <c r="B56" s="10" t="s">
        <v>57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</row>
    <row r="57" spans="1:50" x14ac:dyDescent="0.25">
      <c r="A57" s="8" t="s">
        <v>98</v>
      </c>
      <c r="B57" s="10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</row>
    <row r="58" spans="1:50" x14ac:dyDescent="0.25">
      <c r="A58" s="17" t="s">
        <v>177</v>
      </c>
      <c r="B58" s="13" t="s">
        <v>116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3.0000000000000001E-3</v>
      </c>
      <c r="K58" s="18">
        <v>4.3499999999999997E-2</v>
      </c>
      <c r="L58" s="18">
        <v>0.20349999999999999</v>
      </c>
      <c r="M58" s="18">
        <v>0.4037</v>
      </c>
      <c r="N58" s="18">
        <v>0.64910000000000001</v>
      </c>
      <c r="O58" s="18">
        <v>0.91690000000000005</v>
      </c>
      <c r="P58" s="18">
        <v>1.1879999999999999</v>
      </c>
      <c r="Q58" s="18">
        <v>1.4577</v>
      </c>
      <c r="R58" s="18">
        <v>1.7278</v>
      </c>
      <c r="S58" s="18">
        <v>1.9813000000000001</v>
      </c>
      <c r="T58" s="18">
        <v>2.2195999999999998</v>
      </c>
      <c r="U58" s="18">
        <v>2.4224999999999999</v>
      </c>
      <c r="V58" s="18">
        <v>2.5956000000000001</v>
      </c>
      <c r="W58" s="18">
        <v>2.7475000000000001</v>
      </c>
      <c r="X58" s="18">
        <v>2.8729</v>
      </c>
      <c r="Y58" s="18">
        <v>2.9619</v>
      </c>
      <c r="Z58" s="18">
        <v>3.0009000000000001</v>
      </c>
      <c r="AA58" s="18">
        <v>3.0122</v>
      </c>
      <c r="AB58" s="18">
        <v>2.9910000000000001</v>
      </c>
      <c r="AC58" s="18">
        <v>2.92</v>
      </c>
      <c r="AD58" s="18">
        <v>2.8117000000000001</v>
      </c>
      <c r="AE58" s="18">
        <v>2.6823000000000001</v>
      </c>
      <c r="AF58" s="18">
        <v>2.5184000000000002</v>
      </c>
      <c r="AG58" s="18">
        <v>2.3441999999999998</v>
      </c>
      <c r="AH58" s="18">
        <v>2.1345999999999998</v>
      </c>
      <c r="AI58" s="18">
        <v>1.8986000000000001</v>
      </c>
      <c r="AJ58" s="18">
        <v>1.6135999999999999</v>
      </c>
      <c r="AK58" s="18">
        <v>1.3468</v>
      </c>
      <c r="AL58" s="18">
        <v>1.0727</v>
      </c>
      <c r="AM58" s="18">
        <v>0.80759999999999998</v>
      </c>
      <c r="AN58" s="18">
        <v>0.55189999999999995</v>
      </c>
      <c r="AO58" s="18">
        <v>0.32229999999999998</v>
      </c>
      <c r="AP58" s="18">
        <v>9.3799999999999994E-2</v>
      </c>
      <c r="AQ58" s="18">
        <v>1.7299999999999999E-2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</row>
    <row r="59" spans="1:50" x14ac:dyDescent="0.25">
      <c r="A59" s="17" t="s">
        <v>179</v>
      </c>
      <c r="B59" s="13" t="s">
        <v>116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1.2999999999999999E-3</v>
      </c>
      <c r="K59" s="18">
        <v>1.8700000000000001E-2</v>
      </c>
      <c r="L59" s="18">
        <v>8.72E-2</v>
      </c>
      <c r="M59" s="18">
        <v>0.17299999999999999</v>
      </c>
      <c r="N59" s="18">
        <v>0.2782</v>
      </c>
      <c r="O59" s="18">
        <v>0.39300000000000002</v>
      </c>
      <c r="P59" s="18">
        <v>0.50919999999999999</v>
      </c>
      <c r="Q59" s="18">
        <v>0.62470000000000003</v>
      </c>
      <c r="R59" s="18">
        <v>0.74050000000000005</v>
      </c>
      <c r="S59" s="18">
        <v>0.84909999999999997</v>
      </c>
      <c r="T59" s="18">
        <v>0.95120000000000005</v>
      </c>
      <c r="U59" s="18">
        <v>1.0382</v>
      </c>
      <c r="V59" s="18">
        <v>1.1124000000000001</v>
      </c>
      <c r="W59" s="18">
        <v>1.1775</v>
      </c>
      <c r="X59" s="18">
        <v>1.2312000000000001</v>
      </c>
      <c r="Y59" s="18">
        <v>1.2694000000000001</v>
      </c>
      <c r="Z59" s="18">
        <v>1.2861</v>
      </c>
      <c r="AA59" s="18">
        <v>1.2908999999999999</v>
      </c>
      <c r="AB59" s="18">
        <v>1.2819</v>
      </c>
      <c r="AC59" s="18">
        <v>1.2514000000000001</v>
      </c>
      <c r="AD59" s="18">
        <v>1.2050000000000001</v>
      </c>
      <c r="AE59" s="18">
        <v>1.1496</v>
      </c>
      <c r="AF59" s="18">
        <v>1.0792999999999999</v>
      </c>
      <c r="AG59" s="18">
        <v>1.0046999999999999</v>
      </c>
      <c r="AH59" s="18">
        <v>0.91479999999999995</v>
      </c>
      <c r="AI59" s="18">
        <v>0.81369999999999998</v>
      </c>
      <c r="AJ59" s="18">
        <v>0.6915</v>
      </c>
      <c r="AK59" s="18">
        <v>0.57720000000000005</v>
      </c>
      <c r="AL59" s="18">
        <v>0.4597</v>
      </c>
      <c r="AM59" s="18">
        <v>0.34610000000000002</v>
      </c>
      <c r="AN59" s="18">
        <v>0.23649999999999999</v>
      </c>
      <c r="AO59" s="18">
        <v>0.1381</v>
      </c>
      <c r="AP59" s="18">
        <v>4.02E-2</v>
      </c>
      <c r="AQ59" s="18">
        <v>7.4000000000000003E-3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</row>
    <row r="60" spans="1:50" x14ac:dyDescent="0.25">
      <c r="A60" s="17" t="s">
        <v>181</v>
      </c>
      <c r="B60" s="13" t="s">
        <v>116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2.5999999999999999E-3</v>
      </c>
      <c r="K60" s="18">
        <v>3.73E-2</v>
      </c>
      <c r="L60" s="18">
        <v>0.1744</v>
      </c>
      <c r="M60" s="18">
        <v>0.34599999999999997</v>
      </c>
      <c r="N60" s="18">
        <v>0.55640000000000001</v>
      </c>
      <c r="O60" s="18">
        <v>0.78590000000000004</v>
      </c>
      <c r="P60" s="18">
        <v>1.0183</v>
      </c>
      <c r="Q60" s="18">
        <v>1.2495000000000001</v>
      </c>
      <c r="R60" s="18">
        <v>1.4810000000000001</v>
      </c>
      <c r="S60" s="18">
        <v>1.6981999999999999</v>
      </c>
      <c r="T60" s="18">
        <v>1.9025000000000001</v>
      </c>
      <c r="U60" s="18">
        <v>2.0764</v>
      </c>
      <c r="V60" s="18">
        <v>2.2248000000000001</v>
      </c>
      <c r="W60" s="18">
        <v>2.355</v>
      </c>
      <c r="X60" s="18">
        <v>2.4624999999999999</v>
      </c>
      <c r="Y60" s="18">
        <v>2.5387</v>
      </c>
      <c r="Z60" s="18">
        <v>2.5722</v>
      </c>
      <c r="AA60" s="18">
        <v>2.5819000000000001</v>
      </c>
      <c r="AB60" s="18">
        <v>2.5636999999999999</v>
      </c>
      <c r="AC60" s="18">
        <v>2.5028999999999999</v>
      </c>
      <c r="AD60" s="18">
        <v>2.41</v>
      </c>
      <c r="AE60" s="18">
        <v>2.2991000000000001</v>
      </c>
      <c r="AF60" s="18">
        <v>2.1585999999999999</v>
      </c>
      <c r="AG60" s="18">
        <v>2.0093000000000001</v>
      </c>
      <c r="AH60" s="18">
        <v>1.8297000000000001</v>
      </c>
      <c r="AI60" s="18">
        <v>1.6274</v>
      </c>
      <c r="AJ60" s="18">
        <v>1.3831</v>
      </c>
      <c r="AK60" s="18">
        <v>1.1544000000000001</v>
      </c>
      <c r="AL60" s="18">
        <v>0.91949999999999998</v>
      </c>
      <c r="AM60" s="18">
        <v>0.69220000000000004</v>
      </c>
      <c r="AN60" s="18">
        <v>0.47310000000000002</v>
      </c>
      <c r="AO60" s="18">
        <v>0.2762</v>
      </c>
      <c r="AP60" s="18">
        <v>8.0399999999999999E-2</v>
      </c>
      <c r="AQ60" s="18">
        <v>1.4800000000000001E-2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</row>
    <row r="61" spans="1:50" x14ac:dyDescent="0.25">
      <c r="A61" s="8" t="s">
        <v>100</v>
      </c>
      <c r="B61" s="10" t="s">
        <v>57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</row>
    <row r="62" spans="1:50" x14ac:dyDescent="0.25">
      <c r="A62" s="17" t="s">
        <v>183</v>
      </c>
      <c r="B62" s="13" t="s">
        <v>116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1.6999999999999999E-3</v>
      </c>
      <c r="K62" s="18">
        <v>2.4899999999999999E-2</v>
      </c>
      <c r="L62" s="18">
        <v>0.1163</v>
      </c>
      <c r="M62" s="18">
        <v>0.23069999999999999</v>
      </c>
      <c r="N62" s="18">
        <v>0.37090000000000001</v>
      </c>
      <c r="O62" s="18">
        <v>0.52400000000000002</v>
      </c>
      <c r="P62" s="18">
        <v>0.67889999999999995</v>
      </c>
      <c r="Q62" s="18">
        <v>0.83299999999999996</v>
      </c>
      <c r="R62" s="18">
        <v>0.98729999999999996</v>
      </c>
      <c r="S62" s="18">
        <v>1.1322000000000001</v>
      </c>
      <c r="T62" s="18">
        <v>1.2683</v>
      </c>
      <c r="U62" s="18">
        <v>1.3843000000000001</v>
      </c>
      <c r="V62" s="18">
        <v>1.4832000000000001</v>
      </c>
      <c r="W62" s="18">
        <v>1.57</v>
      </c>
      <c r="X62" s="18">
        <v>1.6416999999999999</v>
      </c>
      <c r="Y62" s="18">
        <v>1.6924999999999999</v>
      </c>
      <c r="Z62" s="18">
        <v>1.7148000000000001</v>
      </c>
      <c r="AA62" s="18">
        <v>1.7212000000000001</v>
      </c>
      <c r="AB62" s="18">
        <v>1.7092000000000001</v>
      </c>
      <c r="AC62" s="18">
        <v>1.6686000000000001</v>
      </c>
      <c r="AD62" s="18">
        <v>1.6067</v>
      </c>
      <c r="AE62" s="18">
        <v>1.5327999999999999</v>
      </c>
      <c r="AF62" s="18">
        <v>1.4391</v>
      </c>
      <c r="AG62" s="18">
        <v>1.3395999999999999</v>
      </c>
      <c r="AH62" s="18">
        <v>1.2198</v>
      </c>
      <c r="AI62" s="18">
        <v>1.0849</v>
      </c>
      <c r="AJ62" s="18">
        <v>0.92200000000000004</v>
      </c>
      <c r="AK62" s="18">
        <v>0.76959999999999995</v>
      </c>
      <c r="AL62" s="18">
        <v>0.61299999999999999</v>
      </c>
      <c r="AM62" s="18">
        <v>0.46150000000000002</v>
      </c>
      <c r="AN62" s="18">
        <v>0.31540000000000001</v>
      </c>
      <c r="AO62" s="18">
        <v>0.1842</v>
      </c>
      <c r="AP62" s="18">
        <v>5.3600000000000002E-2</v>
      </c>
      <c r="AQ62" s="18">
        <v>9.9000000000000008E-3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8" t="s">
        <v>102</v>
      </c>
      <c r="B63" s="10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</row>
    <row r="64" spans="1:50" x14ac:dyDescent="0.25">
      <c r="A64" s="8" t="s">
        <v>104</v>
      </c>
      <c r="B64" s="10" t="s">
        <v>57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</row>
    <row r="65" spans="1:50" x14ac:dyDescent="0.25">
      <c r="A65" s="17" t="s">
        <v>185</v>
      </c>
      <c r="B65" s="13" t="s">
        <v>116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1.6999999999999999E-3</v>
      </c>
      <c r="K65" s="18">
        <v>2.4899999999999999E-2</v>
      </c>
      <c r="L65" s="18">
        <v>0.1163</v>
      </c>
      <c r="M65" s="18">
        <v>0.23069999999999999</v>
      </c>
      <c r="N65" s="18">
        <v>0.37090000000000001</v>
      </c>
      <c r="O65" s="18">
        <v>0.52400000000000002</v>
      </c>
      <c r="P65" s="18">
        <v>0.67889999999999995</v>
      </c>
      <c r="Q65" s="18">
        <v>0.83299999999999996</v>
      </c>
      <c r="R65" s="18">
        <v>0.98729999999999996</v>
      </c>
      <c r="S65" s="18">
        <v>1.1322000000000001</v>
      </c>
      <c r="T65" s="18">
        <v>1.2683</v>
      </c>
      <c r="U65" s="18">
        <v>1.3843000000000001</v>
      </c>
      <c r="V65" s="18">
        <v>1.4832000000000001</v>
      </c>
      <c r="W65" s="18">
        <v>1.57</v>
      </c>
      <c r="X65" s="18">
        <v>1.6416999999999999</v>
      </c>
      <c r="Y65" s="18">
        <v>1.6924999999999999</v>
      </c>
      <c r="Z65" s="18">
        <v>1.7148000000000001</v>
      </c>
      <c r="AA65" s="18">
        <v>1.7212000000000001</v>
      </c>
      <c r="AB65" s="18">
        <v>1.7092000000000001</v>
      </c>
      <c r="AC65" s="18">
        <v>1.6686000000000001</v>
      </c>
      <c r="AD65" s="18">
        <v>1.6067</v>
      </c>
      <c r="AE65" s="18">
        <v>1.5327999999999999</v>
      </c>
      <c r="AF65" s="18">
        <v>1.4391</v>
      </c>
      <c r="AG65" s="18">
        <v>1.3395999999999999</v>
      </c>
      <c r="AH65" s="18">
        <v>1.2198</v>
      </c>
      <c r="AI65" s="18">
        <v>1.0849</v>
      </c>
      <c r="AJ65" s="18">
        <v>0.92200000000000004</v>
      </c>
      <c r="AK65" s="18">
        <v>0.76959999999999995</v>
      </c>
      <c r="AL65" s="18">
        <v>0.61299999999999999</v>
      </c>
      <c r="AM65" s="18">
        <v>0.46150000000000002</v>
      </c>
      <c r="AN65" s="18">
        <v>0.31540000000000001</v>
      </c>
      <c r="AO65" s="18">
        <v>0.1842</v>
      </c>
      <c r="AP65" s="18">
        <v>5.3600000000000002E-2</v>
      </c>
      <c r="AQ65" s="18">
        <v>9.9000000000000008E-3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17" t="s">
        <v>187</v>
      </c>
      <c r="B66" s="13" t="s">
        <v>116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3.3999999999999998E-3</v>
      </c>
      <c r="K66" s="18">
        <v>4.9700000000000001E-2</v>
      </c>
      <c r="L66" s="18">
        <v>0.2326</v>
      </c>
      <c r="M66" s="18">
        <v>0.46129999999999999</v>
      </c>
      <c r="N66" s="18">
        <v>0.7419</v>
      </c>
      <c r="O66" s="18">
        <v>1.0479000000000001</v>
      </c>
      <c r="P66" s="18">
        <v>1.3576999999999999</v>
      </c>
      <c r="Q66" s="18">
        <v>1.6659999999999999</v>
      </c>
      <c r="R66" s="18">
        <v>1.9745999999999999</v>
      </c>
      <c r="S66" s="18">
        <v>2.2643</v>
      </c>
      <c r="T66" s="18">
        <v>2.5367000000000002</v>
      </c>
      <c r="U66" s="18">
        <v>2.7686000000000002</v>
      </c>
      <c r="V66" s="18">
        <v>2.9664000000000001</v>
      </c>
      <c r="W66" s="18">
        <v>3.14</v>
      </c>
      <c r="X66" s="18">
        <v>3.2833000000000001</v>
      </c>
      <c r="Y66" s="18">
        <v>3.3849999999999998</v>
      </c>
      <c r="Z66" s="18">
        <v>3.4296000000000002</v>
      </c>
      <c r="AA66" s="18">
        <v>3.4424999999999999</v>
      </c>
      <c r="AB66" s="18">
        <v>3.4182999999999999</v>
      </c>
      <c r="AC66" s="18">
        <v>3.3372000000000002</v>
      </c>
      <c r="AD66" s="18">
        <v>3.2132999999999998</v>
      </c>
      <c r="AE66" s="18">
        <v>3.0655000000000001</v>
      </c>
      <c r="AF66" s="18">
        <v>2.8782000000000001</v>
      </c>
      <c r="AG66" s="18">
        <v>2.6791</v>
      </c>
      <c r="AH66" s="18">
        <v>2.4396</v>
      </c>
      <c r="AI66" s="18">
        <v>2.1698</v>
      </c>
      <c r="AJ66" s="18">
        <v>1.8441000000000001</v>
      </c>
      <c r="AK66" s="18">
        <v>1.5391999999999999</v>
      </c>
      <c r="AL66" s="18">
        <v>1.2259</v>
      </c>
      <c r="AM66" s="18">
        <v>0.92290000000000005</v>
      </c>
      <c r="AN66" s="18">
        <v>0.63080000000000003</v>
      </c>
      <c r="AO66" s="18">
        <v>0.36830000000000002</v>
      </c>
      <c r="AP66" s="18">
        <v>0.1072</v>
      </c>
      <c r="AQ66" s="18">
        <v>1.9800000000000002E-2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</row>
    <row r="67" spans="1:50" x14ac:dyDescent="0.25">
      <c r="A67" s="17" t="s">
        <v>189</v>
      </c>
      <c r="B67" s="13" t="s">
        <v>116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3.3999999999999998E-3</v>
      </c>
      <c r="K67" s="18">
        <v>4.9700000000000001E-2</v>
      </c>
      <c r="L67" s="18">
        <v>0.2326</v>
      </c>
      <c r="M67" s="18">
        <v>0.46129999999999999</v>
      </c>
      <c r="N67" s="18">
        <v>0.7419</v>
      </c>
      <c r="O67" s="18">
        <v>1.0479000000000001</v>
      </c>
      <c r="P67" s="18">
        <v>1.3576999999999999</v>
      </c>
      <c r="Q67" s="18">
        <v>1.6659999999999999</v>
      </c>
      <c r="R67" s="18">
        <v>1.9745999999999999</v>
      </c>
      <c r="S67" s="18">
        <v>2.2643</v>
      </c>
      <c r="T67" s="18">
        <v>2.5367000000000002</v>
      </c>
      <c r="U67" s="18">
        <v>2.7686000000000002</v>
      </c>
      <c r="V67" s="18">
        <v>2.9664000000000001</v>
      </c>
      <c r="W67" s="18">
        <v>3.14</v>
      </c>
      <c r="X67" s="18">
        <v>3.2833000000000001</v>
      </c>
      <c r="Y67" s="18">
        <v>3.3849999999999998</v>
      </c>
      <c r="Z67" s="18">
        <v>3.4296000000000002</v>
      </c>
      <c r="AA67" s="18">
        <v>3.4424999999999999</v>
      </c>
      <c r="AB67" s="18">
        <v>3.4182999999999999</v>
      </c>
      <c r="AC67" s="18">
        <v>3.3372000000000002</v>
      </c>
      <c r="AD67" s="18">
        <v>3.2132999999999998</v>
      </c>
      <c r="AE67" s="18">
        <v>3.0655000000000001</v>
      </c>
      <c r="AF67" s="18">
        <v>2.8782000000000001</v>
      </c>
      <c r="AG67" s="18">
        <v>2.6791</v>
      </c>
      <c r="AH67" s="18">
        <v>2.4396</v>
      </c>
      <c r="AI67" s="18">
        <v>2.1698</v>
      </c>
      <c r="AJ67" s="18">
        <v>1.8441000000000001</v>
      </c>
      <c r="AK67" s="18">
        <v>1.5391999999999999</v>
      </c>
      <c r="AL67" s="18">
        <v>1.2259</v>
      </c>
      <c r="AM67" s="18">
        <v>0.92290000000000005</v>
      </c>
      <c r="AN67" s="18">
        <v>0.63080000000000003</v>
      </c>
      <c r="AO67" s="18">
        <v>0.36830000000000002</v>
      </c>
      <c r="AP67" s="18">
        <v>0.1072</v>
      </c>
      <c r="AQ67" s="18">
        <v>1.9800000000000002E-2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</row>
    <row r="68" spans="1:50" x14ac:dyDescent="0.25">
      <c r="A68" s="17" t="s">
        <v>191</v>
      </c>
      <c r="B68" s="13" t="s">
        <v>116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1.2999999999999999E-3</v>
      </c>
      <c r="K68" s="18">
        <v>1.8700000000000001E-2</v>
      </c>
      <c r="L68" s="18">
        <v>8.72E-2</v>
      </c>
      <c r="M68" s="18">
        <v>0.17299999999999999</v>
      </c>
      <c r="N68" s="18">
        <v>0.2782</v>
      </c>
      <c r="O68" s="18">
        <v>0.39300000000000002</v>
      </c>
      <c r="P68" s="18">
        <v>0.50919999999999999</v>
      </c>
      <c r="Q68" s="18">
        <v>0.62470000000000003</v>
      </c>
      <c r="R68" s="18">
        <v>0.74050000000000005</v>
      </c>
      <c r="S68" s="18">
        <v>0.84909999999999997</v>
      </c>
      <c r="T68" s="18">
        <v>0.95120000000000005</v>
      </c>
      <c r="U68" s="18">
        <v>1.0382</v>
      </c>
      <c r="V68" s="18">
        <v>1.1124000000000001</v>
      </c>
      <c r="W68" s="18">
        <v>1.1775</v>
      </c>
      <c r="X68" s="18">
        <v>1.2312000000000001</v>
      </c>
      <c r="Y68" s="18">
        <v>1.2694000000000001</v>
      </c>
      <c r="Z68" s="18">
        <v>1.2861</v>
      </c>
      <c r="AA68" s="18">
        <v>1.2908999999999999</v>
      </c>
      <c r="AB68" s="18">
        <v>1.2819</v>
      </c>
      <c r="AC68" s="18">
        <v>1.2514000000000001</v>
      </c>
      <c r="AD68" s="18">
        <v>1.2050000000000001</v>
      </c>
      <c r="AE68" s="18">
        <v>1.1496</v>
      </c>
      <c r="AF68" s="18">
        <v>1.0792999999999999</v>
      </c>
      <c r="AG68" s="18">
        <v>1.0046999999999999</v>
      </c>
      <c r="AH68" s="18">
        <v>0.91479999999999995</v>
      </c>
      <c r="AI68" s="18">
        <v>0.81369999999999998</v>
      </c>
      <c r="AJ68" s="18">
        <v>0.6915</v>
      </c>
      <c r="AK68" s="18">
        <v>0.57720000000000005</v>
      </c>
      <c r="AL68" s="18">
        <v>0.4597</v>
      </c>
      <c r="AM68" s="18">
        <v>0.34610000000000002</v>
      </c>
      <c r="AN68" s="18">
        <v>0.23649999999999999</v>
      </c>
      <c r="AO68" s="18">
        <v>0.1381</v>
      </c>
      <c r="AP68" s="18">
        <v>4.02E-2</v>
      </c>
      <c r="AQ68" s="18">
        <v>7.4000000000000003E-3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17" t="s">
        <v>193</v>
      </c>
      <c r="B69" s="13" t="s">
        <v>116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1.2999999999999999E-3</v>
      </c>
      <c r="K69" s="18">
        <v>1.8700000000000001E-2</v>
      </c>
      <c r="L69" s="18">
        <v>8.72E-2</v>
      </c>
      <c r="M69" s="18">
        <v>0.17299999999999999</v>
      </c>
      <c r="N69" s="18">
        <v>0.2782</v>
      </c>
      <c r="O69" s="18">
        <v>0.39300000000000002</v>
      </c>
      <c r="P69" s="18">
        <v>0.50919999999999999</v>
      </c>
      <c r="Q69" s="18">
        <v>0.62470000000000003</v>
      </c>
      <c r="R69" s="18">
        <v>0.74050000000000005</v>
      </c>
      <c r="S69" s="18">
        <v>0.84909999999999997</v>
      </c>
      <c r="T69" s="18">
        <v>0.95120000000000005</v>
      </c>
      <c r="U69" s="18">
        <v>1.0382</v>
      </c>
      <c r="V69" s="18">
        <v>1.1124000000000001</v>
      </c>
      <c r="W69" s="18">
        <v>1.1775</v>
      </c>
      <c r="X69" s="18">
        <v>1.2312000000000001</v>
      </c>
      <c r="Y69" s="18">
        <v>1.2694000000000001</v>
      </c>
      <c r="Z69" s="18">
        <v>1.2861</v>
      </c>
      <c r="AA69" s="18">
        <v>1.2908999999999999</v>
      </c>
      <c r="AB69" s="18">
        <v>1.2819</v>
      </c>
      <c r="AC69" s="18">
        <v>1.2514000000000001</v>
      </c>
      <c r="AD69" s="18">
        <v>1.2050000000000001</v>
      </c>
      <c r="AE69" s="18">
        <v>1.1496</v>
      </c>
      <c r="AF69" s="18">
        <v>1.0792999999999999</v>
      </c>
      <c r="AG69" s="18">
        <v>1.0046999999999999</v>
      </c>
      <c r="AH69" s="18">
        <v>0.91479999999999995</v>
      </c>
      <c r="AI69" s="18">
        <v>0.81369999999999998</v>
      </c>
      <c r="AJ69" s="18">
        <v>0.6915</v>
      </c>
      <c r="AK69" s="18">
        <v>0.57720000000000005</v>
      </c>
      <c r="AL69" s="18">
        <v>0.4597</v>
      </c>
      <c r="AM69" s="18">
        <v>0.34610000000000002</v>
      </c>
      <c r="AN69" s="18">
        <v>0.23649999999999999</v>
      </c>
      <c r="AO69" s="18">
        <v>0.1381</v>
      </c>
      <c r="AP69" s="18">
        <v>4.02E-2</v>
      </c>
      <c r="AQ69" s="18">
        <v>7.4000000000000003E-3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</row>
    <row r="70" spans="1:50" x14ac:dyDescent="0.25">
      <c r="A70" s="8" t="s">
        <v>106</v>
      </c>
      <c r="B70" s="10" t="s">
        <v>57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</row>
    <row r="71" spans="1:50" x14ac:dyDescent="0.25">
      <c r="A71" s="17" t="s">
        <v>195</v>
      </c>
      <c r="B71" s="13" t="s">
        <v>116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3.3999999999999998E-3</v>
      </c>
      <c r="K71" s="18">
        <v>4.9700000000000001E-2</v>
      </c>
      <c r="L71" s="18">
        <v>0.2326</v>
      </c>
      <c r="M71" s="18">
        <v>0.46129999999999999</v>
      </c>
      <c r="N71" s="18">
        <v>0.7419</v>
      </c>
      <c r="O71" s="18">
        <v>1.0479000000000001</v>
      </c>
      <c r="P71" s="18">
        <v>1.3576999999999999</v>
      </c>
      <c r="Q71" s="18">
        <v>1.6659999999999999</v>
      </c>
      <c r="R71" s="18">
        <v>1.9745999999999999</v>
      </c>
      <c r="S71" s="18">
        <v>2.2643</v>
      </c>
      <c r="T71" s="18">
        <v>2.5367000000000002</v>
      </c>
      <c r="U71" s="18">
        <v>2.7686000000000002</v>
      </c>
      <c r="V71" s="18">
        <v>2.9664000000000001</v>
      </c>
      <c r="W71" s="18">
        <v>3.14</v>
      </c>
      <c r="X71" s="18">
        <v>3.2833000000000001</v>
      </c>
      <c r="Y71" s="18">
        <v>3.3849999999999998</v>
      </c>
      <c r="Z71" s="18">
        <v>3.4296000000000002</v>
      </c>
      <c r="AA71" s="18">
        <v>3.4424999999999999</v>
      </c>
      <c r="AB71" s="18">
        <v>3.4182999999999999</v>
      </c>
      <c r="AC71" s="18">
        <v>3.3372000000000002</v>
      </c>
      <c r="AD71" s="18">
        <v>3.2132999999999998</v>
      </c>
      <c r="AE71" s="18">
        <v>3.0655000000000001</v>
      </c>
      <c r="AF71" s="18">
        <v>2.8782000000000001</v>
      </c>
      <c r="AG71" s="18">
        <v>2.6791</v>
      </c>
      <c r="AH71" s="18">
        <v>2.4396</v>
      </c>
      <c r="AI71" s="18">
        <v>2.1698</v>
      </c>
      <c r="AJ71" s="18">
        <v>1.8441000000000001</v>
      </c>
      <c r="AK71" s="18">
        <v>1.5391999999999999</v>
      </c>
      <c r="AL71" s="18">
        <v>1.2259</v>
      </c>
      <c r="AM71" s="18">
        <v>0.92290000000000005</v>
      </c>
      <c r="AN71" s="18">
        <v>0.63080000000000003</v>
      </c>
      <c r="AO71" s="18">
        <v>0.36830000000000002</v>
      </c>
      <c r="AP71" s="18">
        <v>0.1072</v>
      </c>
      <c r="AQ71" s="18">
        <v>1.9800000000000002E-2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</row>
    <row r="72" spans="1:50" x14ac:dyDescent="0.25">
      <c r="A72" s="8" t="s">
        <v>108</v>
      </c>
      <c r="B72" s="10" t="s">
        <v>57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</row>
    <row r="73" spans="1:50" x14ac:dyDescent="0.25">
      <c r="A73" s="17" t="s">
        <v>197</v>
      </c>
      <c r="B73" s="13" t="s">
        <v>116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3.3999999999999998E-3</v>
      </c>
      <c r="K73" s="18">
        <v>4.9700000000000001E-2</v>
      </c>
      <c r="L73" s="18">
        <v>0.2326</v>
      </c>
      <c r="M73" s="18">
        <v>0.46129999999999999</v>
      </c>
      <c r="N73" s="18">
        <v>0.7419</v>
      </c>
      <c r="O73" s="18">
        <v>1.0479000000000001</v>
      </c>
      <c r="P73" s="18">
        <v>1.3576999999999999</v>
      </c>
      <c r="Q73" s="18">
        <v>1.6659999999999999</v>
      </c>
      <c r="R73" s="18">
        <v>1.9745999999999999</v>
      </c>
      <c r="S73" s="18">
        <v>2.2643</v>
      </c>
      <c r="T73" s="18">
        <v>2.5367000000000002</v>
      </c>
      <c r="U73" s="18">
        <v>2.7686000000000002</v>
      </c>
      <c r="V73" s="18">
        <v>2.9664000000000001</v>
      </c>
      <c r="W73" s="18">
        <v>3.14</v>
      </c>
      <c r="X73" s="18">
        <v>3.2833000000000001</v>
      </c>
      <c r="Y73" s="18">
        <v>3.3849999999999998</v>
      </c>
      <c r="Z73" s="18">
        <v>3.4296000000000002</v>
      </c>
      <c r="AA73" s="18">
        <v>3.4424999999999999</v>
      </c>
      <c r="AB73" s="18">
        <v>3.4182999999999999</v>
      </c>
      <c r="AC73" s="18">
        <v>3.3372000000000002</v>
      </c>
      <c r="AD73" s="18">
        <v>3.2132999999999998</v>
      </c>
      <c r="AE73" s="18">
        <v>3.0655000000000001</v>
      </c>
      <c r="AF73" s="18">
        <v>2.8782000000000001</v>
      </c>
      <c r="AG73" s="18">
        <v>2.6791</v>
      </c>
      <c r="AH73" s="18">
        <v>2.4396</v>
      </c>
      <c r="AI73" s="18">
        <v>2.1698</v>
      </c>
      <c r="AJ73" s="18">
        <v>1.8441000000000001</v>
      </c>
      <c r="AK73" s="18">
        <v>1.5391999999999999</v>
      </c>
      <c r="AL73" s="18">
        <v>1.2259</v>
      </c>
      <c r="AM73" s="18">
        <v>0.92290000000000005</v>
      </c>
      <c r="AN73" s="18">
        <v>0.63080000000000003</v>
      </c>
      <c r="AO73" s="18">
        <v>0.36830000000000002</v>
      </c>
      <c r="AP73" s="18">
        <v>0.1072</v>
      </c>
      <c r="AQ73" s="18">
        <v>1.9800000000000002E-2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</row>
    <row r="74" spans="1:50" x14ac:dyDescent="0.25">
      <c r="A74" s="17" t="s">
        <v>199</v>
      </c>
      <c r="B74" s="13" t="s">
        <v>116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3.3999999999999998E-3</v>
      </c>
      <c r="K74" s="18">
        <v>4.9700000000000001E-2</v>
      </c>
      <c r="L74" s="18">
        <v>0.2326</v>
      </c>
      <c r="M74" s="18">
        <v>0.46129999999999999</v>
      </c>
      <c r="N74" s="18">
        <v>0.7419</v>
      </c>
      <c r="O74" s="18">
        <v>1.0479000000000001</v>
      </c>
      <c r="P74" s="18">
        <v>1.3576999999999999</v>
      </c>
      <c r="Q74" s="18">
        <v>1.6659999999999999</v>
      </c>
      <c r="R74" s="18">
        <v>1.9745999999999999</v>
      </c>
      <c r="S74" s="18">
        <v>2.2643</v>
      </c>
      <c r="T74" s="18">
        <v>2.5367000000000002</v>
      </c>
      <c r="U74" s="18">
        <v>2.7686000000000002</v>
      </c>
      <c r="V74" s="18">
        <v>2.9664000000000001</v>
      </c>
      <c r="W74" s="18">
        <v>3.14</v>
      </c>
      <c r="X74" s="18">
        <v>3.2833000000000001</v>
      </c>
      <c r="Y74" s="18">
        <v>3.3849999999999998</v>
      </c>
      <c r="Z74" s="18">
        <v>3.4296000000000002</v>
      </c>
      <c r="AA74" s="18">
        <v>3.4424999999999999</v>
      </c>
      <c r="AB74" s="18">
        <v>3.4182999999999999</v>
      </c>
      <c r="AC74" s="18">
        <v>3.3372000000000002</v>
      </c>
      <c r="AD74" s="18">
        <v>3.2132999999999998</v>
      </c>
      <c r="AE74" s="18">
        <v>3.0655000000000001</v>
      </c>
      <c r="AF74" s="18">
        <v>2.8782000000000001</v>
      </c>
      <c r="AG74" s="18">
        <v>2.6791</v>
      </c>
      <c r="AH74" s="18">
        <v>2.4396</v>
      </c>
      <c r="AI74" s="18">
        <v>2.1698</v>
      </c>
      <c r="AJ74" s="18">
        <v>1.8441000000000001</v>
      </c>
      <c r="AK74" s="18">
        <v>1.5391999999999999</v>
      </c>
      <c r="AL74" s="18">
        <v>1.2259</v>
      </c>
      <c r="AM74" s="18">
        <v>0.92290000000000005</v>
      </c>
      <c r="AN74" s="18">
        <v>0.63080000000000003</v>
      </c>
      <c r="AO74" s="18">
        <v>0.36830000000000002</v>
      </c>
      <c r="AP74" s="18">
        <v>0.1072</v>
      </c>
      <c r="AQ74" s="18">
        <v>1.9800000000000002E-2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  <row r="75" spans="1:50" x14ac:dyDescent="0.25">
      <c r="A75" s="17" t="s">
        <v>201</v>
      </c>
      <c r="B75" s="13" t="s">
        <v>116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2.2000000000000001E-3</v>
      </c>
      <c r="K75" s="18">
        <v>3.1099999999999999E-2</v>
      </c>
      <c r="L75" s="18">
        <v>0.1454</v>
      </c>
      <c r="M75" s="18">
        <v>0.2883</v>
      </c>
      <c r="N75" s="18">
        <v>0.4637</v>
      </c>
      <c r="O75" s="18">
        <v>0.65490000000000004</v>
      </c>
      <c r="P75" s="18">
        <v>0.84860000000000002</v>
      </c>
      <c r="Q75" s="18">
        <v>1.0411999999999999</v>
      </c>
      <c r="R75" s="18">
        <v>1.2341</v>
      </c>
      <c r="S75" s="18">
        <v>1.4152</v>
      </c>
      <c r="T75" s="18">
        <v>1.5853999999999999</v>
      </c>
      <c r="U75" s="18">
        <v>1.7303999999999999</v>
      </c>
      <c r="V75" s="18">
        <v>1.8540000000000001</v>
      </c>
      <c r="W75" s="18">
        <v>1.9624999999999999</v>
      </c>
      <c r="X75" s="18">
        <v>2.0520999999999998</v>
      </c>
      <c r="Y75" s="18">
        <v>2.1156000000000001</v>
      </c>
      <c r="Z75" s="18">
        <v>2.1435</v>
      </c>
      <c r="AA75" s="18">
        <v>2.1516000000000002</v>
      </c>
      <c r="AB75" s="18">
        <v>2.1364999999999998</v>
      </c>
      <c r="AC75" s="18">
        <v>2.0857000000000001</v>
      </c>
      <c r="AD75" s="18">
        <v>2.0083000000000002</v>
      </c>
      <c r="AE75" s="18">
        <v>1.9158999999999999</v>
      </c>
      <c r="AF75" s="18">
        <v>1.7988999999999999</v>
      </c>
      <c r="AG75" s="18">
        <v>1.6745000000000001</v>
      </c>
      <c r="AH75" s="18">
        <v>1.5246999999999999</v>
      </c>
      <c r="AI75" s="18">
        <v>1.3561000000000001</v>
      </c>
      <c r="AJ75" s="18">
        <v>1.1525000000000001</v>
      </c>
      <c r="AK75" s="18">
        <v>0.96199999999999997</v>
      </c>
      <c r="AL75" s="18">
        <v>0.76619999999999999</v>
      </c>
      <c r="AM75" s="18">
        <v>0.57679999999999998</v>
      </c>
      <c r="AN75" s="18">
        <v>0.39419999999999999</v>
      </c>
      <c r="AO75" s="18">
        <v>0.23019999999999999</v>
      </c>
      <c r="AP75" s="18">
        <v>6.7000000000000004E-2</v>
      </c>
      <c r="AQ75" s="18">
        <v>1.24E-2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</row>
    <row r="76" spans="1:50" x14ac:dyDescent="0.25">
      <c r="A76" s="17" t="s">
        <v>203</v>
      </c>
      <c r="B76" s="13" t="s">
        <v>116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3.3999999999999998E-3</v>
      </c>
      <c r="K76" s="18">
        <v>4.9700000000000001E-2</v>
      </c>
      <c r="L76" s="18">
        <v>0.2326</v>
      </c>
      <c r="M76" s="18">
        <v>0.46129999999999999</v>
      </c>
      <c r="N76" s="18">
        <v>0.7419</v>
      </c>
      <c r="O76" s="18">
        <v>1.0479000000000001</v>
      </c>
      <c r="P76" s="18">
        <v>1.3576999999999999</v>
      </c>
      <c r="Q76" s="18">
        <v>1.6659999999999999</v>
      </c>
      <c r="R76" s="18">
        <v>1.9745999999999999</v>
      </c>
      <c r="S76" s="18">
        <v>2.2643</v>
      </c>
      <c r="T76" s="18">
        <v>2.5367000000000002</v>
      </c>
      <c r="U76" s="18">
        <v>2.7686000000000002</v>
      </c>
      <c r="V76" s="18">
        <v>2.9664000000000001</v>
      </c>
      <c r="W76" s="18">
        <v>3.14</v>
      </c>
      <c r="X76" s="18">
        <v>3.2833000000000001</v>
      </c>
      <c r="Y76" s="18">
        <v>3.3849999999999998</v>
      </c>
      <c r="Z76" s="18">
        <v>3.4296000000000002</v>
      </c>
      <c r="AA76" s="18">
        <v>3.4424999999999999</v>
      </c>
      <c r="AB76" s="18">
        <v>3.4182999999999999</v>
      </c>
      <c r="AC76" s="18">
        <v>3.3372000000000002</v>
      </c>
      <c r="AD76" s="18">
        <v>3.2132999999999998</v>
      </c>
      <c r="AE76" s="18">
        <v>3.0655000000000001</v>
      </c>
      <c r="AF76" s="18">
        <v>2.8782000000000001</v>
      </c>
      <c r="AG76" s="18">
        <v>2.6791</v>
      </c>
      <c r="AH76" s="18">
        <v>2.4396</v>
      </c>
      <c r="AI76" s="18">
        <v>2.1698</v>
      </c>
      <c r="AJ76" s="18">
        <v>1.8441000000000001</v>
      </c>
      <c r="AK76" s="18">
        <v>1.5391999999999999</v>
      </c>
      <c r="AL76" s="18">
        <v>1.2259</v>
      </c>
      <c r="AM76" s="18">
        <v>0.92290000000000005</v>
      </c>
      <c r="AN76" s="18">
        <v>0.63080000000000003</v>
      </c>
      <c r="AO76" s="18">
        <v>0.36830000000000002</v>
      </c>
      <c r="AP76" s="18">
        <v>0.1072</v>
      </c>
      <c r="AQ76" s="18">
        <v>1.9800000000000002E-2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</row>
    <row r="77" spans="1:50" x14ac:dyDescent="0.25">
      <c r="A77" s="8" t="s">
        <v>110</v>
      </c>
      <c r="B77" s="10" t="s">
        <v>57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</row>
    <row r="78" spans="1:50" x14ac:dyDescent="0.25">
      <c r="A78" s="8" t="s">
        <v>112</v>
      </c>
      <c r="B78" s="10" t="s">
        <v>57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</row>
    <row r="79" spans="1:50" x14ac:dyDescent="0.25">
      <c r="A79" s="17" t="s">
        <v>205</v>
      </c>
      <c r="B79" s="13" t="s">
        <v>116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3.3999999999999998E-3</v>
      </c>
      <c r="K79" s="18">
        <v>4.9700000000000001E-2</v>
      </c>
      <c r="L79" s="18">
        <v>0.2326</v>
      </c>
      <c r="M79" s="18">
        <v>0.46129999999999999</v>
      </c>
      <c r="N79" s="18">
        <v>0.7419</v>
      </c>
      <c r="O79" s="18">
        <v>1.0479000000000001</v>
      </c>
      <c r="P79" s="18">
        <v>1.3576999999999999</v>
      </c>
      <c r="Q79" s="18">
        <v>1.6659999999999999</v>
      </c>
      <c r="R79" s="18">
        <v>1.9745999999999999</v>
      </c>
      <c r="S79" s="18">
        <v>2.2643</v>
      </c>
      <c r="T79" s="18">
        <v>2.5367000000000002</v>
      </c>
      <c r="U79" s="18">
        <v>2.7686000000000002</v>
      </c>
      <c r="V79" s="18">
        <v>2.9664000000000001</v>
      </c>
      <c r="W79" s="18">
        <v>3.14</v>
      </c>
      <c r="X79" s="18">
        <v>3.2833000000000001</v>
      </c>
      <c r="Y79" s="18">
        <v>3.3849999999999998</v>
      </c>
      <c r="Z79" s="18">
        <v>3.4296000000000002</v>
      </c>
      <c r="AA79" s="18">
        <v>3.4424999999999999</v>
      </c>
      <c r="AB79" s="18">
        <v>3.4182999999999999</v>
      </c>
      <c r="AC79" s="18">
        <v>3.3372000000000002</v>
      </c>
      <c r="AD79" s="18">
        <v>3.2132999999999998</v>
      </c>
      <c r="AE79" s="18">
        <v>3.0655000000000001</v>
      </c>
      <c r="AF79" s="18">
        <v>2.8782000000000001</v>
      </c>
      <c r="AG79" s="18">
        <v>2.6791</v>
      </c>
      <c r="AH79" s="18">
        <v>2.4396</v>
      </c>
      <c r="AI79" s="18">
        <v>2.1698</v>
      </c>
      <c r="AJ79" s="18">
        <v>1.8441000000000001</v>
      </c>
      <c r="AK79" s="18">
        <v>1.5391999999999999</v>
      </c>
      <c r="AL79" s="18">
        <v>1.2259</v>
      </c>
      <c r="AM79" s="18">
        <v>0.92290000000000005</v>
      </c>
      <c r="AN79" s="18">
        <v>0.63080000000000003</v>
      </c>
      <c r="AO79" s="18">
        <v>0.36830000000000002</v>
      </c>
      <c r="AP79" s="18">
        <v>0.1072</v>
      </c>
      <c r="AQ79" s="18">
        <v>1.9800000000000002E-2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257</v>
      </c>
    </row>
    <row r="2" spans="1:50" x14ac:dyDescent="0.25">
      <c r="A2" s="29" t="s">
        <v>258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209</v>
      </c>
      <c r="D4" s="5" t="s">
        <v>210</v>
      </c>
      <c r="E4" s="5" t="s">
        <v>211</v>
      </c>
      <c r="F4" s="5" t="s">
        <v>212</v>
      </c>
      <c r="G4" s="5" t="s">
        <v>213</v>
      </c>
      <c r="H4" s="5" t="s">
        <v>214</v>
      </c>
      <c r="I4" s="5" t="s">
        <v>215</v>
      </c>
      <c r="J4" s="5" t="s">
        <v>216</v>
      </c>
      <c r="K4" s="5" t="s">
        <v>217</v>
      </c>
      <c r="L4" s="5" t="s">
        <v>218</v>
      </c>
      <c r="M4" s="5" t="s">
        <v>219</v>
      </c>
      <c r="N4" s="5" t="s">
        <v>220</v>
      </c>
      <c r="O4" s="5" t="s">
        <v>221</v>
      </c>
      <c r="P4" s="5" t="s">
        <v>222</v>
      </c>
      <c r="Q4" s="5" t="s">
        <v>223</v>
      </c>
      <c r="R4" s="5" t="s">
        <v>224</v>
      </c>
      <c r="S4" s="5" t="s">
        <v>225</v>
      </c>
      <c r="T4" s="5" t="s">
        <v>226</v>
      </c>
      <c r="U4" s="5" t="s">
        <v>227</v>
      </c>
      <c r="V4" s="5" t="s">
        <v>228</v>
      </c>
      <c r="W4" s="5" t="s">
        <v>229</v>
      </c>
      <c r="X4" s="5" t="s">
        <v>230</v>
      </c>
      <c r="Y4" s="5" t="s">
        <v>231</v>
      </c>
      <c r="Z4" s="5" t="s">
        <v>232</v>
      </c>
      <c r="AA4" s="5" t="s">
        <v>233</v>
      </c>
      <c r="AB4" s="5" t="s">
        <v>234</v>
      </c>
      <c r="AC4" s="5" t="s">
        <v>235</v>
      </c>
      <c r="AD4" s="5" t="s">
        <v>236</v>
      </c>
      <c r="AE4" s="5" t="s">
        <v>237</v>
      </c>
      <c r="AF4" s="5" t="s">
        <v>238</v>
      </c>
      <c r="AG4" s="5" t="s">
        <v>239</v>
      </c>
      <c r="AH4" s="5" t="s">
        <v>240</v>
      </c>
      <c r="AI4" s="5" t="s">
        <v>241</v>
      </c>
      <c r="AJ4" s="5" t="s">
        <v>242</v>
      </c>
      <c r="AK4" s="5" t="s">
        <v>243</v>
      </c>
      <c r="AL4" s="5" t="s">
        <v>244</v>
      </c>
      <c r="AM4" s="5" t="s">
        <v>245</v>
      </c>
      <c r="AN4" s="5" t="s">
        <v>246</v>
      </c>
      <c r="AO4" s="5" t="s">
        <v>247</v>
      </c>
      <c r="AP4" s="5" t="s">
        <v>248</v>
      </c>
      <c r="AQ4" s="5" t="s">
        <v>249</v>
      </c>
      <c r="AR4" s="5" t="s">
        <v>250</v>
      </c>
      <c r="AS4" s="5" t="s">
        <v>251</v>
      </c>
      <c r="AT4" s="5" t="s">
        <v>252</v>
      </c>
      <c r="AU4" s="5" t="s">
        <v>253</v>
      </c>
      <c r="AV4" s="5" t="s">
        <v>254</v>
      </c>
      <c r="AW4" s="5" t="s">
        <v>255</v>
      </c>
      <c r="AX4" s="5" t="s">
        <v>256</v>
      </c>
    </row>
    <row r="5" spans="1:50" x14ac:dyDescent="0.25">
      <c r="A5" s="8" t="s">
        <v>55</v>
      </c>
      <c r="B5" s="10" t="s">
        <v>57</v>
      </c>
      <c r="C5" s="16">
        <v>0.20669999999999999</v>
      </c>
      <c r="D5" s="16">
        <v>0.1135</v>
      </c>
      <c r="E5" s="16">
        <v>5.62E-2</v>
      </c>
      <c r="F5" s="16">
        <v>0.22720000000000001</v>
      </c>
      <c r="G5" s="16">
        <v>0.1012</v>
      </c>
      <c r="H5" s="16">
        <v>8.48E-2</v>
      </c>
      <c r="I5" s="16">
        <v>0.24360000000000001</v>
      </c>
      <c r="J5" s="16">
        <v>4.8000000000000001E-2</v>
      </c>
      <c r="K5" s="16">
        <v>4.8000000000000001E-2</v>
      </c>
      <c r="L5" s="16">
        <v>0.20669999999999999</v>
      </c>
      <c r="M5" s="16">
        <v>4.8000000000000001E-2</v>
      </c>
      <c r="N5" s="16">
        <v>9.2999999999999999E-2</v>
      </c>
      <c r="O5" s="16">
        <v>0.22819999999999999</v>
      </c>
      <c r="P5" s="16">
        <v>5.5199999999999999E-2</v>
      </c>
      <c r="Q5" s="16">
        <v>0.14180000000000001</v>
      </c>
      <c r="R5" s="16">
        <v>0.1129</v>
      </c>
      <c r="S5" s="16">
        <v>0.12189999999999999</v>
      </c>
      <c r="T5" s="16">
        <v>6.2799999999999995E-2</v>
      </c>
      <c r="U5" s="16">
        <v>0.25380000000000003</v>
      </c>
      <c r="V5" s="16">
        <v>0.1077</v>
      </c>
      <c r="W5" s="16">
        <v>6.3700000000000007E-2</v>
      </c>
      <c r="X5" s="16">
        <v>9.8500000000000004E-2</v>
      </c>
      <c r="Y5" s="16">
        <v>0.20669999999999999</v>
      </c>
      <c r="Z5" s="16">
        <v>4.8000000000000001E-2</v>
      </c>
      <c r="AA5" s="16">
        <v>0.1076</v>
      </c>
      <c r="AB5" s="16">
        <v>0.23300000000000001</v>
      </c>
      <c r="AC5" s="16">
        <v>9.5399999999999999E-2</v>
      </c>
      <c r="AD5" s="16">
        <v>4.8000000000000001E-2</v>
      </c>
      <c r="AE5" s="16">
        <v>0.28510000000000002</v>
      </c>
      <c r="AF5" s="16">
        <v>4.8000000000000001E-2</v>
      </c>
      <c r="AG5" s="16">
        <v>0.1217</v>
      </c>
      <c r="AH5" s="16">
        <v>0.20669999999999999</v>
      </c>
      <c r="AI5" s="16">
        <v>4.8000000000000001E-2</v>
      </c>
      <c r="AJ5" s="16">
        <v>0.18659999999999999</v>
      </c>
      <c r="AK5" s="16">
        <v>0.14180000000000001</v>
      </c>
      <c r="AL5" s="16">
        <v>5.7299999999999997E-2</v>
      </c>
      <c r="AM5" s="16">
        <v>0.26119999999999999</v>
      </c>
      <c r="AN5" s="16">
        <v>1.5528999999999999</v>
      </c>
      <c r="AO5" s="16">
        <v>1.5819000000000001</v>
      </c>
      <c r="AP5" s="16">
        <v>0.70789999999999997</v>
      </c>
      <c r="AQ5" s="16">
        <v>0.33360000000000001</v>
      </c>
      <c r="AR5" s="16">
        <v>0.47089999999999999</v>
      </c>
      <c r="AS5" s="16">
        <v>1.0342</v>
      </c>
      <c r="AT5" s="16">
        <v>1.0733999999999999</v>
      </c>
      <c r="AU5" s="16">
        <v>0.44690000000000002</v>
      </c>
      <c r="AV5" s="16">
        <v>0.68700000000000006</v>
      </c>
      <c r="AW5" s="16">
        <v>0.90720000000000001</v>
      </c>
      <c r="AX5" s="16">
        <v>1.0773999999999999</v>
      </c>
    </row>
    <row r="6" spans="1:50" x14ac:dyDescent="0.25">
      <c r="A6" s="17" t="s">
        <v>114</v>
      </c>
      <c r="B6" s="13" t="s">
        <v>116</v>
      </c>
      <c r="C6" s="18">
        <v>0.36969999999999997</v>
      </c>
      <c r="D6" s="18">
        <v>4.9000000000000002E-2</v>
      </c>
      <c r="E6" s="18">
        <v>0.1196</v>
      </c>
      <c r="F6" s="18">
        <v>0.17760000000000001</v>
      </c>
      <c r="G6" s="18">
        <v>8.6599999999999996E-2</v>
      </c>
      <c r="H6" s="18">
        <v>0.21060000000000001</v>
      </c>
      <c r="I6" s="18">
        <v>0.12429999999999999</v>
      </c>
      <c r="J6" s="18">
        <v>0.1479</v>
      </c>
      <c r="K6" s="18">
        <v>0.11799999999999999</v>
      </c>
      <c r="L6" s="18">
        <v>0.12509999999999999</v>
      </c>
      <c r="M6" s="18">
        <v>0.14080000000000001</v>
      </c>
      <c r="N6" s="18">
        <v>0.18079999999999999</v>
      </c>
      <c r="O6" s="18">
        <v>0.1542</v>
      </c>
      <c r="P6" s="18">
        <v>4.9799999999999997E-2</v>
      </c>
      <c r="Q6" s="18">
        <v>1.1303000000000001</v>
      </c>
      <c r="R6" s="18">
        <v>0.2848</v>
      </c>
      <c r="S6" s="18">
        <v>0.2394</v>
      </c>
      <c r="T6" s="18">
        <v>2.6547000000000001</v>
      </c>
      <c r="U6" s="18">
        <v>2.7219000000000002</v>
      </c>
      <c r="V6" s="18">
        <v>1.0703</v>
      </c>
      <c r="W6" s="18">
        <v>1.3337000000000001</v>
      </c>
      <c r="X6" s="18">
        <v>0.2487</v>
      </c>
      <c r="Y6" s="18">
        <v>0.16819999999999999</v>
      </c>
      <c r="Z6" s="18">
        <v>0.1479</v>
      </c>
      <c r="AA6" s="18">
        <v>0.40579999999999999</v>
      </c>
      <c r="AB6" s="18">
        <v>7.4700000000000003E-2</v>
      </c>
      <c r="AC6" s="18">
        <v>0.30059999999999998</v>
      </c>
      <c r="AD6" s="18">
        <v>1.2539</v>
      </c>
      <c r="AE6" s="18">
        <v>0.16589999999999999</v>
      </c>
      <c r="AF6" s="18">
        <v>0.1245</v>
      </c>
      <c r="AG6" s="18">
        <v>0.20830000000000001</v>
      </c>
      <c r="AH6" s="18">
        <v>1.0122</v>
      </c>
      <c r="AI6" s="18">
        <v>0.2064</v>
      </c>
      <c r="AJ6" s="18">
        <v>0.53649999999999998</v>
      </c>
      <c r="AK6" s="18">
        <v>1.2464</v>
      </c>
      <c r="AL6" s="18">
        <v>6.2300000000000001E-2</v>
      </c>
      <c r="AM6" s="18">
        <v>0.32269999999999999</v>
      </c>
      <c r="AN6" s="18">
        <v>0.36249999999999999</v>
      </c>
      <c r="AO6" s="18">
        <v>9.8500000000000004E-2</v>
      </c>
      <c r="AP6" s="18">
        <v>0.26179999999999998</v>
      </c>
      <c r="AQ6" s="18">
        <v>0.30769999999999997</v>
      </c>
      <c r="AR6" s="18">
        <v>0.30570000000000003</v>
      </c>
      <c r="AS6" s="18">
        <v>0.18060000000000001</v>
      </c>
      <c r="AT6" s="18">
        <v>0.5383</v>
      </c>
      <c r="AU6" s="18">
        <v>0.58699999999999997</v>
      </c>
      <c r="AV6" s="18">
        <v>0.48580000000000001</v>
      </c>
      <c r="AW6" s="18">
        <v>0.65300000000000002</v>
      </c>
      <c r="AX6" s="18">
        <v>4.9000000000000002E-2</v>
      </c>
    </row>
    <row r="7" spans="1:50" x14ac:dyDescent="0.25">
      <c r="A7" s="17" t="s">
        <v>117</v>
      </c>
      <c r="B7" s="13" t="s">
        <v>116</v>
      </c>
      <c r="C7" s="18">
        <v>0.2006</v>
      </c>
      <c r="D7" s="18">
        <v>4.3999999999999997E-2</v>
      </c>
      <c r="E7" s="18">
        <v>4.3999999999999997E-2</v>
      </c>
      <c r="F7" s="18">
        <v>0.1827</v>
      </c>
      <c r="G7" s="18">
        <v>0.17399999999999999</v>
      </c>
      <c r="H7" s="18">
        <v>4.3999999999999997E-2</v>
      </c>
      <c r="I7" s="18">
        <v>0.23319999999999999</v>
      </c>
      <c r="J7" s="18">
        <v>0.1234</v>
      </c>
      <c r="K7" s="18">
        <v>0.14280000000000001</v>
      </c>
      <c r="L7" s="18">
        <v>5.5E-2</v>
      </c>
      <c r="M7" s="18">
        <v>0.29620000000000002</v>
      </c>
      <c r="N7" s="18">
        <v>6.0499999999999998E-2</v>
      </c>
      <c r="O7" s="18">
        <v>0.25629999999999997</v>
      </c>
      <c r="P7" s="18">
        <v>0.1003</v>
      </c>
      <c r="Q7" s="18">
        <v>4.3999999999999997E-2</v>
      </c>
      <c r="R7" s="18">
        <v>0.15379999999999999</v>
      </c>
      <c r="S7" s="18">
        <v>0.2029</v>
      </c>
      <c r="T7" s="18">
        <v>8.7900000000000006E-2</v>
      </c>
      <c r="U7" s="18">
        <v>0.30830000000000002</v>
      </c>
      <c r="V7" s="18">
        <v>6.5699999999999995E-2</v>
      </c>
      <c r="W7" s="18">
        <v>0.15379999999999999</v>
      </c>
      <c r="X7" s="18">
        <v>6.1499999999999999E-2</v>
      </c>
      <c r="Y7" s="18">
        <v>0.50360000000000005</v>
      </c>
      <c r="Z7" s="18">
        <v>5.3999999999999999E-2</v>
      </c>
      <c r="AA7" s="18">
        <v>4.3999999999999997E-2</v>
      </c>
      <c r="AB7" s="18">
        <v>0.15379999999999999</v>
      </c>
      <c r="AC7" s="18">
        <v>0.30649999999999999</v>
      </c>
      <c r="AD7" s="18">
        <v>0.13550000000000001</v>
      </c>
      <c r="AE7" s="18">
        <v>6.9000000000000006E-2</v>
      </c>
      <c r="AF7" s="18">
        <v>0.17580000000000001</v>
      </c>
      <c r="AG7" s="18">
        <v>2.4487000000000001</v>
      </c>
      <c r="AH7" s="18">
        <v>0.1822</v>
      </c>
      <c r="AI7" s="18">
        <v>1.4101999999999999</v>
      </c>
      <c r="AJ7" s="18">
        <v>1.2889999999999999</v>
      </c>
      <c r="AK7" s="18">
        <v>8.5099999999999995E-2</v>
      </c>
      <c r="AL7" s="18">
        <v>0.43809999999999999</v>
      </c>
      <c r="AM7" s="18">
        <v>0.38719999999999999</v>
      </c>
      <c r="AN7" s="18">
        <v>2.4521999999999999</v>
      </c>
      <c r="AO7" s="18">
        <v>0.1038</v>
      </c>
      <c r="AP7" s="18">
        <v>0.443</v>
      </c>
      <c r="AQ7" s="18">
        <v>0.30280000000000001</v>
      </c>
      <c r="AR7" s="18">
        <v>0.40989999999999999</v>
      </c>
      <c r="AS7" s="18">
        <v>0.36909999999999998</v>
      </c>
      <c r="AT7" s="18">
        <v>0.27089999999999997</v>
      </c>
      <c r="AU7" s="18">
        <v>0.17899999999999999</v>
      </c>
      <c r="AV7" s="18">
        <v>0.42759999999999998</v>
      </c>
      <c r="AW7" s="18">
        <v>0.38009999999999999</v>
      </c>
      <c r="AX7" s="18">
        <v>0.187</v>
      </c>
    </row>
    <row r="8" spans="1:50" x14ac:dyDescent="0.25">
      <c r="A8" s="17" t="s">
        <v>119</v>
      </c>
      <c r="B8" s="13" t="s">
        <v>116</v>
      </c>
      <c r="C8" s="18">
        <v>0.16300000000000001</v>
      </c>
      <c r="D8" s="18">
        <v>0.05</v>
      </c>
      <c r="E8" s="18">
        <v>0.22750000000000001</v>
      </c>
      <c r="F8" s="18">
        <v>0.05</v>
      </c>
      <c r="G8" s="18">
        <v>0.20330000000000001</v>
      </c>
      <c r="H8" s="18">
        <v>7.4200000000000002E-2</v>
      </c>
      <c r="I8" s="18">
        <v>8.2299999999999998E-2</v>
      </c>
      <c r="J8" s="18">
        <v>0.19520000000000001</v>
      </c>
      <c r="K8" s="18">
        <v>0.05</v>
      </c>
      <c r="L8" s="18">
        <v>0.05</v>
      </c>
      <c r="M8" s="18">
        <v>7.4200000000000002E-2</v>
      </c>
      <c r="N8" s="18">
        <v>0.20330000000000001</v>
      </c>
      <c r="O8" s="18">
        <v>0.05</v>
      </c>
      <c r="P8" s="18">
        <v>0.22750000000000001</v>
      </c>
      <c r="Q8" s="18">
        <v>0.05</v>
      </c>
      <c r="R8" s="18">
        <v>0.13880000000000001</v>
      </c>
      <c r="S8" s="18">
        <v>0.14799999999999999</v>
      </c>
      <c r="T8" s="18">
        <v>0.05</v>
      </c>
      <c r="U8" s="18">
        <v>0.22750000000000001</v>
      </c>
      <c r="V8" s="18">
        <v>0.27839999999999998</v>
      </c>
      <c r="W8" s="18">
        <v>0.17100000000000001</v>
      </c>
      <c r="X8" s="18">
        <v>0.1255</v>
      </c>
      <c r="Y8" s="18">
        <v>6.2E-2</v>
      </c>
      <c r="Z8" s="18">
        <v>1.3843000000000001</v>
      </c>
      <c r="AA8" s="18">
        <v>0.20219999999999999</v>
      </c>
      <c r="AB8" s="18">
        <v>1.5182</v>
      </c>
      <c r="AC8" s="18">
        <v>0.3755</v>
      </c>
      <c r="AD8" s="18">
        <v>0.46010000000000001</v>
      </c>
      <c r="AE8" s="18">
        <v>0.31490000000000001</v>
      </c>
      <c r="AF8" s="18">
        <v>0.1772</v>
      </c>
      <c r="AG8" s="18">
        <v>0.1193</v>
      </c>
      <c r="AH8" s="18">
        <v>6.6100000000000006E-2</v>
      </c>
      <c r="AI8" s="18">
        <v>0.2114</v>
      </c>
      <c r="AJ8" s="18">
        <v>0.05</v>
      </c>
      <c r="AK8" s="18">
        <v>0.43619999999999998</v>
      </c>
      <c r="AL8" s="18">
        <v>8.1799999999999998E-2</v>
      </c>
      <c r="AM8" s="18">
        <v>0.55520000000000003</v>
      </c>
      <c r="AN8" s="18">
        <v>0.31919999999999998</v>
      </c>
      <c r="AO8" s="18">
        <v>0.12</v>
      </c>
      <c r="AP8" s="18">
        <v>0.39560000000000001</v>
      </c>
      <c r="AQ8" s="18">
        <v>0.36840000000000001</v>
      </c>
      <c r="AR8" s="18">
        <v>0.57699999999999996</v>
      </c>
      <c r="AS8" s="18">
        <v>0.70430000000000004</v>
      </c>
      <c r="AT8" s="18">
        <v>0.37840000000000001</v>
      </c>
      <c r="AU8" s="18">
        <v>0.5726</v>
      </c>
      <c r="AV8" s="18">
        <v>0.1673</v>
      </c>
      <c r="AW8" s="18">
        <v>0.15490000000000001</v>
      </c>
      <c r="AX8" s="18">
        <v>0.1226</v>
      </c>
    </row>
    <row r="9" spans="1:50" x14ac:dyDescent="0.25">
      <c r="A9" s="17" t="s">
        <v>121</v>
      </c>
      <c r="B9" s="13" t="s">
        <v>116</v>
      </c>
      <c r="C9" s="18">
        <v>5.8000000000000003E-2</v>
      </c>
      <c r="D9" s="18">
        <v>0.2545</v>
      </c>
      <c r="E9" s="18">
        <v>0.13700000000000001</v>
      </c>
      <c r="F9" s="18">
        <v>5.8000000000000003E-2</v>
      </c>
      <c r="G9" s="18">
        <v>0.25180000000000002</v>
      </c>
      <c r="H9" s="18">
        <v>0.13969999999999999</v>
      </c>
      <c r="I9" s="18">
        <v>5.8000000000000003E-2</v>
      </c>
      <c r="J9" s="18">
        <v>0.193</v>
      </c>
      <c r="K9" s="18">
        <v>0.19850000000000001</v>
      </c>
      <c r="L9" s="18">
        <v>0.1709</v>
      </c>
      <c r="M9" s="18">
        <v>5.8000000000000003E-2</v>
      </c>
      <c r="N9" s="18">
        <v>0.15390000000000001</v>
      </c>
      <c r="O9" s="18">
        <v>0.18579999999999999</v>
      </c>
      <c r="P9" s="18">
        <v>0.1888</v>
      </c>
      <c r="Q9" s="18">
        <v>9.1899999999999996E-2</v>
      </c>
      <c r="R9" s="18">
        <v>0.2545</v>
      </c>
      <c r="S9" s="18">
        <v>0.13700000000000001</v>
      </c>
      <c r="T9" s="18">
        <v>0.17449999999999999</v>
      </c>
      <c r="U9" s="18">
        <v>0.217</v>
      </c>
      <c r="V9" s="18">
        <v>5.8000000000000003E-2</v>
      </c>
      <c r="W9" s="18">
        <v>0.44550000000000001</v>
      </c>
      <c r="X9" s="18">
        <v>0.39839999999999998</v>
      </c>
      <c r="Y9" s="18">
        <v>0.52900000000000003</v>
      </c>
      <c r="Z9" s="18">
        <v>0.2712</v>
      </c>
      <c r="AA9" s="18">
        <v>0.28410000000000002</v>
      </c>
      <c r="AB9" s="18">
        <v>1.0891</v>
      </c>
      <c r="AC9" s="18">
        <v>0.43070000000000003</v>
      </c>
      <c r="AD9" s="18">
        <v>0.26679999999999998</v>
      </c>
      <c r="AE9" s="18">
        <v>0.37469999999999998</v>
      </c>
      <c r="AF9" s="18">
        <v>0.1401</v>
      </c>
      <c r="AG9" s="18">
        <v>0.37919999999999998</v>
      </c>
      <c r="AH9" s="18">
        <v>0.23630000000000001</v>
      </c>
      <c r="AI9" s="18">
        <v>5.8000000000000003E-2</v>
      </c>
      <c r="AJ9" s="18">
        <v>0.1923</v>
      </c>
      <c r="AK9" s="18">
        <v>0.1993</v>
      </c>
      <c r="AL9" s="18">
        <v>0.12570000000000001</v>
      </c>
      <c r="AM9" s="18">
        <v>0.26579999999999998</v>
      </c>
      <c r="AN9" s="18">
        <v>7.4899999999999994E-2</v>
      </c>
      <c r="AO9" s="18">
        <v>0.2944</v>
      </c>
      <c r="AP9" s="18">
        <v>8.0199999999999994E-2</v>
      </c>
      <c r="AQ9" s="18">
        <v>0.44740000000000002</v>
      </c>
      <c r="AR9" s="18">
        <v>0.2472</v>
      </c>
      <c r="AS9" s="18">
        <v>0.63300000000000001</v>
      </c>
      <c r="AT9" s="18">
        <v>0.27339999999999998</v>
      </c>
      <c r="AU9" s="18">
        <v>0.5181</v>
      </c>
      <c r="AV9" s="18">
        <v>0.58240000000000003</v>
      </c>
      <c r="AW9" s="18">
        <v>0.71079999999999999</v>
      </c>
      <c r="AX9" s="18">
        <v>0.54890000000000005</v>
      </c>
    </row>
    <row r="10" spans="1:50" x14ac:dyDescent="0.25">
      <c r="A10" s="17" t="s">
        <v>123</v>
      </c>
      <c r="B10" s="13" t="s">
        <v>116</v>
      </c>
      <c r="C10" s="18">
        <v>0.24260000000000001</v>
      </c>
      <c r="D10" s="18">
        <v>0.3286</v>
      </c>
      <c r="E10" s="18">
        <v>0.3281</v>
      </c>
      <c r="F10" s="18">
        <v>0.23130000000000001</v>
      </c>
      <c r="G10" s="18">
        <v>5.5E-2</v>
      </c>
      <c r="H10" s="18">
        <v>5.5E-2</v>
      </c>
      <c r="I10" s="18">
        <v>5.5E-2</v>
      </c>
      <c r="J10" s="18">
        <v>5.5E-2</v>
      </c>
      <c r="K10" s="18">
        <v>5.5E-2</v>
      </c>
      <c r="L10" s="18">
        <v>5.5E-2</v>
      </c>
      <c r="M10" s="18">
        <v>5.5E-2</v>
      </c>
      <c r="N10" s="18">
        <v>5.5E-2</v>
      </c>
      <c r="O10" s="18">
        <v>5.5E-2</v>
      </c>
      <c r="P10" s="18">
        <v>0.18459999999999999</v>
      </c>
      <c r="Q10" s="18">
        <v>0.28320000000000001</v>
      </c>
      <c r="R10" s="18">
        <v>0.1825</v>
      </c>
      <c r="S10" s="18">
        <v>0.69199999999999995</v>
      </c>
      <c r="T10" s="18">
        <v>0.77990000000000004</v>
      </c>
      <c r="U10" s="18">
        <v>0.21060000000000001</v>
      </c>
      <c r="V10" s="18">
        <v>0.16700000000000001</v>
      </c>
      <c r="W10" s="18">
        <v>0.21060000000000001</v>
      </c>
      <c r="X10" s="18">
        <v>0.18870000000000001</v>
      </c>
      <c r="Y10" s="18">
        <v>0.32919999999999999</v>
      </c>
      <c r="Z10" s="18">
        <v>1.1287</v>
      </c>
      <c r="AA10" s="18">
        <v>0.13420000000000001</v>
      </c>
      <c r="AB10" s="18">
        <v>0.13009999999999999</v>
      </c>
      <c r="AC10" s="18">
        <v>7.0499999999999993E-2</v>
      </c>
      <c r="AD10" s="18">
        <v>7.0499999999999993E-2</v>
      </c>
      <c r="AE10" s="18">
        <v>5.5E-2</v>
      </c>
      <c r="AF10" s="18">
        <v>5.5E-2</v>
      </c>
      <c r="AG10" s="18">
        <v>5.5E-2</v>
      </c>
      <c r="AH10" s="18">
        <v>5.5E-2</v>
      </c>
      <c r="AI10" s="18">
        <v>5.5E-2</v>
      </c>
      <c r="AJ10" s="18">
        <v>5.5E-2</v>
      </c>
      <c r="AK10" s="18">
        <v>0.28270000000000001</v>
      </c>
      <c r="AL10" s="18">
        <v>0.14860000000000001</v>
      </c>
      <c r="AM10" s="18">
        <v>7.5499999999999998E-2</v>
      </c>
      <c r="AN10" s="18">
        <v>0.17100000000000001</v>
      </c>
      <c r="AO10" s="18">
        <v>0.13159999999999999</v>
      </c>
      <c r="AP10" s="18">
        <v>0.1852</v>
      </c>
      <c r="AQ10" s="18">
        <v>0.1421</v>
      </c>
      <c r="AR10" s="18">
        <v>5.5E-2</v>
      </c>
      <c r="AS10" s="18">
        <v>5.5E-2</v>
      </c>
      <c r="AT10" s="18">
        <v>5.5E-2</v>
      </c>
      <c r="AU10" s="18">
        <v>5.5E-2</v>
      </c>
      <c r="AV10" s="18">
        <v>5.5E-2</v>
      </c>
      <c r="AW10" s="18">
        <v>5.5E-2</v>
      </c>
      <c r="AX10" s="18">
        <v>5.5E-2</v>
      </c>
    </row>
    <row r="11" spans="1:50" x14ac:dyDescent="0.25">
      <c r="A11" s="17" t="s">
        <v>125</v>
      </c>
      <c r="B11" s="13" t="s">
        <v>116</v>
      </c>
      <c r="C11" s="18">
        <v>0.12379999999999999</v>
      </c>
      <c r="D11" s="18">
        <v>3.5000000000000003E-2</v>
      </c>
      <c r="E11" s="18">
        <v>3.5000000000000003E-2</v>
      </c>
      <c r="F11" s="18">
        <v>0.2051</v>
      </c>
      <c r="G11" s="18">
        <v>8.8499999999999995E-2</v>
      </c>
      <c r="H11" s="18">
        <v>7.2099999999999997E-2</v>
      </c>
      <c r="I11" s="18">
        <v>0.2215</v>
      </c>
      <c r="J11" s="18">
        <v>3.5000000000000003E-2</v>
      </c>
      <c r="K11" s="18">
        <v>3.5000000000000003E-2</v>
      </c>
      <c r="L11" s="18">
        <v>3.5000000000000003E-2</v>
      </c>
      <c r="M11" s="18">
        <v>0.191</v>
      </c>
      <c r="N11" s="18">
        <v>0.1026</v>
      </c>
      <c r="O11" s="18">
        <v>3.5000000000000003E-2</v>
      </c>
      <c r="P11" s="18">
        <v>0.23849999999999999</v>
      </c>
      <c r="Q11" s="18">
        <v>5.5100000000000003E-2</v>
      </c>
      <c r="R11" s="18">
        <v>0.2359</v>
      </c>
      <c r="S11" s="18">
        <v>1.1403000000000001</v>
      </c>
      <c r="T11" s="18">
        <v>0.19320000000000001</v>
      </c>
      <c r="U11" s="18">
        <v>0.31290000000000001</v>
      </c>
      <c r="V11" s="18">
        <v>0.29449999999999998</v>
      </c>
      <c r="W11" s="18">
        <v>0.14940000000000001</v>
      </c>
      <c r="X11" s="18">
        <v>0.16309999999999999</v>
      </c>
      <c r="Y11" s="18">
        <v>5.5300000000000002E-2</v>
      </c>
      <c r="Z11" s="18">
        <v>0.19839999999999999</v>
      </c>
      <c r="AA11" s="18">
        <v>3.5000000000000003E-2</v>
      </c>
      <c r="AB11" s="18">
        <v>0.16650000000000001</v>
      </c>
      <c r="AC11" s="18">
        <v>0.1142</v>
      </c>
      <c r="AD11" s="18">
        <v>0.47720000000000001</v>
      </c>
      <c r="AE11" s="18">
        <v>0.36449999999999999</v>
      </c>
      <c r="AF11" s="18">
        <v>0.14169999999999999</v>
      </c>
      <c r="AG11" s="18">
        <v>1.4256</v>
      </c>
      <c r="AH11" s="18">
        <v>1.0310999999999999</v>
      </c>
      <c r="AI11" s="18">
        <v>0.20180000000000001</v>
      </c>
      <c r="AJ11" s="18">
        <v>9.1899999999999996E-2</v>
      </c>
      <c r="AK11" s="18">
        <v>0.1613</v>
      </c>
      <c r="AL11" s="18">
        <v>7.5600000000000001E-2</v>
      </c>
      <c r="AM11" s="18">
        <v>0.50239999999999996</v>
      </c>
      <c r="AN11" s="18">
        <v>0.22689999999999999</v>
      </c>
      <c r="AO11" s="18">
        <v>0.21990000000000001</v>
      </c>
      <c r="AP11" s="18">
        <v>0.40720000000000001</v>
      </c>
      <c r="AQ11" s="18">
        <v>0.3589</v>
      </c>
      <c r="AR11" s="18">
        <v>0.39100000000000001</v>
      </c>
      <c r="AS11" s="18">
        <v>3.5000000000000003E-2</v>
      </c>
      <c r="AT11" s="18">
        <v>0.1145</v>
      </c>
      <c r="AU11" s="18">
        <v>0.45290000000000002</v>
      </c>
      <c r="AV11" s="18">
        <v>0.1593</v>
      </c>
      <c r="AW11" s="18">
        <v>0.13900000000000001</v>
      </c>
      <c r="AX11" s="18">
        <v>0.15459999999999999</v>
      </c>
    </row>
    <row r="12" spans="1:50" x14ac:dyDescent="0.25">
      <c r="A12" s="8" t="s">
        <v>58</v>
      </c>
      <c r="B12" s="10" t="s">
        <v>57</v>
      </c>
      <c r="C12" s="16">
        <v>0.5746</v>
      </c>
      <c r="D12" s="16">
        <v>0.51759999999999995</v>
      </c>
      <c r="E12" s="16">
        <v>2.1448</v>
      </c>
      <c r="F12" s="16">
        <v>0.58450000000000002</v>
      </c>
      <c r="G12" s="16">
        <v>0.68330000000000002</v>
      </c>
      <c r="H12" s="16">
        <v>0.41139999999999999</v>
      </c>
      <c r="I12" s="16">
        <v>4.8000000000000001E-2</v>
      </c>
      <c r="J12" s="16">
        <v>4.8000000000000001E-2</v>
      </c>
      <c r="K12" s="16">
        <v>0.1128</v>
      </c>
      <c r="L12" s="16">
        <v>0.10100000000000001</v>
      </c>
      <c r="M12" s="16">
        <v>0.1128</v>
      </c>
      <c r="N12" s="16">
        <v>0.10100000000000001</v>
      </c>
      <c r="O12" s="16">
        <v>0.10100000000000001</v>
      </c>
      <c r="P12" s="16">
        <v>0.1128</v>
      </c>
      <c r="Q12" s="16">
        <v>6.5699999999999995E-2</v>
      </c>
      <c r="R12" s="16">
        <v>0.14810000000000001</v>
      </c>
      <c r="S12" s="16">
        <v>0.2137</v>
      </c>
      <c r="T12" s="16">
        <v>1.2124999999999999</v>
      </c>
      <c r="U12" s="16">
        <v>0.39510000000000001</v>
      </c>
      <c r="V12" s="16">
        <v>0.26069999999999999</v>
      </c>
      <c r="W12" s="16">
        <v>0.43369999999999997</v>
      </c>
      <c r="X12" s="16">
        <v>0.27450000000000002</v>
      </c>
      <c r="Y12" s="16">
        <v>0.41710000000000003</v>
      </c>
      <c r="Z12" s="16">
        <v>0.67959999999999998</v>
      </c>
      <c r="AA12" s="16">
        <v>0.27150000000000002</v>
      </c>
      <c r="AB12" s="16">
        <v>0.42330000000000001</v>
      </c>
      <c r="AC12" s="16">
        <v>0.22550000000000001</v>
      </c>
      <c r="AD12" s="16">
        <v>1.333</v>
      </c>
      <c r="AE12" s="16">
        <v>0.628</v>
      </c>
      <c r="AF12" s="16">
        <v>0.11269999999999999</v>
      </c>
      <c r="AG12" s="16">
        <v>0.2006</v>
      </c>
      <c r="AH12" s="16">
        <v>7.1499999999999994E-2</v>
      </c>
      <c r="AI12" s="16">
        <v>0.1384</v>
      </c>
      <c r="AJ12" s="16">
        <v>0.16489999999999999</v>
      </c>
      <c r="AK12" s="16">
        <v>4.8000000000000001E-2</v>
      </c>
      <c r="AL12" s="16">
        <v>0.44180000000000003</v>
      </c>
      <c r="AM12" s="16">
        <v>4.8000000000000001E-2</v>
      </c>
      <c r="AN12" s="16">
        <v>0.14219999999999999</v>
      </c>
      <c r="AO12" s="16">
        <v>7.1599999999999997E-2</v>
      </c>
      <c r="AP12" s="16">
        <v>4.8000000000000001E-2</v>
      </c>
      <c r="AQ12" s="16">
        <v>4.8000000000000001E-2</v>
      </c>
      <c r="AR12" s="16">
        <v>4.8000000000000001E-2</v>
      </c>
      <c r="AS12" s="16">
        <v>0.1658</v>
      </c>
      <c r="AT12" s="16">
        <v>4.8000000000000001E-2</v>
      </c>
      <c r="AU12" s="16">
        <v>0.32169999999999999</v>
      </c>
      <c r="AV12" s="16">
        <v>4.8000000000000001E-2</v>
      </c>
      <c r="AW12" s="16">
        <v>4.8000000000000001E-2</v>
      </c>
      <c r="AX12" s="16">
        <v>8.3299999999999999E-2</v>
      </c>
    </row>
    <row r="13" spans="1:50" x14ac:dyDescent="0.25">
      <c r="A13" s="8" t="s">
        <v>60</v>
      </c>
      <c r="B13" s="10" t="s">
        <v>57</v>
      </c>
      <c r="C13" s="16">
        <v>0.30780000000000002</v>
      </c>
      <c r="D13" s="16">
        <v>0.61329999999999996</v>
      </c>
      <c r="E13" s="16">
        <v>0.1305</v>
      </c>
      <c r="F13" s="16">
        <v>0.1231</v>
      </c>
      <c r="G13" s="16">
        <v>0.22020000000000001</v>
      </c>
      <c r="H13" s="16">
        <v>0.1643</v>
      </c>
      <c r="I13" s="16">
        <v>0.1467</v>
      </c>
      <c r="J13" s="16">
        <v>0.32079999999999997</v>
      </c>
      <c r="K13" s="16">
        <v>0.1176</v>
      </c>
      <c r="L13" s="16">
        <v>0.23499999999999999</v>
      </c>
      <c r="M13" s="16">
        <v>0.155</v>
      </c>
      <c r="N13" s="16">
        <v>0.1176</v>
      </c>
      <c r="O13" s="16">
        <v>0.25330000000000003</v>
      </c>
      <c r="P13" s="16">
        <v>0.20130000000000001</v>
      </c>
      <c r="Q13" s="16">
        <v>0.18720000000000001</v>
      </c>
      <c r="R13" s="16">
        <v>0.30030000000000001</v>
      </c>
      <c r="S13" s="16">
        <v>0.2046</v>
      </c>
      <c r="T13" s="16">
        <v>0.2656</v>
      </c>
      <c r="U13" s="16">
        <v>0.2848</v>
      </c>
      <c r="V13" s="16">
        <v>1.0643</v>
      </c>
      <c r="W13" s="16">
        <v>0.28000000000000003</v>
      </c>
      <c r="X13" s="16">
        <v>0.42180000000000001</v>
      </c>
      <c r="Y13" s="16">
        <v>0.60819999999999996</v>
      </c>
      <c r="Z13" s="16">
        <v>0.38129999999999997</v>
      </c>
      <c r="AA13" s="16">
        <v>0.125</v>
      </c>
      <c r="AB13" s="16">
        <v>0.16830000000000001</v>
      </c>
      <c r="AC13" s="16">
        <v>8.8499999999999995E-2</v>
      </c>
      <c r="AD13" s="16">
        <v>0.25619999999999998</v>
      </c>
      <c r="AE13" s="16">
        <v>6.0400000000000002E-2</v>
      </c>
      <c r="AF13" s="16">
        <v>0.16669999999999999</v>
      </c>
      <c r="AG13" s="16">
        <v>0.28789999999999999</v>
      </c>
      <c r="AH13" s="16">
        <v>0.1176</v>
      </c>
      <c r="AI13" s="16">
        <v>0.21829999999999999</v>
      </c>
      <c r="AJ13" s="16">
        <v>0.1716</v>
      </c>
      <c r="AK13" s="16">
        <v>0.18990000000000001</v>
      </c>
      <c r="AL13" s="16">
        <v>0.15690000000000001</v>
      </c>
      <c r="AM13" s="16">
        <v>0.1608</v>
      </c>
      <c r="AN13" s="16">
        <v>0.16020000000000001</v>
      </c>
      <c r="AO13" s="16">
        <v>0.34849999999999998</v>
      </c>
      <c r="AP13" s="16">
        <v>5.2999999999999999E-2</v>
      </c>
      <c r="AQ13" s="16">
        <v>0.20480000000000001</v>
      </c>
      <c r="AR13" s="16">
        <v>0.24979999999999999</v>
      </c>
      <c r="AS13" s="16">
        <v>9.6100000000000005E-2</v>
      </c>
      <c r="AT13" s="16">
        <v>0.34370000000000001</v>
      </c>
      <c r="AU13" s="16">
        <v>0.1195</v>
      </c>
      <c r="AV13" s="16">
        <v>0.1166</v>
      </c>
      <c r="AW13" s="16">
        <v>0.29039999999999999</v>
      </c>
      <c r="AX13" s="16">
        <v>0.1265</v>
      </c>
    </row>
    <row r="14" spans="1:50" x14ac:dyDescent="0.25">
      <c r="A14" s="17" t="s">
        <v>127</v>
      </c>
      <c r="B14" s="13" t="s">
        <v>116</v>
      </c>
      <c r="C14" s="18">
        <v>0.33789999999999998</v>
      </c>
      <c r="D14" s="18">
        <v>5.1999999999999998E-2</v>
      </c>
      <c r="E14" s="18">
        <v>0.28899999999999998</v>
      </c>
      <c r="F14" s="18">
        <v>0.1077</v>
      </c>
      <c r="G14" s="18">
        <v>0.1016</v>
      </c>
      <c r="H14" s="18">
        <v>0.25409999999999999</v>
      </c>
      <c r="I14" s="18">
        <v>9.2999999999999999E-2</v>
      </c>
      <c r="J14" s="18">
        <v>0.15509999999999999</v>
      </c>
      <c r="K14" s="18">
        <v>0.24160000000000001</v>
      </c>
      <c r="L14" s="18">
        <v>5.1999999999999998E-2</v>
      </c>
      <c r="M14" s="18">
        <v>0.22770000000000001</v>
      </c>
      <c r="N14" s="18">
        <v>0.16900000000000001</v>
      </c>
      <c r="O14" s="18">
        <v>0.24149999999999999</v>
      </c>
      <c r="P14" s="18">
        <v>0.27450000000000002</v>
      </c>
      <c r="Q14" s="18">
        <v>0.33160000000000001</v>
      </c>
      <c r="R14" s="18">
        <v>0.46949999999999997</v>
      </c>
      <c r="S14" s="18">
        <v>0.32329999999999998</v>
      </c>
      <c r="T14" s="18">
        <v>0.23169999999999999</v>
      </c>
      <c r="U14" s="18">
        <v>0.32279999999999998</v>
      </c>
      <c r="V14" s="18">
        <v>0.31359999999999999</v>
      </c>
      <c r="W14" s="18">
        <v>0.16339999999999999</v>
      </c>
      <c r="X14" s="18">
        <v>0.90549999999999997</v>
      </c>
      <c r="Y14" s="18">
        <v>0.65339999999999998</v>
      </c>
      <c r="Z14" s="18">
        <v>0.87150000000000005</v>
      </c>
      <c r="AA14" s="18">
        <v>0.91210000000000002</v>
      </c>
      <c r="AB14" s="18">
        <v>0.19220000000000001</v>
      </c>
      <c r="AC14" s="18">
        <v>0.22520000000000001</v>
      </c>
      <c r="AD14" s="18">
        <v>7.9399999999999998E-2</v>
      </c>
      <c r="AE14" s="18">
        <v>5.1999999999999998E-2</v>
      </c>
      <c r="AF14" s="18">
        <v>0.2079</v>
      </c>
      <c r="AG14" s="18">
        <v>9.9900000000000003E-2</v>
      </c>
      <c r="AH14" s="18">
        <v>0.1409</v>
      </c>
      <c r="AI14" s="18">
        <v>0.1938</v>
      </c>
      <c r="AJ14" s="18">
        <v>0.20300000000000001</v>
      </c>
      <c r="AK14" s="18">
        <v>5.1999999999999998E-2</v>
      </c>
      <c r="AL14" s="18">
        <v>0.16830000000000001</v>
      </c>
      <c r="AM14" s="18">
        <v>7.2499999999999995E-2</v>
      </c>
      <c r="AN14" s="18">
        <v>0.62849999999999995</v>
      </c>
      <c r="AO14" s="18">
        <v>1.0438000000000001</v>
      </c>
      <c r="AP14" s="18">
        <v>0.35959999999999998</v>
      </c>
      <c r="AQ14" s="18">
        <v>0.21079999999999999</v>
      </c>
      <c r="AR14" s="18">
        <v>0.1371</v>
      </c>
      <c r="AS14" s="18">
        <v>0.11360000000000001</v>
      </c>
      <c r="AT14" s="18">
        <v>0.12720000000000001</v>
      </c>
      <c r="AU14" s="18">
        <v>0.2079</v>
      </c>
      <c r="AV14" s="18">
        <v>0.11360000000000001</v>
      </c>
      <c r="AW14" s="18">
        <v>0.12720000000000001</v>
      </c>
      <c r="AX14" s="18">
        <v>0.1792</v>
      </c>
    </row>
    <row r="15" spans="1:50" x14ac:dyDescent="0.25">
      <c r="A15" s="8" t="s">
        <v>62</v>
      </c>
      <c r="B15" s="10" t="s">
        <v>57</v>
      </c>
      <c r="C15" s="16">
        <v>8.4000000000000005E-2</v>
      </c>
      <c r="D15" s="16">
        <v>0.15060000000000001</v>
      </c>
      <c r="E15" s="16">
        <v>4.3999999999999997E-2</v>
      </c>
      <c r="F15" s="16">
        <v>0.13730000000000001</v>
      </c>
      <c r="G15" s="16">
        <v>9.7299999999999998E-2</v>
      </c>
      <c r="H15" s="16">
        <v>4.3999999999999997E-2</v>
      </c>
      <c r="I15" s="16">
        <v>0.1106</v>
      </c>
      <c r="J15" s="16">
        <v>0.1239</v>
      </c>
      <c r="K15" s="16">
        <v>4.3999999999999997E-2</v>
      </c>
      <c r="L15" s="16">
        <v>0.1573</v>
      </c>
      <c r="M15" s="16">
        <v>7.7299999999999994E-2</v>
      </c>
      <c r="N15" s="16">
        <v>4.3999999999999997E-2</v>
      </c>
      <c r="O15" s="16">
        <v>0.19059999999999999</v>
      </c>
      <c r="P15" s="16">
        <v>4.3999999999999997E-2</v>
      </c>
      <c r="Q15" s="16">
        <v>6.4000000000000001E-2</v>
      </c>
      <c r="R15" s="16">
        <v>0.1706</v>
      </c>
      <c r="S15" s="16">
        <v>4.3999999999999997E-2</v>
      </c>
      <c r="T15" s="16">
        <v>4.3999999999999997E-2</v>
      </c>
      <c r="U15" s="16">
        <v>0.19439999999999999</v>
      </c>
      <c r="V15" s="16">
        <v>0.65059999999999996</v>
      </c>
      <c r="W15" s="16">
        <v>0.77510000000000001</v>
      </c>
      <c r="X15" s="16">
        <v>0.1239</v>
      </c>
      <c r="Y15" s="16">
        <v>5.33E-2</v>
      </c>
      <c r="Z15" s="16">
        <v>0.15790000000000001</v>
      </c>
      <c r="AA15" s="16">
        <v>0.10290000000000001</v>
      </c>
      <c r="AB15" s="16">
        <v>0.18809999999999999</v>
      </c>
      <c r="AC15" s="16">
        <v>0.78239999999999998</v>
      </c>
      <c r="AD15" s="16">
        <v>0.45340000000000003</v>
      </c>
      <c r="AE15" s="16">
        <v>0.31359999999999999</v>
      </c>
      <c r="AF15" s="16">
        <v>5.1499999999999997E-2</v>
      </c>
      <c r="AG15" s="16">
        <v>0.1053</v>
      </c>
      <c r="AH15" s="16">
        <v>0.2228</v>
      </c>
      <c r="AI15" s="16">
        <v>4.3999999999999997E-2</v>
      </c>
      <c r="AJ15" s="16">
        <v>0.23680000000000001</v>
      </c>
      <c r="AK15" s="16">
        <v>0.73440000000000005</v>
      </c>
      <c r="AL15" s="16">
        <v>2.5741999999999998</v>
      </c>
      <c r="AM15" s="16">
        <v>0.72019999999999995</v>
      </c>
      <c r="AN15" s="16">
        <v>7.4200000000000002E-2</v>
      </c>
      <c r="AO15" s="16">
        <v>0.21809999999999999</v>
      </c>
      <c r="AP15" s="16">
        <v>1.3551</v>
      </c>
      <c r="AQ15" s="16">
        <v>4.3999999999999997E-2</v>
      </c>
      <c r="AR15" s="16">
        <v>4.3999999999999997E-2</v>
      </c>
      <c r="AS15" s="16">
        <v>0.1439</v>
      </c>
      <c r="AT15" s="16">
        <v>9.06E-2</v>
      </c>
      <c r="AU15" s="16">
        <v>0.104</v>
      </c>
      <c r="AV15" s="16">
        <v>0.13059999999999999</v>
      </c>
      <c r="AW15" s="16">
        <v>4.3999999999999997E-2</v>
      </c>
      <c r="AX15" s="16">
        <v>0.1706</v>
      </c>
    </row>
    <row r="16" spans="1:50" x14ac:dyDescent="0.25">
      <c r="A16" s="8" t="s">
        <v>64</v>
      </c>
      <c r="B16" s="10" t="s">
        <v>57</v>
      </c>
      <c r="C16" s="16">
        <v>0.12889999999999999</v>
      </c>
      <c r="D16" s="16">
        <v>0.15340000000000001</v>
      </c>
      <c r="E16" s="16">
        <v>0.15490000000000001</v>
      </c>
      <c r="F16" s="16">
        <v>0.108</v>
      </c>
      <c r="G16" s="16">
        <v>0.15939999999999999</v>
      </c>
      <c r="H16" s="16">
        <v>7.22E-2</v>
      </c>
      <c r="I16" s="16">
        <v>0.23619999999999999</v>
      </c>
      <c r="J16" s="16">
        <v>6.1899999999999997E-2</v>
      </c>
      <c r="K16" s="16">
        <v>0.2334</v>
      </c>
      <c r="L16" s="16">
        <v>4.3999999999999997E-2</v>
      </c>
      <c r="M16" s="16">
        <v>0.13400000000000001</v>
      </c>
      <c r="N16" s="16">
        <v>0.1744</v>
      </c>
      <c r="O16" s="16">
        <v>5.16E-2</v>
      </c>
      <c r="P16" s="16">
        <v>0.159</v>
      </c>
      <c r="Q16" s="16">
        <v>0.14419999999999999</v>
      </c>
      <c r="R16" s="16">
        <v>0.12959999999999999</v>
      </c>
      <c r="S16" s="16">
        <v>0.23669999999999999</v>
      </c>
      <c r="T16" s="16">
        <v>0.2346</v>
      </c>
      <c r="U16" s="16">
        <v>1.9013</v>
      </c>
      <c r="V16" s="16">
        <v>3.0874000000000001</v>
      </c>
      <c r="W16" s="16">
        <v>1.3576999999999999</v>
      </c>
      <c r="X16" s="16">
        <v>0.93389999999999995</v>
      </c>
      <c r="Y16" s="16">
        <v>0.59319999999999995</v>
      </c>
      <c r="Z16" s="16">
        <v>0.14130000000000001</v>
      </c>
      <c r="AA16" s="16">
        <v>0.1134</v>
      </c>
      <c r="AB16" s="16">
        <v>8.4199999999999997E-2</v>
      </c>
      <c r="AC16" s="16">
        <v>0.14180000000000001</v>
      </c>
      <c r="AD16" s="16">
        <v>0.13400000000000001</v>
      </c>
      <c r="AE16" s="16">
        <v>0.30609999999999998</v>
      </c>
      <c r="AF16" s="16">
        <v>0.23810000000000001</v>
      </c>
      <c r="AG16" s="16">
        <v>0.20599999999999999</v>
      </c>
      <c r="AH16" s="16">
        <v>0.29780000000000001</v>
      </c>
      <c r="AI16" s="16">
        <v>4.65E-2</v>
      </c>
      <c r="AJ16" s="16">
        <v>0.74729999999999996</v>
      </c>
      <c r="AK16" s="16">
        <v>0.73340000000000005</v>
      </c>
      <c r="AL16" s="16">
        <v>0.21590000000000001</v>
      </c>
      <c r="AM16" s="16">
        <v>8.2400000000000001E-2</v>
      </c>
      <c r="AN16" s="16">
        <v>0.43659999999999999</v>
      </c>
      <c r="AO16" s="16">
        <v>0.22620000000000001</v>
      </c>
      <c r="AP16" s="16">
        <v>0.29399999999999998</v>
      </c>
      <c r="AQ16" s="16">
        <v>0.37390000000000001</v>
      </c>
      <c r="AR16" s="16">
        <v>0.34599999999999997</v>
      </c>
      <c r="AS16" s="16">
        <v>0.31319999999999998</v>
      </c>
      <c r="AT16" s="16">
        <v>0.20960000000000001</v>
      </c>
      <c r="AU16" s="16">
        <v>0.68179999999999996</v>
      </c>
      <c r="AV16" s="16">
        <v>0.37969999999999998</v>
      </c>
      <c r="AW16" s="16">
        <v>0.42770000000000002</v>
      </c>
      <c r="AX16" s="16">
        <v>0.34179999999999999</v>
      </c>
    </row>
    <row r="17" spans="1:50" x14ac:dyDescent="0.25">
      <c r="A17" s="17" t="s">
        <v>129</v>
      </c>
      <c r="B17" s="13" t="s">
        <v>116</v>
      </c>
      <c r="C17" s="18">
        <v>0.2316</v>
      </c>
      <c r="D17" s="18">
        <v>5.6000000000000001E-2</v>
      </c>
      <c r="E17" s="18">
        <v>0.16769999999999999</v>
      </c>
      <c r="F17" s="18">
        <v>0.1198</v>
      </c>
      <c r="G17" s="18">
        <v>5.6000000000000001E-2</v>
      </c>
      <c r="H17" s="18">
        <v>0.15179999999999999</v>
      </c>
      <c r="I17" s="18">
        <v>0.1358</v>
      </c>
      <c r="J17" s="18">
        <v>5.6000000000000001E-2</v>
      </c>
      <c r="K17" s="18">
        <v>0.16769999999999999</v>
      </c>
      <c r="L17" s="18">
        <v>0.1198</v>
      </c>
      <c r="M17" s="18">
        <v>5.6000000000000001E-2</v>
      </c>
      <c r="N17" s="18">
        <v>6.4000000000000001E-2</v>
      </c>
      <c r="O17" s="18">
        <v>0.22359999999999999</v>
      </c>
      <c r="P17" s="18">
        <v>5.6000000000000001E-2</v>
      </c>
      <c r="Q17" s="18">
        <v>5.6000000000000001E-2</v>
      </c>
      <c r="R17" s="18">
        <v>0.1198</v>
      </c>
      <c r="S17" s="18">
        <v>0.16769999999999999</v>
      </c>
      <c r="T17" s="18">
        <v>5.6000000000000001E-2</v>
      </c>
      <c r="U17" s="18">
        <v>0.45529999999999998</v>
      </c>
      <c r="V17" s="18">
        <v>0.5333</v>
      </c>
      <c r="W17" s="18">
        <v>0.30669999999999997</v>
      </c>
      <c r="X17" s="18">
        <v>0.4007</v>
      </c>
      <c r="Y17" s="18">
        <v>0.22090000000000001</v>
      </c>
      <c r="Z17" s="18">
        <v>0.4955</v>
      </c>
      <c r="AA17" s="18">
        <v>0.48749999999999999</v>
      </c>
      <c r="AB17" s="18">
        <v>0.23599999999999999</v>
      </c>
      <c r="AC17" s="18">
        <v>0.25650000000000001</v>
      </c>
      <c r="AD17" s="18">
        <v>0.31409999999999999</v>
      </c>
      <c r="AE17" s="18">
        <v>8.3000000000000004E-2</v>
      </c>
      <c r="AF17" s="18">
        <v>0.24110000000000001</v>
      </c>
      <c r="AG17" s="18">
        <v>7.4300000000000005E-2</v>
      </c>
      <c r="AH17" s="18">
        <v>0.22600000000000001</v>
      </c>
      <c r="AI17" s="18">
        <v>0.58960000000000001</v>
      </c>
      <c r="AJ17" s="18">
        <v>0.67779999999999996</v>
      </c>
      <c r="AK17" s="18">
        <v>2.1055999999999999</v>
      </c>
      <c r="AL17" s="18">
        <v>3.097</v>
      </c>
      <c r="AM17" s="18">
        <v>2.6223999999999998</v>
      </c>
      <c r="AN17" s="18">
        <v>0.3382</v>
      </c>
      <c r="AO17" s="18">
        <v>0.17169999999999999</v>
      </c>
      <c r="AP17" s="18">
        <v>0.21640000000000001</v>
      </c>
      <c r="AQ17" s="18">
        <v>1.0066999999999999</v>
      </c>
      <c r="AR17" s="18">
        <v>3.0857000000000001</v>
      </c>
      <c r="AS17" s="18">
        <v>2.4752999999999998</v>
      </c>
      <c r="AT17" s="18">
        <v>0.41860000000000003</v>
      </c>
      <c r="AU17" s="18">
        <v>0.44169999999999998</v>
      </c>
      <c r="AV17" s="18">
        <v>0.1706</v>
      </c>
      <c r="AW17" s="18">
        <v>5.6000000000000001E-2</v>
      </c>
      <c r="AX17" s="18">
        <v>5.6000000000000001E-2</v>
      </c>
    </row>
    <row r="18" spans="1:50" x14ac:dyDescent="0.25">
      <c r="A18" s="17" t="s">
        <v>131</v>
      </c>
      <c r="B18" s="13" t="s">
        <v>116</v>
      </c>
      <c r="C18" s="18">
        <v>0.21390000000000001</v>
      </c>
      <c r="D18" s="18">
        <v>0.45929999999999999</v>
      </c>
      <c r="E18" s="18">
        <v>5.5E-2</v>
      </c>
      <c r="F18" s="18">
        <v>0.1638</v>
      </c>
      <c r="G18" s="18">
        <v>5.5E-2</v>
      </c>
      <c r="H18" s="18">
        <v>5.5E-2</v>
      </c>
      <c r="I18" s="18">
        <v>0.125</v>
      </c>
      <c r="J18" s="18">
        <v>9.3899999999999997E-2</v>
      </c>
      <c r="K18" s="18">
        <v>5.5E-2</v>
      </c>
      <c r="L18" s="18">
        <v>0.1638</v>
      </c>
      <c r="M18" s="18">
        <v>5.5E-2</v>
      </c>
      <c r="N18" s="18">
        <v>0.14050000000000001</v>
      </c>
      <c r="O18" s="18">
        <v>7.8299999999999995E-2</v>
      </c>
      <c r="P18" s="18">
        <v>5.5E-2</v>
      </c>
      <c r="Q18" s="18">
        <v>5.5E-2</v>
      </c>
      <c r="R18" s="18">
        <v>0.1638</v>
      </c>
      <c r="S18" s="18">
        <v>5.5E-2</v>
      </c>
      <c r="T18" s="18">
        <v>0.125</v>
      </c>
      <c r="U18" s="18">
        <v>0.22539999999999999</v>
      </c>
      <c r="V18" s="18">
        <v>5.5E-2</v>
      </c>
      <c r="W18" s="18">
        <v>0.1016</v>
      </c>
      <c r="X18" s="18">
        <v>0.1172</v>
      </c>
      <c r="Y18" s="18">
        <v>5.5E-2</v>
      </c>
      <c r="Z18" s="18">
        <v>0.20760000000000001</v>
      </c>
      <c r="AA18" s="18">
        <v>0.1865</v>
      </c>
      <c r="AB18" s="18">
        <v>0.1966</v>
      </c>
      <c r="AC18" s="18">
        <v>1.4682999999999999</v>
      </c>
      <c r="AD18" s="18">
        <v>0.76090000000000002</v>
      </c>
      <c r="AE18" s="18">
        <v>0.28839999999999999</v>
      </c>
      <c r="AF18" s="18">
        <v>9.3899999999999997E-2</v>
      </c>
      <c r="AG18" s="18">
        <v>5.5E-2</v>
      </c>
      <c r="AH18" s="18">
        <v>0.28820000000000001</v>
      </c>
      <c r="AI18" s="18">
        <v>0.43269999999999997</v>
      </c>
      <c r="AJ18" s="18">
        <v>0.38419999999999999</v>
      </c>
      <c r="AK18" s="18">
        <v>0.40589999999999998</v>
      </c>
      <c r="AL18" s="18">
        <v>0.25940000000000002</v>
      </c>
      <c r="AM18" s="18">
        <v>0.54259999999999997</v>
      </c>
      <c r="AN18" s="18">
        <v>0.26889999999999997</v>
      </c>
      <c r="AO18" s="18">
        <v>0.21410000000000001</v>
      </c>
      <c r="AP18" s="18">
        <v>0.53069999999999995</v>
      </c>
      <c r="AQ18" s="18">
        <v>0.97629999999999995</v>
      </c>
      <c r="AR18" s="18">
        <v>0.91400000000000003</v>
      </c>
      <c r="AS18" s="18">
        <v>0.7853</v>
      </c>
      <c r="AT18" s="18">
        <v>0.7762</v>
      </c>
      <c r="AU18" s="18">
        <v>0.79110000000000003</v>
      </c>
      <c r="AV18" s="18">
        <v>0.68710000000000004</v>
      </c>
      <c r="AW18" s="18">
        <v>6.2799999999999995E-2</v>
      </c>
      <c r="AX18" s="18">
        <v>0.156</v>
      </c>
    </row>
    <row r="19" spans="1:50" x14ac:dyDescent="0.25">
      <c r="A19" s="17" t="s">
        <v>133</v>
      </c>
      <c r="B19" s="13" t="s">
        <v>116</v>
      </c>
      <c r="C19" s="18">
        <v>0.48799999999999999</v>
      </c>
      <c r="D19" s="18">
        <v>0.37390000000000001</v>
      </c>
      <c r="E19" s="18">
        <v>0.20880000000000001</v>
      </c>
      <c r="F19" s="18">
        <v>5.3999999999999999E-2</v>
      </c>
      <c r="G19" s="18">
        <v>0.13300000000000001</v>
      </c>
      <c r="H19" s="18">
        <v>0.20880000000000001</v>
      </c>
      <c r="I19" s="18">
        <v>0.12859999999999999</v>
      </c>
      <c r="J19" s="18">
        <v>0.16389999999999999</v>
      </c>
      <c r="K19" s="18">
        <v>0.1603</v>
      </c>
      <c r="L19" s="18">
        <v>7.5899999999999995E-2</v>
      </c>
      <c r="M19" s="18">
        <v>0.20880000000000001</v>
      </c>
      <c r="N19" s="18">
        <v>0.13300000000000001</v>
      </c>
      <c r="O19" s="18">
        <v>0.1384</v>
      </c>
      <c r="P19" s="18">
        <v>0.1244</v>
      </c>
      <c r="Q19" s="18">
        <v>5.3999999999999999E-2</v>
      </c>
      <c r="R19" s="18">
        <v>9.6199999999999994E-2</v>
      </c>
      <c r="S19" s="18">
        <v>0.2455</v>
      </c>
      <c r="T19" s="18">
        <v>5.3999999999999999E-2</v>
      </c>
      <c r="U19" s="18">
        <v>0.25700000000000001</v>
      </c>
      <c r="V19" s="18">
        <v>8.4699999999999998E-2</v>
      </c>
      <c r="W19" s="18">
        <v>5.3999999999999999E-2</v>
      </c>
      <c r="X19" s="18">
        <v>0.2666</v>
      </c>
      <c r="Y19" s="18">
        <v>7.51E-2</v>
      </c>
      <c r="Z19" s="18">
        <v>0.16300000000000001</v>
      </c>
      <c r="AA19" s="18">
        <v>0.1787</v>
      </c>
      <c r="AB19" s="18">
        <v>0.3201</v>
      </c>
      <c r="AC19" s="18">
        <v>0.2447</v>
      </c>
      <c r="AD19" s="18">
        <v>7.5899999999999995E-2</v>
      </c>
      <c r="AE19" s="18">
        <v>0.13139999999999999</v>
      </c>
      <c r="AF19" s="18">
        <v>0.1489</v>
      </c>
      <c r="AG19" s="18">
        <v>0.12330000000000001</v>
      </c>
      <c r="AH19" s="18">
        <v>0.17860000000000001</v>
      </c>
      <c r="AI19" s="18">
        <v>0.22</v>
      </c>
      <c r="AJ19" s="18">
        <v>0.11550000000000001</v>
      </c>
      <c r="AK19" s="18">
        <v>0.4894</v>
      </c>
      <c r="AL19" s="18">
        <v>0.3115</v>
      </c>
      <c r="AM19" s="18">
        <v>8.5599999999999996E-2</v>
      </c>
      <c r="AN19" s="18">
        <v>0.1883</v>
      </c>
      <c r="AO19" s="18">
        <v>0.19589999999999999</v>
      </c>
      <c r="AP19" s="18">
        <v>8.2100000000000006E-2</v>
      </c>
      <c r="AQ19" s="18">
        <v>0.28699999999999998</v>
      </c>
      <c r="AR19" s="18">
        <v>0.43109999999999998</v>
      </c>
      <c r="AS19" s="18">
        <v>0.112</v>
      </c>
      <c r="AT19" s="18">
        <v>0.15939999999999999</v>
      </c>
      <c r="AU19" s="18">
        <v>0.1736</v>
      </c>
      <c r="AV19" s="18">
        <v>7.1499999999999994E-2</v>
      </c>
      <c r="AW19" s="18">
        <v>0.24210000000000001</v>
      </c>
      <c r="AX19" s="18">
        <v>8.2100000000000006E-2</v>
      </c>
    </row>
    <row r="20" spans="1:50" x14ac:dyDescent="0.25">
      <c r="A20" s="17" t="s">
        <v>135</v>
      </c>
      <c r="B20" s="13" t="s">
        <v>116</v>
      </c>
      <c r="C20" s="18">
        <v>0.31169999999999998</v>
      </c>
      <c r="D20" s="18">
        <v>0.25259999999999999</v>
      </c>
      <c r="E20" s="18">
        <v>5.5E-2</v>
      </c>
      <c r="F20" s="18">
        <v>5.5E-2</v>
      </c>
      <c r="G20" s="18">
        <v>0.22559999999999999</v>
      </c>
      <c r="H20" s="18">
        <v>8.1900000000000001E-2</v>
      </c>
      <c r="I20" s="18">
        <v>9.0899999999999995E-2</v>
      </c>
      <c r="J20" s="18">
        <v>0.2167</v>
      </c>
      <c r="K20" s="18">
        <v>5.5E-2</v>
      </c>
      <c r="L20" s="18">
        <v>0.28210000000000002</v>
      </c>
      <c r="M20" s="18">
        <v>0.1089</v>
      </c>
      <c r="N20" s="18">
        <v>5.5E-2</v>
      </c>
      <c r="O20" s="18">
        <v>0.25259999999999999</v>
      </c>
      <c r="P20" s="18">
        <v>5.5E-2</v>
      </c>
      <c r="Q20" s="18">
        <v>0.107</v>
      </c>
      <c r="R20" s="18">
        <v>0.2223</v>
      </c>
      <c r="S20" s="18">
        <v>0.60009999999999997</v>
      </c>
      <c r="T20" s="18">
        <v>0.2823</v>
      </c>
      <c r="U20" s="18">
        <v>0.27960000000000002</v>
      </c>
      <c r="V20" s="18">
        <v>1.4458</v>
      </c>
      <c r="W20" s="18">
        <v>0.21210000000000001</v>
      </c>
      <c r="X20" s="18">
        <v>0.48559999999999998</v>
      </c>
      <c r="Y20" s="18">
        <v>0.36969999999999997</v>
      </c>
      <c r="Z20" s="18">
        <v>0.5585</v>
      </c>
      <c r="AA20" s="18">
        <v>0.25090000000000001</v>
      </c>
      <c r="AB20" s="18">
        <v>0.35399999999999998</v>
      </c>
      <c r="AC20" s="18">
        <v>0.99019999999999997</v>
      </c>
      <c r="AD20" s="18">
        <v>1.3453999999999999</v>
      </c>
      <c r="AE20" s="18">
        <v>1.4232</v>
      </c>
      <c r="AF20" s="18">
        <v>0.13919999999999999</v>
      </c>
      <c r="AG20" s="18">
        <v>0.255</v>
      </c>
      <c r="AH20" s="18">
        <v>0.1089</v>
      </c>
      <c r="AI20" s="18">
        <v>9.9900000000000003E-2</v>
      </c>
      <c r="AJ20" s="18">
        <v>0.2077</v>
      </c>
      <c r="AK20" s="18">
        <v>5.5E-2</v>
      </c>
      <c r="AL20" s="18">
        <v>0.38119999999999998</v>
      </c>
      <c r="AM20" s="18">
        <v>1.0898000000000001</v>
      </c>
      <c r="AN20" s="18">
        <v>8.2500000000000004E-2</v>
      </c>
      <c r="AO20" s="18">
        <v>0.15390000000000001</v>
      </c>
      <c r="AP20" s="18">
        <v>0.44629999999999997</v>
      </c>
      <c r="AQ20" s="18">
        <v>0.71940000000000004</v>
      </c>
      <c r="AR20" s="18">
        <v>0.78739999999999999</v>
      </c>
      <c r="AS20" s="18">
        <v>0.78939999999999999</v>
      </c>
      <c r="AT20" s="18">
        <v>0.87390000000000001</v>
      </c>
      <c r="AU20" s="18">
        <v>0.56799999999999995</v>
      </c>
      <c r="AV20" s="18">
        <v>0.94169999999999998</v>
      </c>
      <c r="AW20" s="18">
        <v>0.60709999999999997</v>
      </c>
      <c r="AX20" s="18">
        <v>0.1179</v>
      </c>
    </row>
    <row r="21" spans="1:50" x14ac:dyDescent="0.25">
      <c r="A21" s="8" t="s">
        <v>66</v>
      </c>
      <c r="B21" s="10" t="s">
        <v>57</v>
      </c>
      <c r="C21" s="16">
        <v>9.6000000000000002E-2</v>
      </c>
      <c r="D21" s="16">
        <v>0.23369999999999999</v>
      </c>
      <c r="E21" s="16">
        <v>3.3000000000000002E-2</v>
      </c>
      <c r="F21" s="16">
        <v>0.17380000000000001</v>
      </c>
      <c r="G21" s="16">
        <v>0.14360000000000001</v>
      </c>
      <c r="H21" s="16">
        <v>0.14130000000000001</v>
      </c>
      <c r="I21" s="16">
        <v>7.7799999999999994E-2</v>
      </c>
      <c r="J21" s="16">
        <v>0.1011</v>
      </c>
      <c r="K21" s="16">
        <v>0.2286</v>
      </c>
      <c r="L21" s="16">
        <v>3.3000000000000002E-2</v>
      </c>
      <c r="M21" s="16">
        <v>0.1144</v>
      </c>
      <c r="N21" s="16">
        <v>0.21529999999999999</v>
      </c>
      <c r="O21" s="16">
        <v>3.3000000000000002E-2</v>
      </c>
      <c r="P21" s="16">
        <v>0.17380000000000001</v>
      </c>
      <c r="Q21" s="16">
        <v>5.4100000000000002E-2</v>
      </c>
      <c r="R21" s="16">
        <v>0.24510000000000001</v>
      </c>
      <c r="S21" s="16">
        <v>0.35170000000000001</v>
      </c>
      <c r="T21" s="16">
        <v>0.92800000000000005</v>
      </c>
      <c r="U21" s="16">
        <v>3.3000000000000002E-2</v>
      </c>
      <c r="V21" s="16">
        <v>0.29670000000000002</v>
      </c>
      <c r="W21" s="16">
        <v>5.7000000000000002E-2</v>
      </c>
      <c r="X21" s="16">
        <v>0.2646</v>
      </c>
      <c r="Y21" s="16">
        <v>0.1221</v>
      </c>
      <c r="Z21" s="16">
        <v>9.1999999999999998E-2</v>
      </c>
      <c r="AA21" s="16">
        <v>0.29680000000000001</v>
      </c>
      <c r="AB21" s="16">
        <v>0.1031</v>
      </c>
      <c r="AC21" s="16">
        <v>0.1234</v>
      </c>
      <c r="AD21" s="16">
        <v>0.1731</v>
      </c>
      <c r="AE21" s="16">
        <v>0.1605</v>
      </c>
      <c r="AF21" s="16">
        <v>0.129</v>
      </c>
      <c r="AG21" s="16">
        <v>0.1454</v>
      </c>
      <c r="AH21" s="16">
        <v>9.6600000000000005E-2</v>
      </c>
      <c r="AI21" s="16">
        <v>0.45750000000000002</v>
      </c>
      <c r="AJ21" s="16">
        <v>0.22439999999999999</v>
      </c>
      <c r="AK21" s="16">
        <v>0.36</v>
      </c>
      <c r="AL21" s="16">
        <v>0.3599</v>
      </c>
      <c r="AM21" s="16">
        <v>0.61170000000000002</v>
      </c>
      <c r="AN21" s="16">
        <v>1.0944</v>
      </c>
      <c r="AO21" s="16">
        <v>0.30330000000000001</v>
      </c>
      <c r="AP21" s="16">
        <v>0.53839999999999999</v>
      </c>
      <c r="AQ21" s="16">
        <v>0.2263</v>
      </c>
      <c r="AR21" s="16">
        <v>5.8599999999999999E-2</v>
      </c>
      <c r="AS21" s="16">
        <v>0.1482</v>
      </c>
      <c r="AT21" s="16">
        <v>3.3000000000000002E-2</v>
      </c>
      <c r="AU21" s="16">
        <v>0.15590000000000001</v>
      </c>
      <c r="AV21" s="16">
        <v>0.16739999999999999</v>
      </c>
      <c r="AW21" s="16">
        <v>3.9399999999999998E-2</v>
      </c>
      <c r="AX21" s="16">
        <v>0.20710000000000001</v>
      </c>
    </row>
    <row r="22" spans="1:50" x14ac:dyDescent="0.25">
      <c r="A22" s="8" t="s">
        <v>68</v>
      </c>
      <c r="B22" s="10" t="s">
        <v>57</v>
      </c>
      <c r="C22" s="16">
        <v>0.18679999999999999</v>
      </c>
      <c r="D22" s="16">
        <v>0.183</v>
      </c>
      <c r="E22" s="16">
        <v>0.05</v>
      </c>
      <c r="F22" s="16">
        <v>0.29449999999999998</v>
      </c>
      <c r="G22" s="16">
        <v>0.54349999999999998</v>
      </c>
      <c r="H22" s="16">
        <v>0.152</v>
      </c>
      <c r="I22" s="16">
        <v>0.2099</v>
      </c>
      <c r="J22" s="16">
        <v>7.8100000000000003E-2</v>
      </c>
      <c r="K22" s="16">
        <v>0.18679999999999999</v>
      </c>
      <c r="L22" s="16">
        <v>0.13439999999999999</v>
      </c>
      <c r="M22" s="16">
        <v>0.10539999999999999</v>
      </c>
      <c r="N22" s="16">
        <v>6.8099999999999994E-2</v>
      </c>
      <c r="O22" s="16">
        <v>0.25679999999999997</v>
      </c>
      <c r="P22" s="16">
        <v>5.74E-2</v>
      </c>
      <c r="Q22" s="16">
        <v>9.4E-2</v>
      </c>
      <c r="R22" s="16">
        <v>0.2273</v>
      </c>
      <c r="S22" s="16">
        <v>0.05</v>
      </c>
      <c r="T22" s="16">
        <v>0.18</v>
      </c>
      <c r="U22" s="16">
        <v>0.1993</v>
      </c>
      <c r="V22" s="16">
        <v>9.8000000000000004E-2</v>
      </c>
      <c r="W22" s="16">
        <v>0.16689999999999999</v>
      </c>
      <c r="X22" s="16">
        <v>0.10630000000000001</v>
      </c>
      <c r="Y22" s="16">
        <v>0.05</v>
      </c>
      <c r="Z22" s="16">
        <v>0.20480000000000001</v>
      </c>
      <c r="AA22" s="16">
        <v>0.11650000000000001</v>
      </c>
      <c r="AB22" s="16">
        <v>0.1696</v>
      </c>
      <c r="AC22" s="16">
        <v>0.1406</v>
      </c>
      <c r="AD22" s="16">
        <v>1.3927</v>
      </c>
      <c r="AE22" s="16">
        <v>0.22370000000000001</v>
      </c>
      <c r="AF22" s="16">
        <v>0.182</v>
      </c>
      <c r="AG22" s="16">
        <v>0.44290000000000002</v>
      </c>
      <c r="AH22" s="16">
        <v>7.3200000000000001E-2</v>
      </c>
      <c r="AI22" s="16">
        <v>0.24529999999999999</v>
      </c>
      <c r="AJ22" s="16">
        <v>1.2111000000000001</v>
      </c>
      <c r="AK22" s="16">
        <v>0.3538</v>
      </c>
      <c r="AL22" s="16">
        <v>0.20549999999999999</v>
      </c>
      <c r="AM22" s="16">
        <v>0.2369</v>
      </c>
      <c r="AN22" s="16">
        <v>0.20569999999999999</v>
      </c>
      <c r="AO22" s="16">
        <v>0.1162</v>
      </c>
      <c r="AP22" s="16">
        <v>0.50749999999999995</v>
      </c>
      <c r="AQ22" s="16">
        <v>0.37180000000000002</v>
      </c>
      <c r="AR22" s="16">
        <v>0.3054</v>
      </c>
      <c r="AS22" s="16">
        <v>0.52090000000000003</v>
      </c>
      <c r="AT22" s="16">
        <v>0.56100000000000005</v>
      </c>
      <c r="AU22" s="16">
        <v>0.73870000000000002</v>
      </c>
      <c r="AV22" s="16">
        <v>5.74E-2</v>
      </c>
      <c r="AW22" s="16">
        <v>0.2079</v>
      </c>
      <c r="AX22" s="16">
        <v>0.1133</v>
      </c>
    </row>
    <row r="23" spans="1:50" x14ac:dyDescent="0.25">
      <c r="A23" s="17" t="s">
        <v>137</v>
      </c>
      <c r="B23" s="13" t="s">
        <v>116</v>
      </c>
      <c r="C23" s="18">
        <v>0.21029999999999999</v>
      </c>
      <c r="D23" s="18">
        <v>0.1774</v>
      </c>
      <c r="E23" s="18">
        <v>0.21079999999999999</v>
      </c>
      <c r="F23" s="18">
        <v>0.12609999999999999</v>
      </c>
      <c r="G23" s="18">
        <v>0.29249999999999998</v>
      </c>
      <c r="H23" s="18">
        <v>0.1164</v>
      </c>
      <c r="I23" s="18">
        <v>6.8500000000000005E-2</v>
      </c>
      <c r="J23" s="18">
        <v>0.36530000000000001</v>
      </c>
      <c r="K23" s="18">
        <v>0.06</v>
      </c>
      <c r="L23" s="18">
        <v>0.1867</v>
      </c>
      <c r="M23" s="18">
        <v>0.2056</v>
      </c>
      <c r="N23" s="18">
        <v>0.1186</v>
      </c>
      <c r="O23" s="18">
        <v>0.25750000000000001</v>
      </c>
      <c r="P23" s="18">
        <v>0.1094</v>
      </c>
      <c r="Q23" s="18">
        <v>0.1104</v>
      </c>
      <c r="R23" s="18">
        <v>0.19320000000000001</v>
      </c>
      <c r="S23" s="18">
        <v>0.12429999999999999</v>
      </c>
      <c r="T23" s="18">
        <v>0.1867</v>
      </c>
      <c r="U23" s="18">
        <v>0.14219999999999999</v>
      </c>
      <c r="V23" s="18">
        <v>0.28310000000000002</v>
      </c>
      <c r="W23" s="18">
        <v>0.12609999999999999</v>
      </c>
      <c r="X23" s="18">
        <v>0.13</v>
      </c>
      <c r="Y23" s="18">
        <v>0.29530000000000001</v>
      </c>
      <c r="Z23" s="18">
        <v>7.0800000000000002E-2</v>
      </c>
      <c r="AA23" s="18">
        <v>0.22209999999999999</v>
      </c>
      <c r="AB23" s="18">
        <v>0.20319999999999999</v>
      </c>
      <c r="AC23" s="18">
        <v>2.0870000000000002</v>
      </c>
      <c r="AD23" s="18">
        <v>0.47360000000000002</v>
      </c>
      <c r="AE23" s="18">
        <v>0.1371</v>
      </c>
      <c r="AF23" s="18">
        <v>0.19500000000000001</v>
      </c>
      <c r="AG23" s="18">
        <v>0.15909999999999999</v>
      </c>
      <c r="AH23" s="18">
        <v>0.40450000000000003</v>
      </c>
      <c r="AI23" s="18">
        <v>0.59150000000000003</v>
      </c>
      <c r="AJ23" s="18">
        <v>0.20599999999999999</v>
      </c>
      <c r="AK23" s="18">
        <v>0.46610000000000001</v>
      </c>
      <c r="AL23" s="18">
        <v>0.1915</v>
      </c>
      <c r="AM23" s="18">
        <v>0.1739</v>
      </c>
      <c r="AN23" s="18">
        <v>0.2349</v>
      </c>
      <c r="AO23" s="18">
        <v>0.12609999999999999</v>
      </c>
      <c r="AP23" s="18">
        <v>0.16489999999999999</v>
      </c>
      <c r="AQ23" s="18">
        <v>0.22</v>
      </c>
      <c r="AR23" s="18">
        <v>9.2399999999999996E-2</v>
      </c>
      <c r="AS23" s="18">
        <v>0.23180000000000001</v>
      </c>
      <c r="AT23" s="18">
        <v>0.19350000000000001</v>
      </c>
      <c r="AU23" s="18">
        <v>7.6100000000000001E-2</v>
      </c>
      <c r="AV23" s="18">
        <v>0.28179999999999999</v>
      </c>
      <c r="AW23" s="18">
        <v>0.1416</v>
      </c>
      <c r="AX23" s="18">
        <v>0.24410000000000001</v>
      </c>
    </row>
    <row r="24" spans="1:50" x14ac:dyDescent="0.25">
      <c r="A24" s="8" t="s">
        <v>70</v>
      </c>
      <c r="B24" s="10" t="s">
        <v>57</v>
      </c>
      <c r="C24" s="16">
        <v>0.38159999999999999</v>
      </c>
      <c r="D24" s="16">
        <v>0.72499999999999998</v>
      </c>
      <c r="E24" s="16">
        <v>0.62829999999999997</v>
      </c>
      <c r="F24" s="16">
        <v>0.15759999999999999</v>
      </c>
      <c r="G24" s="16">
        <v>0.12839999999999999</v>
      </c>
      <c r="H24" s="16">
        <v>0.30149999999999999</v>
      </c>
      <c r="I24" s="16">
        <v>7.3499999999999996E-2</v>
      </c>
      <c r="J24" s="16">
        <v>0.24690000000000001</v>
      </c>
      <c r="K24" s="16">
        <v>0.20349999999999999</v>
      </c>
      <c r="L24" s="16">
        <v>0.2087</v>
      </c>
      <c r="M24" s="16">
        <v>9.1200000000000003E-2</v>
      </c>
      <c r="N24" s="16">
        <v>0.32179999999999997</v>
      </c>
      <c r="O24" s="16">
        <v>0.12859999999999999</v>
      </c>
      <c r="P24" s="16">
        <v>0.1898</v>
      </c>
      <c r="Q24" s="16">
        <v>0.14849999999999999</v>
      </c>
      <c r="R24" s="16">
        <v>0.21679999999999999</v>
      </c>
      <c r="S24" s="16">
        <v>0.16270000000000001</v>
      </c>
      <c r="T24" s="16">
        <v>0.1512</v>
      </c>
      <c r="U24" s="16">
        <v>0.26100000000000001</v>
      </c>
      <c r="V24" s="16">
        <v>0.16220000000000001</v>
      </c>
      <c r="W24" s="16">
        <v>0.18260000000000001</v>
      </c>
      <c r="X24" s="16">
        <v>0.28079999999999999</v>
      </c>
      <c r="Y24" s="16">
        <v>0.30599999999999999</v>
      </c>
      <c r="Z24" s="16">
        <v>0.2001</v>
      </c>
      <c r="AA24" s="16">
        <v>5.2999999999999999E-2</v>
      </c>
      <c r="AB24" s="16">
        <v>0.39200000000000002</v>
      </c>
      <c r="AC24" s="16">
        <v>5.8500000000000003E-2</v>
      </c>
      <c r="AD24" s="16">
        <v>0.114</v>
      </c>
      <c r="AE24" s="16">
        <v>0.23380000000000001</v>
      </c>
      <c r="AF24" s="16">
        <v>0.18390000000000001</v>
      </c>
      <c r="AG24" s="16">
        <v>0.20230000000000001</v>
      </c>
      <c r="AH24" s="16">
        <v>0.1212</v>
      </c>
      <c r="AI24" s="16">
        <v>0.32919999999999999</v>
      </c>
      <c r="AJ24" s="16">
        <v>6.9400000000000003E-2</v>
      </c>
      <c r="AK24" s="16">
        <v>0.28149999999999997</v>
      </c>
      <c r="AL24" s="16">
        <v>0.16889999999999999</v>
      </c>
      <c r="AM24" s="16">
        <v>5.2999999999999999E-2</v>
      </c>
      <c r="AN24" s="16">
        <v>0.27889999999999998</v>
      </c>
      <c r="AO24" s="16">
        <v>0.17150000000000001</v>
      </c>
      <c r="AP24" s="16">
        <v>0.1077</v>
      </c>
      <c r="AQ24" s="16">
        <v>0.27179999999999999</v>
      </c>
      <c r="AR24" s="16">
        <v>0.1239</v>
      </c>
      <c r="AS24" s="16">
        <v>0.40949999999999998</v>
      </c>
      <c r="AT24" s="16">
        <v>0.7198</v>
      </c>
      <c r="AU24" s="16">
        <v>0.7026</v>
      </c>
      <c r="AV24" s="16">
        <v>0.71289999999999998</v>
      </c>
      <c r="AW24" s="16">
        <v>0.2011</v>
      </c>
      <c r="AX24" s="16">
        <v>0.19939999999999999</v>
      </c>
    </row>
    <row r="25" spans="1:50" x14ac:dyDescent="0.25">
      <c r="A25" s="8" t="s">
        <v>72</v>
      </c>
      <c r="B25" s="10" t="s">
        <v>57</v>
      </c>
      <c r="C25" s="16">
        <v>0.58479999999999999</v>
      </c>
      <c r="D25" s="16">
        <v>0.61750000000000005</v>
      </c>
      <c r="E25" s="16">
        <v>4.8099999999999997E-2</v>
      </c>
      <c r="F25" s="16">
        <v>0.1145</v>
      </c>
      <c r="G25" s="16">
        <v>4.3999999999999997E-2</v>
      </c>
      <c r="H25" s="16">
        <v>0.1186</v>
      </c>
      <c r="I25" s="16">
        <v>4.3999999999999997E-2</v>
      </c>
      <c r="J25" s="16">
        <v>0.1186</v>
      </c>
      <c r="K25" s="16">
        <v>4.3999999999999997E-2</v>
      </c>
      <c r="L25" s="16">
        <v>9.3700000000000006E-2</v>
      </c>
      <c r="M25" s="16">
        <v>6.8900000000000003E-2</v>
      </c>
      <c r="N25" s="16">
        <v>9.3700000000000006E-2</v>
      </c>
      <c r="O25" s="16">
        <v>6.8900000000000003E-2</v>
      </c>
      <c r="P25" s="16">
        <v>4.3999999999999997E-2</v>
      </c>
      <c r="Q25" s="16">
        <v>0.1186</v>
      </c>
      <c r="R25" s="16">
        <v>4.3999999999999997E-2</v>
      </c>
      <c r="S25" s="16">
        <v>0.1186</v>
      </c>
      <c r="T25" s="16">
        <v>4.3999999999999997E-2</v>
      </c>
      <c r="U25" s="16">
        <v>0.1186</v>
      </c>
      <c r="V25" s="16">
        <v>4.3999999999999997E-2</v>
      </c>
      <c r="W25" s="16">
        <v>4.3999999999999997E-2</v>
      </c>
      <c r="X25" s="16">
        <v>0.1166</v>
      </c>
      <c r="Y25" s="16">
        <v>8.9099999999999999E-2</v>
      </c>
      <c r="Z25" s="16">
        <v>4.4999999999999998E-2</v>
      </c>
      <c r="AA25" s="16">
        <v>5.3999999999999999E-2</v>
      </c>
      <c r="AB25" s="16">
        <v>0.1288</v>
      </c>
      <c r="AC25" s="16">
        <v>5.6399999999999999E-2</v>
      </c>
      <c r="AD25" s="16">
        <v>6.7799999999999999E-2</v>
      </c>
      <c r="AE25" s="16">
        <v>0.1767</v>
      </c>
      <c r="AF25" s="16">
        <v>4.3999999999999997E-2</v>
      </c>
      <c r="AG25" s="16">
        <v>0.1186</v>
      </c>
      <c r="AH25" s="16">
        <v>4.3999999999999997E-2</v>
      </c>
      <c r="AI25" s="16">
        <v>0.27700000000000002</v>
      </c>
      <c r="AJ25" s="16">
        <v>9.5000000000000001E-2</v>
      </c>
      <c r="AK25" s="16">
        <v>8.6999999999999994E-2</v>
      </c>
      <c r="AL25" s="16">
        <v>0.78069999999999995</v>
      </c>
      <c r="AM25" s="16">
        <v>0.79649999999999999</v>
      </c>
      <c r="AN25" s="16">
        <v>0.73019999999999996</v>
      </c>
      <c r="AO25" s="16">
        <v>0.37830000000000003</v>
      </c>
      <c r="AP25" s="16">
        <v>0.18729999999999999</v>
      </c>
      <c r="AQ25" s="16">
        <v>0.33539999999999998</v>
      </c>
      <c r="AR25" s="16">
        <v>0.23810000000000001</v>
      </c>
      <c r="AS25" s="16">
        <v>0.1817</v>
      </c>
      <c r="AT25" s="16">
        <v>0.36859999999999998</v>
      </c>
      <c r="AU25" s="16">
        <v>0.2979</v>
      </c>
      <c r="AV25" s="16">
        <v>0.2712</v>
      </c>
      <c r="AW25" s="16">
        <v>0.31790000000000002</v>
      </c>
      <c r="AX25" s="16">
        <v>4.3999999999999997E-2</v>
      </c>
    </row>
    <row r="26" spans="1:50" x14ac:dyDescent="0.25">
      <c r="A26" s="17" t="s">
        <v>139</v>
      </c>
      <c r="B26" s="13" t="s">
        <v>116</v>
      </c>
      <c r="C26" s="18">
        <v>0.31640000000000001</v>
      </c>
      <c r="D26" s="18">
        <v>0.1479</v>
      </c>
      <c r="E26" s="18">
        <v>4.5999999999999999E-2</v>
      </c>
      <c r="F26" s="18">
        <v>0.1275</v>
      </c>
      <c r="G26" s="18">
        <v>0.23230000000000001</v>
      </c>
      <c r="H26" s="18">
        <v>4.5999999999999999E-2</v>
      </c>
      <c r="I26" s="18">
        <v>0.129</v>
      </c>
      <c r="J26" s="18">
        <v>0.23089999999999999</v>
      </c>
      <c r="K26" s="18">
        <v>4.5999999999999999E-2</v>
      </c>
      <c r="L26" s="18">
        <v>0.1986</v>
      </c>
      <c r="M26" s="18">
        <v>0.16309999999999999</v>
      </c>
      <c r="N26" s="18">
        <v>0.1371</v>
      </c>
      <c r="O26" s="18">
        <v>0.16669999999999999</v>
      </c>
      <c r="P26" s="18">
        <v>4.5999999999999999E-2</v>
      </c>
      <c r="Q26" s="18">
        <v>0.1479</v>
      </c>
      <c r="R26" s="18">
        <v>0.129</v>
      </c>
      <c r="S26" s="18">
        <v>0.22070000000000001</v>
      </c>
      <c r="T26" s="18">
        <v>6.3899999999999998E-2</v>
      </c>
      <c r="U26" s="18">
        <v>0.16800000000000001</v>
      </c>
      <c r="V26" s="18">
        <v>0.59499999999999997</v>
      </c>
      <c r="W26" s="18">
        <v>0.61250000000000004</v>
      </c>
      <c r="X26" s="18">
        <v>0.44409999999999999</v>
      </c>
      <c r="Y26" s="18">
        <v>0.4577</v>
      </c>
      <c r="Z26" s="18">
        <v>0.66379999999999995</v>
      </c>
      <c r="AA26" s="18">
        <v>0.16930000000000001</v>
      </c>
      <c r="AB26" s="18">
        <v>0.22359999999999999</v>
      </c>
      <c r="AC26" s="18">
        <v>0.13900000000000001</v>
      </c>
      <c r="AD26" s="18">
        <v>0.22259999999999999</v>
      </c>
      <c r="AE26" s="18">
        <v>0.1731</v>
      </c>
      <c r="AF26" s="18">
        <v>7.1199999999999999E-2</v>
      </c>
      <c r="AG26" s="18">
        <v>0.41360000000000002</v>
      </c>
      <c r="AH26" s="18">
        <v>0.1918</v>
      </c>
      <c r="AI26" s="18">
        <v>0.3458</v>
      </c>
      <c r="AJ26" s="18">
        <v>0.47270000000000001</v>
      </c>
      <c r="AK26" s="18">
        <v>0.1512</v>
      </c>
      <c r="AL26" s="18">
        <v>0.29599999999999999</v>
      </c>
      <c r="AM26" s="18">
        <v>0.22289999999999999</v>
      </c>
      <c r="AN26" s="18">
        <v>0.1699</v>
      </c>
      <c r="AO26" s="18">
        <v>0.56079999999999997</v>
      </c>
      <c r="AP26" s="18">
        <v>0.30709999999999998</v>
      </c>
      <c r="AQ26" s="18">
        <v>0.39579999999999999</v>
      </c>
      <c r="AR26" s="18">
        <v>0.45610000000000001</v>
      </c>
      <c r="AS26" s="18">
        <v>0.43609999999999999</v>
      </c>
      <c r="AT26" s="18">
        <v>0.36120000000000002</v>
      </c>
      <c r="AU26" s="18">
        <v>0.60150000000000003</v>
      </c>
      <c r="AV26" s="18">
        <v>0.40339999999999998</v>
      </c>
      <c r="AW26" s="18">
        <v>0.22040000000000001</v>
      </c>
      <c r="AX26" s="18">
        <v>0.4602</v>
      </c>
    </row>
    <row r="27" spans="1:50" x14ac:dyDescent="0.25">
      <c r="A27" s="17" t="s">
        <v>141</v>
      </c>
      <c r="B27" s="13" t="s">
        <v>116</v>
      </c>
      <c r="C27" s="18">
        <v>6.0499999999999998E-2</v>
      </c>
      <c r="D27" s="18">
        <v>0.18479999999999999</v>
      </c>
      <c r="E27" s="18">
        <v>0.1348</v>
      </c>
      <c r="F27" s="18">
        <v>0.1615</v>
      </c>
      <c r="G27" s="18">
        <v>0.14910000000000001</v>
      </c>
      <c r="H27" s="18">
        <v>0.22670000000000001</v>
      </c>
      <c r="I27" s="18">
        <v>6.93E-2</v>
      </c>
      <c r="J27" s="18">
        <v>0.20860000000000001</v>
      </c>
      <c r="K27" s="18">
        <v>4.2799999999999998E-2</v>
      </c>
      <c r="L27" s="18">
        <v>0.1047</v>
      </c>
      <c r="M27" s="18">
        <v>0.1074</v>
      </c>
      <c r="N27" s="18">
        <v>0.42599999999999999</v>
      </c>
      <c r="O27" s="18">
        <v>7.0400000000000004E-2</v>
      </c>
      <c r="P27" s="18">
        <v>0.1956</v>
      </c>
      <c r="Q27" s="18">
        <v>1.0387999999999999</v>
      </c>
      <c r="R27" s="18">
        <v>1.6862999999999999</v>
      </c>
      <c r="S27" s="18">
        <v>1.4319999999999999</v>
      </c>
      <c r="T27" s="18">
        <v>0.16450000000000001</v>
      </c>
      <c r="U27" s="18">
        <v>0.2344</v>
      </c>
      <c r="V27" s="18">
        <v>3.8899999999999997E-2</v>
      </c>
      <c r="W27" s="18">
        <v>0.26290000000000002</v>
      </c>
      <c r="X27" s="18">
        <v>0.1129</v>
      </c>
      <c r="Y27" s="18">
        <v>3.4000000000000002E-2</v>
      </c>
      <c r="Z27" s="18">
        <v>0.16450000000000001</v>
      </c>
      <c r="AA27" s="18">
        <v>0.1981</v>
      </c>
      <c r="AB27" s="18">
        <v>0.13830000000000001</v>
      </c>
      <c r="AC27" s="18">
        <v>0.1835</v>
      </c>
      <c r="AD27" s="18">
        <v>0.2346</v>
      </c>
      <c r="AE27" s="18">
        <v>0.16550000000000001</v>
      </c>
      <c r="AF27" s="18">
        <v>0.19420000000000001</v>
      </c>
      <c r="AG27" s="18">
        <v>0.187</v>
      </c>
      <c r="AH27" s="18">
        <v>0.15260000000000001</v>
      </c>
      <c r="AI27" s="18">
        <v>0.22950000000000001</v>
      </c>
      <c r="AJ27" s="18">
        <v>6.1100000000000002E-2</v>
      </c>
      <c r="AK27" s="18">
        <v>0.35270000000000001</v>
      </c>
      <c r="AL27" s="18">
        <v>0.13</v>
      </c>
      <c r="AM27" s="18">
        <v>0.1454</v>
      </c>
      <c r="AN27" s="18">
        <v>0.18310000000000001</v>
      </c>
      <c r="AO27" s="18">
        <v>0.17710000000000001</v>
      </c>
      <c r="AP27" s="18">
        <v>0.1467</v>
      </c>
      <c r="AQ27" s="18">
        <v>0.14960000000000001</v>
      </c>
      <c r="AR27" s="18">
        <v>0.1019</v>
      </c>
      <c r="AS27" s="18">
        <v>0.22989999999999999</v>
      </c>
      <c r="AT27" s="18">
        <v>7.8E-2</v>
      </c>
      <c r="AU27" s="18">
        <v>0.2923</v>
      </c>
      <c r="AV27" s="18">
        <v>0.49509999999999998</v>
      </c>
      <c r="AW27" s="18">
        <v>9.1399999999999995E-2</v>
      </c>
      <c r="AX27" s="18">
        <v>5.1799999999999999E-2</v>
      </c>
    </row>
    <row r="28" spans="1:50" x14ac:dyDescent="0.25">
      <c r="A28" s="17" t="s">
        <v>143</v>
      </c>
      <c r="B28" s="13" t="s">
        <v>116</v>
      </c>
      <c r="C28" s="18">
        <v>5.1999999999999998E-2</v>
      </c>
      <c r="D28" s="18">
        <v>5.1999999999999998E-2</v>
      </c>
      <c r="E28" s="18">
        <v>5.1999999999999998E-2</v>
      </c>
      <c r="F28" s="18">
        <v>5.1999999999999998E-2</v>
      </c>
      <c r="G28" s="18">
        <v>5.1999999999999998E-2</v>
      </c>
      <c r="H28" s="18">
        <v>5.1999999999999998E-2</v>
      </c>
      <c r="I28" s="18">
        <v>5.1999999999999998E-2</v>
      </c>
      <c r="J28" s="18">
        <v>5.1999999999999998E-2</v>
      </c>
      <c r="K28" s="18">
        <v>5.1999999999999998E-2</v>
      </c>
      <c r="L28" s="18">
        <v>5.1999999999999998E-2</v>
      </c>
      <c r="M28" s="18">
        <v>5.1999999999999998E-2</v>
      </c>
      <c r="N28" s="18">
        <v>5.1999999999999998E-2</v>
      </c>
      <c r="O28" s="18">
        <v>5.1999999999999998E-2</v>
      </c>
      <c r="P28" s="18">
        <v>5.1999999999999998E-2</v>
      </c>
      <c r="Q28" s="18">
        <v>0.1076</v>
      </c>
      <c r="R28" s="18">
        <v>5.1999999999999998E-2</v>
      </c>
      <c r="S28" s="18">
        <v>5.1999999999999998E-2</v>
      </c>
      <c r="T28" s="18">
        <v>0.1653</v>
      </c>
      <c r="U28" s="18">
        <v>0.13109999999999999</v>
      </c>
      <c r="V28" s="18">
        <v>9.6000000000000002E-2</v>
      </c>
      <c r="W28" s="18">
        <v>5.1999999999999998E-2</v>
      </c>
      <c r="X28" s="18">
        <v>5.1999999999999998E-2</v>
      </c>
      <c r="Y28" s="18">
        <v>5.1999999999999998E-2</v>
      </c>
      <c r="Z28" s="18">
        <v>6.4000000000000001E-2</v>
      </c>
      <c r="AA28" s="18">
        <v>0.13969999999999999</v>
      </c>
      <c r="AB28" s="18">
        <v>0.15920000000000001</v>
      </c>
      <c r="AC28" s="18">
        <v>5.3999999999999999E-2</v>
      </c>
      <c r="AD28" s="18">
        <v>0.44350000000000001</v>
      </c>
      <c r="AE28" s="18">
        <v>5.4699999999999999E-2</v>
      </c>
      <c r="AF28" s="18">
        <v>6.2E-2</v>
      </c>
      <c r="AG28" s="18">
        <v>9.9000000000000005E-2</v>
      </c>
      <c r="AH28" s="18">
        <v>0.19389999999999999</v>
      </c>
      <c r="AI28" s="18">
        <v>0.27029999999999998</v>
      </c>
      <c r="AJ28" s="18">
        <v>0.1484</v>
      </c>
      <c r="AK28" s="18">
        <v>9.1499999999999998E-2</v>
      </c>
      <c r="AL28" s="18">
        <v>0.26879999999999998</v>
      </c>
      <c r="AM28" s="18">
        <v>0.123</v>
      </c>
      <c r="AN28" s="18">
        <v>0.1105</v>
      </c>
      <c r="AO28" s="18">
        <v>0.21940000000000001</v>
      </c>
      <c r="AP28" s="18">
        <v>0.45729999999999998</v>
      </c>
      <c r="AQ28" s="18">
        <v>0.60399999999999998</v>
      </c>
      <c r="AR28" s="18">
        <v>0.47510000000000002</v>
      </c>
      <c r="AS28" s="18">
        <v>0.68069999999999997</v>
      </c>
      <c r="AT28" s="18">
        <v>0.82920000000000005</v>
      </c>
      <c r="AU28" s="18">
        <v>0.83589999999999998</v>
      </c>
      <c r="AV28" s="18">
        <v>0.61799999999999999</v>
      </c>
      <c r="AW28" s="18">
        <v>0.46329999999999999</v>
      </c>
      <c r="AX28" s="18">
        <v>0.47739999999999999</v>
      </c>
    </row>
    <row r="29" spans="1:50" x14ac:dyDescent="0.25">
      <c r="A29" s="17" t="s">
        <v>145</v>
      </c>
      <c r="B29" s="13" t="s">
        <v>116</v>
      </c>
      <c r="C29" s="18">
        <v>0.2064</v>
      </c>
      <c r="D29" s="18">
        <v>0.1245</v>
      </c>
      <c r="E29" s="18">
        <v>0.15820000000000001</v>
      </c>
      <c r="F29" s="18">
        <v>0.14180000000000001</v>
      </c>
      <c r="G29" s="18">
        <v>0.13400000000000001</v>
      </c>
      <c r="H29" s="18">
        <v>0.17369999999999999</v>
      </c>
      <c r="I29" s="18">
        <v>0.109</v>
      </c>
      <c r="J29" s="18">
        <v>0.24110000000000001</v>
      </c>
      <c r="K29" s="18">
        <v>8.9700000000000002E-2</v>
      </c>
      <c r="L29" s="18">
        <v>0.10050000000000001</v>
      </c>
      <c r="M29" s="18">
        <v>0.23039999999999999</v>
      </c>
      <c r="N29" s="18">
        <v>5.5E-2</v>
      </c>
      <c r="O29" s="18">
        <v>5.5E-2</v>
      </c>
      <c r="P29" s="18">
        <v>5.5E-2</v>
      </c>
      <c r="Q29" s="18">
        <v>0.27589999999999998</v>
      </c>
      <c r="R29" s="18">
        <v>5.5E-2</v>
      </c>
      <c r="S29" s="18">
        <v>0.158</v>
      </c>
      <c r="T29" s="18">
        <v>0.17280000000000001</v>
      </c>
      <c r="U29" s="18">
        <v>0.1245</v>
      </c>
      <c r="V29" s="18">
        <v>7.5600000000000001E-2</v>
      </c>
      <c r="W29" s="18">
        <v>0.23980000000000001</v>
      </c>
      <c r="X29" s="18">
        <v>7.0400000000000004E-2</v>
      </c>
      <c r="Y29" s="18">
        <v>0.24060000000000001</v>
      </c>
      <c r="Z29" s="18">
        <v>9.0200000000000002E-2</v>
      </c>
      <c r="AA29" s="18">
        <v>0.109</v>
      </c>
      <c r="AB29" s="18">
        <v>0.17369999999999999</v>
      </c>
      <c r="AC29" s="18">
        <v>0.1032</v>
      </c>
      <c r="AD29" s="18">
        <v>0.1245</v>
      </c>
      <c r="AE29" s="18">
        <v>0.2064</v>
      </c>
      <c r="AF29" s="18">
        <v>5.5E-2</v>
      </c>
      <c r="AG29" s="18">
        <v>0.1245</v>
      </c>
      <c r="AH29" s="18">
        <v>0.2064</v>
      </c>
      <c r="AI29" s="18">
        <v>5.5E-2</v>
      </c>
      <c r="AJ29" s="18">
        <v>0.20699999999999999</v>
      </c>
      <c r="AK29" s="18">
        <v>0.12379999999999999</v>
      </c>
      <c r="AL29" s="18">
        <v>5.5E-2</v>
      </c>
      <c r="AM29" s="18">
        <v>5.8900000000000001E-2</v>
      </c>
      <c r="AN29" s="18">
        <v>0.1757</v>
      </c>
      <c r="AO29" s="18">
        <v>0.69010000000000005</v>
      </c>
      <c r="AP29" s="18">
        <v>0.44090000000000001</v>
      </c>
      <c r="AQ29" s="18">
        <v>0.90300000000000002</v>
      </c>
      <c r="AR29" s="18">
        <v>0.39019999999999999</v>
      </c>
      <c r="AS29" s="18">
        <v>0.53110000000000002</v>
      </c>
      <c r="AT29" s="18">
        <v>0.59670000000000001</v>
      </c>
      <c r="AU29" s="18">
        <v>0.42649999999999999</v>
      </c>
      <c r="AV29" s="18">
        <v>1.099</v>
      </c>
      <c r="AW29" s="18">
        <v>0.4718</v>
      </c>
      <c r="AX29" s="18">
        <v>0.78359999999999996</v>
      </c>
    </row>
    <row r="30" spans="1:50" x14ac:dyDescent="0.25">
      <c r="A30" s="17" t="s">
        <v>147</v>
      </c>
      <c r="B30" s="13" t="s">
        <v>116</v>
      </c>
      <c r="C30" s="18">
        <v>0.25219999999999998</v>
      </c>
      <c r="D30" s="18">
        <v>5.7000000000000002E-2</v>
      </c>
      <c r="E30" s="18">
        <v>0.22559999999999999</v>
      </c>
      <c r="F30" s="18">
        <v>8.3599999999999994E-2</v>
      </c>
      <c r="G30" s="18">
        <v>0.128</v>
      </c>
      <c r="H30" s="18">
        <v>0.1812</v>
      </c>
      <c r="I30" s="18">
        <v>7.4700000000000003E-2</v>
      </c>
      <c r="J30" s="18">
        <v>0.2344</v>
      </c>
      <c r="K30" s="18">
        <v>5.7000000000000002E-2</v>
      </c>
      <c r="L30" s="18">
        <v>0.25219999999999998</v>
      </c>
      <c r="M30" s="18">
        <v>5.7000000000000002E-2</v>
      </c>
      <c r="N30" s="18">
        <v>5.7000000000000002E-2</v>
      </c>
      <c r="O30" s="18">
        <v>0.19009999999999999</v>
      </c>
      <c r="P30" s="18">
        <v>1.2203999999999999</v>
      </c>
      <c r="Q30" s="18">
        <v>0.2301</v>
      </c>
      <c r="R30" s="18">
        <v>0.1812</v>
      </c>
      <c r="S30" s="18">
        <v>0.108</v>
      </c>
      <c r="T30" s="18">
        <v>0.51790000000000003</v>
      </c>
      <c r="U30" s="18">
        <v>0.1754</v>
      </c>
      <c r="V30" s="18">
        <v>0.15890000000000001</v>
      </c>
      <c r="W30" s="18">
        <v>6.9900000000000004E-2</v>
      </c>
      <c r="X30" s="18">
        <v>1.0475000000000001</v>
      </c>
      <c r="Y30" s="18">
        <v>0.82879999999999998</v>
      </c>
      <c r="Z30" s="18">
        <v>1.9315</v>
      </c>
      <c r="AA30" s="18">
        <v>0.42249999999999999</v>
      </c>
      <c r="AB30" s="18">
        <v>0.51419999999999999</v>
      </c>
      <c r="AC30" s="18">
        <v>0.13769999999999999</v>
      </c>
      <c r="AD30" s="18">
        <v>0.16350000000000001</v>
      </c>
      <c r="AE30" s="18">
        <v>0.1457</v>
      </c>
      <c r="AF30" s="18">
        <v>5.7000000000000002E-2</v>
      </c>
      <c r="AG30" s="18">
        <v>0.22559999999999999</v>
      </c>
      <c r="AH30" s="18">
        <v>8.3599999999999994E-2</v>
      </c>
      <c r="AI30" s="18">
        <v>5.7000000000000002E-2</v>
      </c>
      <c r="AJ30" s="18">
        <v>0.20780000000000001</v>
      </c>
      <c r="AK30" s="18">
        <v>0.22639999999999999</v>
      </c>
      <c r="AL30" s="18">
        <v>0.19420000000000001</v>
      </c>
      <c r="AM30" s="18">
        <v>0.4163</v>
      </c>
      <c r="AN30" s="18">
        <v>0.64149999999999996</v>
      </c>
      <c r="AO30" s="18">
        <v>0.33529999999999999</v>
      </c>
      <c r="AP30" s="18">
        <v>0.38319999999999999</v>
      </c>
      <c r="AQ30" s="18">
        <v>0.37969999999999998</v>
      </c>
      <c r="AR30" s="18">
        <v>0.69069999999999998</v>
      </c>
      <c r="AS30" s="18">
        <v>0.41039999999999999</v>
      </c>
      <c r="AT30" s="18">
        <v>0.99199999999999999</v>
      </c>
      <c r="AU30" s="18">
        <v>0.55110000000000003</v>
      </c>
      <c r="AV30" s="18">
        <v>0.81799999999999995</v>
      </c>
      <c r="AW30" s="18">
        <v>0.66390000000000005</v>
      </c>
      <c r="AX30" s="18">
        <v>0.30580000000000002</v>
      </c>
    </row>
    <row r="31" spans="1:50" x14ac:dyDescent="0.25">
      <c r="A31" s="8" t="s">
        <v>74</v>
      </c>
      <c r="B31" s="10" t="s">
        <v>57</v>
      </c>
      <c r="C31" s="16">
        <v>0.41249999999999998</v>
      </c>
      <c r="D31" s="16">
        <v>0.22739999999999999</v>
      </c>
      <c r="E31" s="16">
        <v>0.1744</v>
      </c>
      <c r="F31" s="16">
        <v>0.10639999999999999</v>
      </c>
      <c r="G31" s="16">
        <v>4.5999999999999999E-2</v>
      </c>
      <c r="H31" s="16">
        <v>8.9899999999999994E-2</v>
      </c>
      <c r="I31" s="16">
        <v>0.19089999999999999</v>
      </c>
      <c r="J31" s="16">
        <v>0.1031</v>
      </c>
      <c r="K31" s="16">
        <v>7.8899999999999998E-2</v>
      </c>
      <c r="L31" s="16">
        <v>0.14480000000000001</v>
      </c>
      <c r="M31" s="16">
        <v>0.125</v>
      </c>
      <c r="N31" s="16">
        <v>4.5999999999999999E-2</v>
      </c>
      <c r="O31" s="16">
        <v>0.20399999999999999</v>
      </c>
      <c r="P31" s="16">
        <v>8.9099999999999999E-2</v>
      </c>
      <c r="Q31" s="16">
        <v>0.38969999999999999</v>
      </c>
      <c r="R31" s="16">
        <v>0.31719999999999998</v>
      </c>
      <c r="S31" s="16">
        <v>0.2034</v>
      </c>
      <c r="T31" s="16">
        <v>0.16769999999999999</v>
      </c>
      <c r="U31" s="16">
        <v>0.1963</v>
      </c>
      <c r="V31" s="16">
        <v>0.13270000000000001</v>
      </c>
      <c r="W31" s="16">
        <v>0.23400000000000001</v>
      </c>
      <c r="X31" s="16">
        <v>0.13339999999999999</v>
      </c>
      <c r="Y31" s="16">
        <v>0.21510000000000001</v>
      </c>
      <c r="Z31" s="16">
        <v>0.26819999999999999</v>
      </c>
      <c r="AA31" s="16">
        <v>0.16889999999999999</v>
      </c>
      <c r="AB31" s="16">
        <v>5.0799999999999998E-2</v>
      </c>
      <c r="AC31" s="16">
        <v>0.19839999999999999</v>
      </c>
      <c r="AD31" s="16">
        <v>0.1915</v>
      </c>
      <c r="AE31" s="16">
        <v>0.4919</v>
      </c>
      <c r="AF31" s="16">
        <v>0.24340000000000001</v>
      </c>
      <c r="AG31" s="16">
        <v>0.1401</v>
      </c>
      <c r="AH31" s="16">
        <v>0.1946</v>
      </c>
      <c r="AI31" s="16">
        <v>7.9600000000000004E-2</v>
      </c>
      <c r="AJ31" s="16">
        <v>0.13539999999999999</v>
      </c>
      <c r="AK31" s="16">
        <v>0.125</v>
      </c>
      <c r="AL31" s="16">
        <v>0.38159999999999999</v>
      </c>
      <c r="AM31" s="16">
        <v>0.1186</v>
      </c>
      <c r="AN31" s="16">
        <v>0.15340000000000001</v>
      </c>
      <c r="AO31" s="16">
        <v>0.26679999999999998</v>
      </c>
      <c r="AP31" s="16">
        <v>0.23480000000000001</v>
      </c>
      <c r="AQ31" s="16">
        <v>4.5999999999999999E-2</v>
      </c>
      <c r="AR31" s="16">
        <v>0.31419999999999998</v>
      </c>
      <c r="AS31" s="16">
        <v>0.15840000000000001</v>
      </c>
      <c r="AT31" s="16">
        <v>1.4963</v>
      </c>
      <c r="AU31" s="16">
        <v>0.5534</v>
      </c>
      <c r="AV31" s="16">
        <v>0.53839999999999999</v>
      </c>
      <c r="AW31" s="16">
        <v>0.39419999999999999</v>
      </c>
      <c r="AX31" s="16">
        <v>0.31709999999999999</v>
      </c>
    </row>
    <row r="32" spans="1:50" x14ac:dyDescent="0.25">
      <c r="A32" s="8" t="s">
        <v>76</v>
      </c>
      <c r="B32" s="10" t="s">
        <v>57</v>
      </c>
      <c r="C32" s="16">
        <v>0.1087</v>
      </c>
      <c r="D32" s="16">
        <v>4.2200000000000001E-2</v>
      </c>
      <c r="E32" s="16">
        <v>3.7999999999999999E-2</v>
      </c>
      <c r="F32" s="16">
        <v>8.3799999999999999E-2</v>
      </c>
      <c r="G32" s="16">
        <v>6.7100000000000007E-2</v>
      </c>
      <c r="H32" s="16">
        <v>7.5399999999999995E-2</v>
      </c>
      <c r="I32" s="16">
        <v>7.5399999999999995E-2</v>
      </c>
      <c r="J32" s="16">
        <v>0.1004</v>
      </c>
      <c r="K32" s="16">
        <v>5.0500000000000003E-2</v>
      </c>
      <c r="L32" s="16">
        <v>3.7999999999999999E-2</v>
      </c>
      <c r="M32" s="16">
        <v>3.7999999999999999E-2</v>
      </c>
      <c r="N32" s="16">
        <v>0.1129</v>
      </c>
      <c r="O32" s="16">
        <v>3.7999999999999999E-2</v>
      </c>
      <c r="P32" s="16">
        <v>0.1129</v>
      </c>
      <c r="Q32" s="16">
        <v>3.7999999999999999E-2</v>
      </c>
      <c r="R32" s="16">
        <v>8.7900000000000006E-2</v>
      </c>
      <c r="S32" s="16">
        <v>6.3E-2</v>
      </c>
      <c r="T32" s="16">
        <v>3.7999999999999999E-2</v>
      </c>
      <c r="U32" s="16">
        <v>5.57E-2</v>
      </c>
      <c r="V32" s="16">
        <v>0.11020000000000001</v>
      </c>
      <c r="W32" s="16">
        <v>7.4200000000000002E-2</v>
      </c>
      <c r="X32" s="16">
        <v>7.0599999999999996E-2</v>
      </c>
      <c r="Y32" s="16">
        <v>0.13</v>
      </c>
      <c r="Z32" s="16">
        <v>0.2293</v>
      </c>
      <c r="AA32" s="16">
        <v>7.5399999999999995E-2</v>
      </c>
      <c r="AB32" s="16">
        <v>0.30790000000000001</v>
      </c>
      <c r="AC32" s="16">
        <v>0.1701</v>
      </c>
      <c r="AD32" s="16">
        <v>0.126</v>
      </c>
      <c r="AE32" s="16">
        <v>0.10979999999999999</v>
      </c>
      <c r="AF32" s="16">
        <v>0.1164</v>
      </c>
      <c r="AG32" s="16">
        <v>9.3600000000000003E-2</v>
      </c>
      <c r="AH32" s="16">
        <v>0.37409999999999999</v>
      </c>
      <c r="AI32" s="16">
        <v>0.20019999999999999</v>
      </c>
      <c r="AJ32" s="16">
        <v>7.5399999999999995E-2</v>
      </c>
      <c r="AK32" s="16">
        <v>0.13139999999999999</v>
      </c>
      <c r="AL32" s="16">
        <v>0.28289999999999998</v>
      </c>
      <c r="AM32" s="16">
        <v>0.40210000000000001</v>
      </c>
      <c r="AN32" s="16">
        <v>0.18079999999999999</v>
      </c>
      <c r="AO32" s="16">
        <v>0.42849999999999999</v>
      </c>
      <c r="AP32" s="16">
        <v>0.40529999999999999</v>
      </c>
      <c r="AQ32" s="16">
        <v>0.34749999999999998</v>
      </c>
      <c r="AR32" s="16">
        <v>0.49719999999999998</v>
      </c>
      <c r="AS32" s="16">
        <v>0.45300000000000001</v>
      </c>
      <c r="AT32" s="16">
        <v>0.25409999999999999</v>
      </c>
      <c r="AU32" s="16">
        <v>0.3054</v>
      </c>
      <c r="AV32" s="16">
        <v>0.1832</v>
      </c>
      <c r="AW32" s="16">
        <v>3.7999999999999999E-2</v>
      </c>
      <c r="AX32" s="16">
        <v>0.1129</v>
      </c>
    </row>
    <row r="33" spans="1:50" x14ac:dyDescent="0.25">
      <c r="A33" s="17" t="s">
        <v>149</v>
      </c>
      <c r="B33" s="13" t="s">
        <v>116</v>
      </c>
      <c r="C33" s="18">
        <v>0.1046</v>
      </c>
      <c r="D33" s="18">
        <v>0.28570000000000001</v>
      </c>
      <c r="E33" s="18">
        <v>0.04</v>
      </c>
      <c r="F33" s="18">
        <v>0.27329999999999999</v>
      </c>
      <c r="G33" s="18">
        <v>0.1171</v>
      </c>
      <c r="H33" s="18">
        <v>7.17E-2</v>
      </c>
      <c r="I33" s="18">
        <v>0.21210000000000001</v>
      </c>
      <c r="J33" s="18">
        <v>0.04</v>
      </c>
      <c r="K33" s="18">
        <v>0.1323</v>
      </c>
      <c r="L33" s="18">
        <v>0.15670000000000001</v>
      </c>
      <c r="M33" s="18">
        <v>0.1585</v>
      </c>
      <c r="N33" s="18">
        <v>0.11899999999999999</v>
      </c>
      <c r="O33" s="18">
        <v>0.25430000000000003</v>
      </c>
      <c r="P33" s="18">
        <v>0.04</v>
      </c>
      <c r="Q33" s="18">
        <v>0.12130000000000001</v>
      </c>
      <c r="R33" s="18">
        <v>0.2772</v>
      </c>
      <c r="S33" s="18">
        <v>4.6300000000000001E-2</v>
      </c>
      <c r="T33" s="18">
        <v>0.25590000000000002</v>
      </c>
      <c r="U33" s="18">
        <v>0.1394</v>
      </c>
      <c r="V33" s="18">
        <v>0.15179999999999999</v>
      </c>
      <c r="W33" s="18">
        <v>0.2918</v>
      </c>
      <c r="X33" s="18">
        <v>0.1244</v>
      </c>
      <c r="Y33" s="18">
        <v>0.16669999999999999</v>
      </c>
      <c r="Z33" s="18">
        <v>0.14660000000000001</v>
      </c>
      <c r="AA33" s="18">
        <v>0.1678</v>
      </c>
      <c r="AB33" s="18">
        <v>0.16170000000000001</v>
      </c>
      <c r="AC33" s="18">
        <v>0.1009</v>
      </c>
      <c r="AD33" s="18">
        <v>0.26179999999999998</v>
      </c>
      <c r="AE33" s="18">
        <v>1.0548</v>
      </c>
      <c r="AF33" s="18">
        <v>0.14230000000000001</v>
      </c>
      <c r="AG33" s="18">
        <v>6.4399999999999999E-2</v>
      </c>
      <c r="AH33" s="18">
        <v>0.30459999999999998</v>
      </c>
      <c r="AI33" s="18">
        <v>0.1162</v>
      </c>
      <c r="AJ33" s="18">
        <v>0.1673</v>
      </c>
      <c r="AK33" s="18">
        <v>0.47539999999999999</v>
      </c>
      <c r="AL33" s="18">
        <v>0.3241</v>
      </c>
      <c r="AM33" s="18">
        <v>0.30220000000000002</v>
      </c>
      <c r="AN33" s="18">
        <v>0.50749999999999995</v>
      </c>
      <c r="AO33" s="18">
        <v>0.54359999999999997</v>
      </c>
      <c r="AP33" s="18">
        <v>0.45419999999999999</v>
      </c>
      <c r="AQ33" s="18">
        <v>0.3911</v>
      </c>
      <c r="AR33" s="18">
        <v>0.39100000000000001</v>
      </c>
      <c r="AS33" s="18">
        <v>0.49930000000000002</v>
      </c>
      <c r="AT33" s="18">
        <v>0.32769999999999999</v>
      </c>
      <c r="AU33" s="18">
        <v>0.2324</v>
      </c>
      <c r="AV33" s="18">
        <v>9.7000000000000003E-2</v>
      </c>
      <c r="AW33" s="18">
        <v>0.22359999999999999</v>
      </c>
      <c r="AX33" s="18">
        <v>0.16039999999999999</v>
      </c>
    </row>
    <row r="34" spans="1:50" x14ac:dyDescent="0.25">
      <c r="A34" s="8" t="s">
        <v>78</v>
      </c>
      <c r="B34" s="10" t="s">
        <v>57</v>
      </c>
      <c r="C34" s="16">
        <v>0.11119999999999999</v>
      </c>
      <c r="D34" s="16">
        <v>0.2475</v>
      </c>
      <c r="E34" s="16">
        <v>5.1999999999999998E-2</v>
      </c>
      <c r="F34" s="16">
        <v>6.0100000000000001E-2</v>
      </c>
      <c r="G34" s="16">
        <v>0.2225</v>
      </c>
      <c r="H34" s="16">
        <v>5.1999999999999998E-2</v>
      </c>
      <c r="I34" s="16">
        <v>0.12809999999999999</v>
      </c>
      <c r="J34" s="16">
        <v>0.2306</v>
      </c>
      <c r="K34" s="16">
        <v>0.12809999999999999</v>
      </c>
      <c r="L34" s="16">
        <v>5.1999999999999998E-2</v>
      </c>
      <c r="M34" s="16">
        <v>0.30669999999999997</v>
      </c>
      <c r="N34" s="16">
        <v>5.1999999999999998E-2</v>
      </c>
      <c r="O34" s="16">
        <v>0.1222</v>
      </c>
      <c r="P34" s="16">
        <v>0.42899999999999999</v>
      </c>
      <c r="Q34" s="16">
        <v>0.2712</v>
      </c>
      <c r="R34" s="16">
        <v>0.47810000000000002</v>
      </c>
      <c r="S34" s="16">
        <v>6.4699999999999994E-2</v>
      </c>
      <c r="T34" s="16">
        <v>0.28110000000000002</v>
      </c>
      <c r="U34" s="16">
        <v>0.37869999999999998</v>
      </c>
      <c r="V34" s="16">
        <v>0.32550000000000001</v>
      </c>
      <c r="W34" s="16">
        <v>0.99729999999999996</v>
      </c>
      <c r="X34" s="16">
        <v>0.45519999999999999</v>
      </c>
      <c r="Y34" s="16">
        <v>0.3125</v>
      </c>
      <c r="Z34" s="16">
        <v>5.1999999999999998E-2</v>
      </c>
      <c r="AA34" s="16">
        <v>0.30669999999999997</v>
      </c>
      <c r="AB34" s="16">
        <v>5.1999999999999998E-2</v>
      </c>
      <c r="AC34" s="16">
        <v>5.1999999999999998E-2</v>
      </c>
      <c r="AD34" s="16">
        <v>0.28560000000000002</v>
      </c>
      <c r="AE34" s="16">
        <v>7.3099999999999998E-2</v>
      </c>
      <c r="AF34" s="16">
        <v>0.18190000000000001</v>
      </c>
      <c r="AG34" s="16">
        <v>0.15570000000000001</v>
      </c>
      <c r="AH34" s="16">
        <v>0.15429999999999999</v>
      </c>
      <c r="AI34" s="16">
        <v>0.14940000000000001</v>
      </c>
      <c r="AJ34" s="16">
        <v>0.1154</v>
      </c>
      <c r="AK34" s="16">
        <v>0.21890000000000001</v>
      </c>
      <c r="AL34" s="16">
        <v>7.6399999999999996E-2</v>
      </c>
      <c r="AM34" s="16">
        <v>0.1525</v>
      </c>
      <c r="AN34" s="16">
        <v>0.20619999999999999</v>
      </c>
      <c r="AO34" s="16">
        <v>0.1027</v>
      </c>
      <c r="AP34" s="16">
        <v>7.7399999999999997E-2</v>
      </c>
      <c r="AQ34" s="16">
        <v>8.1600000000000006E-2</v>
      </c>
      <c r="AR34" s="16">
        <v>0.1148</v>
      </c>
      <c r="AS34" s="16">
        <v>0.25659999999999999</v>
      </c>
      <c r="AT34" s="16">
        <v>8.5800000000000001E-2</v>
      </c>
      <c r="AU34" s="16">
        <v>0.25629999999999997</v>
      </c>
      <c r="AV34" s="16">
        <v>0.1024</v>
      </c>
      <c r="AW34" s="16">
        <v>5.1999999999999998E-2</v>
      </c>
      <c r="AX34" s="16">
        <v>0.2306</v>
      </c>
    </row>
    <row r="35" spans="1:50" x14ac:dyDescent="0.25">
      <c r="A35" s="8" t="s">
        <v>80</v>
      </c>
      <c r="B35" s="10" t="s">
        <v>57</v>
      </c>
      <c r="C35" s="16">
        <v>0.11749999999999999</v>
      </c>
      <c r="D35" s="16">
        <v>3.7999999999999999E-2</v>
      </c>
      <c r="E35" s="16">
        <v>5.1200000000000002E-2</v>
      </c>
      <c r="F35" s="16">
        <v>0.1042</v>
      </c>
      <c r="G35" s="16">
        <v>6.4500000000000002E-2</v>
      </c>
      <c r="H35" s="16">
        <v>9.0999999999999998E-2</v>
      </c>
      <c r="I35" s="16">
        <v>3.7999999999999999E-2</v>
      </c>
      <c r="J35" s="16">
        <v>3.7999999999999999E-2</v>
      </c>
      <c r="K35" s="16">
        <v>3.7999999999999999E-2</v>
      </c>
      <c r="L35" s="16">
        <v>0.11749999999999999</v>
      </c>
      <c r="M35" s="16">
        <v>3.7999999999999999E-2</v>
      </c>
      <c r="N35" s="16">
        <v>3.7999999999999999E-2</v>
      </c>
      <c r="O35" s="16">
        <v>3.7999999999999999E-2</v>
      </c>
      <c r="P35" s="16">
        <v>8.2199999999999995E-2</v>
      </c>
      <c r="Q35" s="16">
        <v>7.3300000000000004E-2</v>
      </c>
      <c r="R35" s="16">
        <v>3.7999999999999999E-2</v>
      </c>
      <c r="S35" s="16">
        <v>6.4500000000000002E-2</v>
      </c>
      <c r="T35" s="16">
        <v>9.0999999999999998E-2</v>
      </c>
      <c r="U35" s="16">
        <v>8.6599999999999996E-2</v>
      </c>
      <c r="V35" s="16">
        <v>0.254</v>
      </c>
      <c r="W35" s="16">
        <v>3.7999999999999999E-2</v>
      </c>
      <c r="X35" s="16">
        <v>8.6599999999999996E-2</v>
      </c>
      <c r="Y35" s="16">
        <v>6.8900000000000003E-2</v>
      </c>
      <c r="Z35" s="16">
        <v>7.3300000000000004E-2</v>
      </c>
      <c r="AA35" s="16">
        <v>9.5100000000000004E-2</v>
      </c>
      <c r="AB35" s="16">
        <v>0.51149999999999995</v>
      </c>
      <c r="AC35" s="16">
        <v>1.0136000000000001</v>
      </c>
      <c r="AD35" s="16">
        <v>0.18340000000000001</v>
      </c>
      <c r="AE35" s="16">
        <v>1.9113</v>
      </c>
      <c r="AF35" s="16">
        <v>0.1043</v>
      </c>
      <c r="AG35" s="16">
        <v>3.7999999999999999E-2</v>
      </c>
      <c r="AH35" s="16">
        <v>9.0999999999999998E-2</v>
      </c>
      <c r="AI35" s="16">
        <v>6.4500000000000002E-2</v>
      </c>
      <c r="AJ35" s="16">
        <v>9.0999999999999998E-2</v>
      </c>
      <c r="AK35" s="16">
        <v>6.4500000000000002E-2</v>
      </c>
      <c r="AL35" s="16">
        <v>3.7999999999999999E-2</v>
      </c>
      <c r="AM35" s="16">
        <v>0.11749999999999999</v>
      </c>
      <c r="AN35" s="16">
        <v>3.7999999999999999E-2</v>
      </c>
      <c r="AO35" s="16">
        <v>3.7999999999999999E-2</v>
      </c>
      <c r="AP35" s="16">
        <v>3.7999999999999999E-2</v>
      </c>
      <c r="AQ35" s="16">
        <v>6.0100000000000001E-2</v>
      </c>
      <c r="AR35" s="16">
        <v>9.5399999999999999E-2</v>
      </c>
      <c r="AS35" s="16">
        <v>7.3300000000000004E-2</v>
      </c>
      <c r="AT35" s="16">
        <v>8.2199999999999995E-2</v>
      </c>
      <c r="AU35" s="16">
        <v>3.7999999999999999E-2</v>
      </c>
      <c r="AV35" s="16">
        <v>3.7999999999999999E-2</v>
      </c>
      <c r="AW35" s="16">
        <v>0.11749999999999999</v>
      </c>
      <c r="AX35" s="16">
        <v>1.6446000000000001</v>
      </c>
    </row>
    <row r="36" spans="1:50" x14ac:dyDescent="0.25">
      <c r="A36" s="8" t="s">
        <v>82</v>
      </c>
      <c r="B36" s="10" t="s">
        <v>57</v>
      </c>
      <c r="C36" s="16">
        <v>0.42820000000000003</v>
      </c>
      <c r="D36" s="16">
        <v>5.1999999999999998E-2</v>
      </c>
      <c r="E36" s="16">
        <v>0.20649999999999999</v>
      </c>
      <c r="F36" s="16">
        <v>5.1999999999999998E-2</v>
      </c>
      <c r="G36" s="16">
        <v>0.1363</v>
      </c>
      <c r="H36" s="16">
        <v>0.1222</v>
      </c>
      <c r="I36" s="16">
        <v>5.1999999999999998E-2</v>
      </c>
      <c r="J36" s="16">
        <v>5.1999999999999998E-2</v>
      </c>
      <c r="K36" s="16">
        <v>5.1999999999999998E-2</v>
      </c>
      <c r="L36" s="16">
        <v>5.1999999999999998E-2</v>
      </c>
      <c r="M36" s="16">
        <v>0.20649999999999999</v>
      </c>
      <c r="N36" s="16">
        <v>5.1999999999999998E-2</v>
      </c>
      <c r="O36" s="16">
        <v>0.19950000000000001</v>
      </c>
      <c r="P36" s="16">
        <v>5.8999999999999997E-2</v>
      </c>
      <c r="Q36" s="16">
        <v>5.1999999999999998E-2</v>
      </c>
      <c r="R36" s="16">
        <v>0.37680000000000002</v>
      </c>
      <c r="S36" s="16">
        <v>0.21390000000000001</v>
      </c>
      <c r="T36" s="16">
        <v>1.1196999999999999</v>
      </c>
      <c r="U36" s="16">
        <v>0.33</v>
      </c>
      <c r="V36" s="16">
        <v>0.55069999999999997</v>
      </c>
      <c r="W36" s="16">
        <v>0.55410000000000004</v>
      </c>
      <c r="X36" s="16">
        <v>2.3993000000000002</v>
      </c>
      <c r="Y36" s="16">
        <v>0.59360000000000002</v>
      </c>
      <c r="Z36" s="16">
        <v>0.2742</v>
      </c>
      <c r="AA36" s="16">
        <v>0.2107</v>
      </c>
      <c r="AB36" s="16">
        <v>0.1686</v>
      </c>
      <c r="AC36" s="16">
        <v>0.1686</v>
      </c>
      <c r="AD36" s="16">
        <v>0.2487</v>
      </c>
      <c r="AE36" s="16">
        <v>5.1999999999999998E-2</v>
      </c>
      <c r="AF36" s="16">
        <v>0.20649999999999999</v>
      </c>
      <c r="AG36" s="16">
        <v>5.1999999999999998E-2</v>
      </c>
      <c r="AH36" s="16">
        <v>0.12920000000000001</v>
      </c>
      <c r="AI36" s="16">
        <v>0.12920000000000001</v>
      </c>
      <c r="AJ36" s="16">
        <v>5.1999999999999998E-2</v>
      </c>
      <c r="AK36" s="16">
        <v>5.1999999999999998E-2</v>
      </c>
      <c r="AL36" s="16">
        <v>0.20649999999999999</v>
      </c>
      <c r="AM36" s="16">
        <v>9.0899999999999995E-2</v>
      </c>
      <c r="AN36" s="16">
        <v>0.25280000000000002</v>
      </c>
      <c r="AO36" s="16">
        <v>0.27650000000000002</v>
      </c>
      <c r="AP36" s="16">
        <v>0.3891</v>
      </c>
      <c r="AQ36" s="16">
        <v>0.29780000000000001</v>
      </c>
      <c r="AR36" s="16">
        <v>0.27629999999999999</v>
      </c>
      <c r="AS36" s="16">
        <v>0.47510000000000002</v>
      </c>
      <c r="AT36" s="16">
        <v>0.6542</v>
      </c>
      <c r="AU36" s="16">
        <v>0.49930000000000002</v>
      </c>
      <c r="AV36" s="16">
        <v>0.60709999999999997</v>
      </c>
      <c r="AW36" s="16">
        <v>0.49909999999999999</v>
      </c>
      <c r="AX36" s="16">
        <v>0.30099999999999999</v>
      </c>
    </row>
    <row r="37" spans="1:50" x14ac:dyDescent="0.25">
      <c r="A37" s="8" t="s">
        <v>84</v>
      </c>
      <c r="B37" s="10" t="s">
        <v>57</v>
      </c>
      <c r="C37" s="16">
        <v>0.35060000000000002</v>
      </c>
      <c r="D37" s="16">
        <v>0.1022</v>
      </c>
      <c r="E37" s="16">
        <v>3.3000000000000002E-2</v>
      </c>
      <c r="F37" s="16">
        <v>0.1022</v>
      </c>
      <c r="G37" s="16">
        <v>3.3000000000000002E-2</v>
      </c>
      <c r="H37" s="16">
        <v>0.1022</v>
      </c>
      <c r="I37" s="16">
        <v>3.3000000000000002E-2</v>
      </c>
      <c r="J37" s="16">
        <v>0.1022</v>
      </c>
      <c r="K37" s="16">
        <v>4.8399999999999999E-2</v>
      </c>
      <c r="L37" s="16">
        <v>8.6900000000000005E-2</v>
      </c>
      <c r="M37" s="16">
        <v>3.3000000000000002E-2</v>
      </c>
      <c r="N37" s="16">
        <v>9.0700000000000003E-2</v>
      </c>
      <c r="O37" s="16">
        <v>4.4499999999999998E-2</v>
      </c>
      <c r="P37" s="16">
        <v>7.5300000000000006E-2</v>
      </c>
      <c r="Q37" s="16">
        <v>9.1600000000000001E-2</v>
      </c>
      <c r="R37" s="16">
        <v>3.3000000000000002E-2</v>
      </c>
      <c r="S37" s="16">
        <v>3.3000000000000002E-2</v>
      </c>
      <c r="T37" s="16">
        <v>0.10929999999999999</v>
      </c>
      <c r="U37" s="16">
        <v>8.9499999999999996E-2</v>
      </c>
      <c r="V37" s="16">
        <v>0.29020000000000001</v>
      </c>
      <c r="W37" s="16">
        <v>6.3799999999999996E-2</v>
      </c>
      <c r="X37" s="16">
        <v>5.2299999999999999E-2</v>
      </c>
      <c r="Y37" s="16">
        <v>9.98E-2</v>
      </c>
      <c r="Z37" s="16">
        <v>4.2000000000000003E-2</v>
      </c>
      <c r="AA37" s="16">
        <v>3.3000000000000002E-2</v>
      </c>
      <c r="AB37" s="16">
        <v>1.0813999999999999</v>
      </c>
      <c r="AC37" s="16">
        <v>0.45119999999999999</v>
      </c>
      <c r="AD37" s="16">
        <v>0.4879</v>
      </c>
      <c r="AE37" s="16">
        <v>0.31519999999999998</v>
      </c>
      <c r="AF37" s="16">
        <v>0.73029999999999995</v>
      </c>
      <c r="AG37" s="16">
        <v>0.9879</v>
      </c>
      <c r="AH37" s="16">
        <v>9.9900000000000003E-2</v>
      </c>
      <c r="AI37" s="16">
        <v>0.11940000000000001</v>
      </c>
      <c r="AJ37" s="16">
        <v>0.19320000000000001</v>
      </c>
      <c r="AK37" s="16">
        <v>0.19550000000000001</v>
      </c>
      <c r="AL37" s="16">
        <v>0.22539999999999999</v>
      </c>
      <c r="AM37" s="16">
        <v>0.15140000000000001</v>
      </c>
      <c r="AN37" s="16">
        <v>8.6400000000000005E-2</v>
      </c>
      <c r="AO37" s="16">
        <v>0.16880000000000001</v>
      </c>
      <c r="AP37" s="16">
        <v>1.1556</v>
      </c>
      <c r="AQ37" s="16">
        <v>0.42199999999999999</v>
      </c>
      <c r="AR37" s="16">
        <v>0.40500000000000003</v>
      </c>
      <c r="AS37" s="16">
        <v>0.49930000000000002</v>
      </c>
      <c r="AT37" s="16">
        <v>0.32650000000000001</v>
      </c>
      <c r="AU37" s="16">
        <v>0.25030000000000002</v>
      </c>
      <c r="AV37" s="16">
        <v>0.40949999999999998</v>
      </c>
      <c r="AW37" s="16">
        <v>0.42499999999999999</v>
      </c>
      <c r="AX37" s="16">
        <v>0.60970000000000002</v>
      </c>
    </row>
    <row r="38" spans="1:50" x14ac:dyDescent="0.25">
      <c r="A38" s="17" t="s">
        <v>151</v>
      </c>
      <c r="B38" s="13" t="s">
        <v>116</v>
      </c>
      <c r="C38" s="18">
        <v>0.4521</v>
      </c>
      <c r="D38" s="18">
        <v>6.5699999999999995E-2</v>
      </c>
      <c r="E38" s="18">
        <v>0.13489999999999999</v>
      </c>
      <c r="F38" s="18">
        <v>0.15029999999999999</v>
      </c>
      <c r="G38" s="18">
        <v>8.1100000000000005E-2</v>
      </c>
      <c r="H38" s="18">
        <v>0.2041</v>
      </c>
      <c r="I38" s="18">
        <v>5.8000000000000003E-2</v>
      </c>
      <c r="J38" s="18">
        <v>0.2271</v>
      </c>
      <c r="K38" s="18">
        <v>5.8000000000000003E-2</v>
      </c>
      <c r="L38" s="18">
        <v>0.21179999999999999</v>
      </c>
      <c r="M38" s="18">
        <v>7.3400000000000007E-2</v>
      </c>
      <c r="N38" s="18">
        <v>7.3400000000000007E-2</v>
      </c>
      <c r="O38" s="18">
        <v>0.21179999999999999</v>
      </c>
      <c r="P38" s="18">
        <v>9.64E-2</v>
      </c>
      <c r="Q38" s="18">
        <v>0.35930000000000001</v>
      </c>
      <c r="R38" s="18">
        <v>7.3499999999999996E-2</v>
      </c>
      <c r="S38" s="18">
        <v>9.9900000000000003E-2</v>
      </c>
      <c r="T38" s="18">
        <v>0.23649999999999999</v>
      </c>
      <c r="U38" s="18">
        <v>0.28910000000000002</v>
      </c>
      <c r="V38" s="18">
        <v>1.3896999999999999</v>
      </c>
      <c r="W38" s="18">
        <v>0.1195</v>
      </c>
      <c r="X38" s="18">
        <v>0.1656</v>
      </c>
      <c r="Y38" s="18">
        <v>9.9099999999999994E-2</v>
      </c>
      <c r="Z38" s="18">
        <v>0.30880000000000002</v>
      </c>
      <c r="AA38" s="18">
        <v>0.17330000000000001</v>
      </c>
      <c r="AB38" s="18">
        <v>0.3478</v>
      </c>
      <c r="AC38" s="18">
        <v>0.18099999999999999</v>
      </c>
      <c r="AD38" s="18">
        <v>0.16489999999999999</v>
      </c>
      <c r="AE38" s="18">
        <v>0.309</v>
      </c>
      <c r="AF38" s="18">
        <v>0.5353</v>
      </c>
      <c r="AG38" s="18">
        <v>0.25080000000000002</v>
      </c>
      <c r="AH38" s="18">
        <v>0.41739999999999999</v>
      </c>
      <c r="AI38" s="18">
        <v>0.27529999999999999</v>
      </c>
      <c r="AJ38" s="18">
        <v>0.46739999999999998</v>
      </c>
      <c r="AK38" s="18">
        <v>0.41670000000000001</v>
      </c>
      <c r="AL38" s="18">
        <v>0.49390000000000001</v>
      </c>
      <c r="AM38" s="18">
        <v>0.29830000000000001</v>
      </c>
      <c r="AN38" s="18">
        <v>0.38600000000000001</v>
      </c>
      <c r="AO38" s="18">
        <v>0.29949999999999999</v>
      </c>
      <c r="AP38" s="18">
        <v>0.33950000000000002</v>
      </c>
      <c r="AQ38" s="18">
        <v>0.75729999999999997</v>
      </c>
      <c r="AR38" s="18">
        <v>0.82179999999999997</v>
      </c>
      <c r="AS38" s="18">
        <v>0.84179999999999999</v>
      </c>
      <c r="AT38" s="18">
        <v>0.82199999999999995</v>
      </c>
      <c r="AU38" s="18">
        <v>0.72989999999999999</v>
      </c>
      <c r="AV38" s="18">
        <v>0.77080000000000004</v>
      </c>
      <c r="AW38" s="18">
        <v>0.92030000000000001</v>
      </c>
      <c r="AX38" s="18">
        <v>0.78339999999999999</v>
      </c>
    </row>
    <row r="39" spans="1:50" x14ac:dyDescent="0.25">
      <c r="A39" s="17" t="s">
        <v>153</v>
      </c>
      <c r="B39" s="13" t="s">
        <v>116</v>
      </c>
      <c r="C39" s="18">
        <v>0.1759</v>
      </c>
      <c r="D39" s="18">
        <v>0.15140000000000001</v>
      </c>
      <c r="E39" s="18">
        <v>0.11219999999999999</v>
      </c>
      <c r="F39" s="18">
        <v>0.19</v>
      </c>
      <c r="G39" s="18">
        <v>0.1014</v>
      </c>
      <c r="H39" s="18">
        <v>0.41239999999999999</v>
      </c>
      <c r="I39" s="18">
        <v>0.439</v>
      </c>
      <c r="J39" s="18">
        <v>0.2316</v>
      </c>
      <c r="K39" s="18">
        <v>0.1227</v>
      </c>
      <c r="L39" s="18">
        <v>0.20780000000000001</v>
      </c>
      <c r="M39" s="18">
        <v>0.1132</v>
      </c>
      <c r="N39" s="18">
        <v>8.8599999999999998E-2</v>
      </c>
      <c r="O39" s="18">
        <v>0.1012</v>
      </c>
      <c r="P39" s="18">
        <v>0.1232</v>
      </c>
      <c r="Q39" s="18">
        <v>0.22919999999999999</v>
      </c>
      <c r="R39" s="18">
        <v>0.1014</v>
      </c>
      <c r="S39" s="18">
        <v>3.4700000000000002E-2</v>
      </c>
      <c r="T39" s="18">
        <v>9.2999999999999999E-2</v>
      </c>
      <c r="U39" s="18">
        <v>0.1638</v>
      </c>
      <c r="V39" s="18">
        <v>0.18859999999999999</v>
      </c>
      <c r="W39" s="18">
        <v>0.14499999999999999</v>
      </c>
      <c r="X39" s="18">
        <v>4.48E-2</v>
      </c>
      <c r="Y39" s="18">
        <v>7.1999999999999995E-2</v>
      </c>
      <c r="Z39" s="18">
        <v>0.1426</v>
      </c>
      <c r="AA39" s="18">
        <v>0.23549999999999999</v>
      </c>
      <c r="AB39" s="18">
        <v>7.5600000000000001E-2</v>
      </c>
      <c r="AC39" s="18">
        <v>7.8299999999999995E-2</v>
      </c>
      <c r="AD39" s="18">
        <v>0.38840000000000002</v>
      </c>
      <c r="AE39" s="18">
        <v>0.1883</v>
      </c>
      <c r="AF39" s="18">
        <v>0.3382</v>
      </c>
      <c r="AG39" s="18">
        <v>0.1678</v>
      </c>
      <c r="AH39" s="18">
        <v>0.1772</v>
      </c>
      <c r="AI39" s="18">
        <v>0.15909999999999999</v>
      </c>
      <c r="AJ39" s="18">
        <v>0.98880000000000001</v>
      </c>
      <c r="AK39" s="18">
        <v>0.63849999999999996</v>
      </c>
      <c r="AL39" s="18">
        <v>0.1951</v>
      </c>
      <c r="AM39" s="18">
        <v>0.18010000000000001</v>
      </c>
      <c r="AN39" s="18">
        <v>0.51659999999999995</v>
      </c>
      <c r="AO39" s="18">
        <v>4.1000000000000002E-2</v>
      </c>
      <c r="AP39" s="18">
        <v>0.41909999999999997</v>
      </c>
      <c r="AQ39" s="18">
        <v>0.60099999999999998</v>
      </c>
      <c r="AR39" s="18">
        <v>0.94140000000000001</v>
      </c>
      <c r="AS39" s="18">
        <v>1.5353000000000001</v>
      </c>
      <c r="AT39" s="18">
        <v>0.78149999999999997</v>
      </c>
      <c r="AU39" s="18">
        <v>1.5056</v>
      </c>
      <c r="AV39" s="18">
        <v>0.76170000000000004</v>
      </c>
      <c r="AW39" s="18">
        <v>0.97989999999999999</v>
      </c>
      <c r="AX39" s="18">
        <v>0.67530000000000001</v>
      </c>
    </row>
    <row r="40" spans="1:50" x14ac:dyDescent="0.25">
      <c r="A40" s="8" t="s">
        <v>86</v>
      </c>
      <c r="B40" s="10" t="s">
        <v>57</v>
      </c>
      <c r="C40" s="16">
        <v>7.9699999999999993E-2</v>
      </c>
      <c r="D40" s="16">
        <v>0.18360000000000001</v>
      </c>
      <c r="E40" s="16">
        <v>0.05</v>
      </c>
      <c r="F40" s="16">
        <v>0.13159999999999999</v>
      </c>
      <c r="G40" s="16">
        <v>0.13159999999999999</v>
      </c>
      <c r="H40" s="16">
        <v>0.05</v>
      </c>
      <c r="I40" s="16">
        <v>0.191</v>
      </c>
      <c r="J40" s="16">
        <v>7.2300000000000003E-2</v>
      </c>
      <c r="K40" s="16">
        <v>0.05</v>
      </c>
      <c r="L40" s="16">
        <v>0.1762</v>
      </c>
      <c r="M40" s="16">
        <v>8.7099999999999997E-2</v>
      </c>
      <c r="N40" s="16">
        <v>0.05</v>
      </c>
      <c r="O40" s="16">
        <v>0.19839999999999999</v>
      </c>
      <c r="P40" s="16">
        <v>6.4799999999999996E-2</v>
      </c>
      <c r="Q40" s="16">
        <v>0.1019</v>
      </c>
      <c r="R40" s="16">
        <v>0.37669999999999998</v>
      </c>
      <c r="S40" s="16">
        <v>0.2402</v>
      </c>
      <c r="T40" s="16">
        <v>0.28939999999999999</v>
      </c>
      <c r="U40" s="16">
        <v>0.2152</v>
      </c>
      <c r="V40" s="16">
        <v>0.31269999999999998</v>
      </c>
      <c r="W40" s="16">
        <v>0.23769999999999999</v>
      </c>
      <c r="X40" s="16">
        <v>0.1101</v>
      </c>
      <c r="Y40" s="16">
        <v>0.51500000000000001</v>
      </c>
      <c r="Z40" s="16">
        <v>0.23649999999999999</v>
      </c>
      <c r="AA40" s="16">
        <v>0.40189999999999998</v>
      </c>
      <c r="AB40" s="16">
        <v>0.21940000000000001</v>
      </c>
      <c r="AC40" s="16">
        <v>5.5399999999999998E-2</v>
      </c>
      <c r="AD40" s="16">
        <v>0.1613</v>
      </c>
      <c r="AE40" s="16">
        <v>0.1046</v>
      </c>
      <c r="AF40" s="16">
        <v>8.1600000000000006E-2</v>
      </c>
      <c r="AG40" s="16">
        <v>0.27560000000000001</v>
      </c>
      <c r="AH40" s="16">
        <v>8.2900000000000001E-2</v>
      </c>
      <c r="AI40" s="16">
        <v>1.3722000000000001</v>
      </c>
      <c r="AJ40" s="16">
        <v>2.7713000000000001</v>
      </c>
      <c r="AK40" s="16">
        <v>1.3607</v>
      </c>
      <c r="AL40" s="16">
        <v>1.5951</v>
      </c>
      <c r="AM40" s="16">
        <v>0.1459</v>
      </c>
      <c r="AN40" s="16">
        <v>0.2697</v>
      </c>
      <c r="AO40" s="16">
        <v>5.2699999999999997E-2</v>
      </c>
      <c r="AP40" s="16">
        <v>0.23569999999999999</v>
      </c>
      <c r="AQ40" s="16">
        <v>0.50160000000000005</v>
      </c>
      <c r="AR40" s="16">
        <v>0.48830000000000001</v>
      </c>
      <c r="AS40" s="16">
        <v>0.7732</v>
      </c>
      <c r="AT40" s="16">
        <v>0.28050000000000003</v>
      </c>
      <c r="AU40" s="16">
        <v>0.31490000000000001</v>
      </c>
      <c r="AV40" s="16">
        <v>0.21659999999999999</v>
      </c>
      <c r="AW40" s="16">
        <v>0.39069999999999999</v>
      </c>
      <c r="AX40" s="16">
        <v>0.30259999999999998</v>
      </c>
    </row>
    <row r="41" spans="1:50" x14ac:dyDescent="0.25">
      <c r="A41" s="8" t="s">
        <v>88</v>
      </c>
      <c r="B41" s="10" t="s">
        <v>57</v>
      </c>
      <c r="C41" s="16">
        <v>0.40910000000000002</v>
      </c>
      <c r="D41" s="16">
        <v>5.3999999999999999E-2</v>
      </c>
      <c r="E41" s="16">
        <v>0.37269999999999998</v>
      </c>
      <c r="F41" s="16">
        <v>5.3999999999999999E-2</v>
      </c>
      <c r="G41" s="16">
        <v>5.3999999999999999E-2</v>
      </c>
      <c r="H41" s="16">
        <v>0.27260000000000001</v>
      </c>
      <c r="I41" s="16">
        <v>0.154</v>
      </c>
      <c r="J41" s="16">
        <v>5.3999999999999999E-2</v>
      </c>
      <c r="K41" s="16">
        <v>0.28939999999999999</v>
      </c>
      <c r="L41" s="16">
        <v>0.13730000000000001</v>
      </c>
      <c r="M41" s="16">
        <v>0.22800000000000001</v>
      </c>
      <c r="N41" s="16">
        <v>0.1986</v>
      </c>
      <c r="O41" s="16">
        <v>5.3999999999999999E-2</v>
      </c>
      <c r="P41" s="16">
        <v>0.37269999999999998</v>
      </c>
      <c r="Q41" s="16">
        <v>5.3999999999999999E-2</v>
      </c>
      <c r="R41" s="16">
        <v>0.19950000000000001</v>
      </c>
      <c r="S41" s="16">
        <v>0.2271</v>
      </c>
      <c r="T41" s="16">
        <v>1.0987</v>
      </c>
      <c r="U41" s="16">
        <v>0.37390000000000001</v>
      </c>
      <c r="V41" s="16">
        <v>0.4022</v>
      </c>
      <c r="W41" s="16">
        <v>0.52449999999999997</v>
      </c>
      <c r="X41" s="16">
        <v>1.1093</v>
      </c>
      <c r="Y41" s="16">
        <v>0.31</v>
      </c>
      <c r="Z41" s="16">
        <v>9.5799999999999996E-2</v>
      </c>
      <c r="AA41" s="16">
        <v>0.24840000000000001</v>
      </c>
      <c r="AB41" s="16">
        <v>1.0395000000000001</v>
      </c>
      <c r="AC41" s="16">
        <v>0.28699999999999998</v>
      </c>
      <c r="AD41" s="16">
        <v>1.5477000000000001</v>
      </c>
      <c r="AE41" s="16">
        <v>0.34060000000000001</v>
      </c>
      <c r="AF41" s="16">
        <v>0.32450000000000001</v>
      </c>
      <c r="AG41" s="16">
        <v>0.34639999999999999</v>
      </c>
      <c r="AH41" s="16">
        <v>0.42280000000000001</v>
      </c>
      <c r="AI41" s="16">
        <v>0.51380000000000003</v>
      </c>
      <c r="AJ41" s="16">
        <v>0.29210000000000003</v>
      </c>
      <c r="AK41" s="16">
        <v>0.2006</v>
      </c>
      <c r="AL41" s="16">
        <v>0.23419999999999999</v>
      </c>
      <c r="AM41" s="16">
        <v>0.1925</v>
      </c>
      <c r="AN41" s="16">
        <v>5.3999999999999999E-2</v>
      </c>
      <c r="AO41" s="16">
        <v>0.18870000000000001</v>
      </c>
      <c r="AP41" s="16">
        <v>0.23799999999999999</v>
      </c>
      <c r="AQ41" s="16">
        <v>0.16600000000000001</v>
      </c>
      <c r="AR41" s="16">
        <v>9.1300000000000006E-2</v>
      </c>
      <c r="AS41" s="16">
        <v>0.2233</v>
      </c>
      <c r="AT41" s="16">
        <v>0.217</v>
      </c>
      <c r="AU41" s="16">
        <v>0.88149999999999995</v>
      </c>
      <c r="AV41" s="16">
        <v>1.2473000000000001</v>
      </c>
      <c r="AW41" s="16">
        <v>0.88859999999999995</v>
      </c>
      <c r="AX41" s="16">
        <v>0.30520000000000003</v>
      </c>
    </row>
    <row r="42" spans="1:50" x14ac:dyDescent="0.25">
      <c r="A42" s="17" t="s">
        <v>155</v>
      </c>
      <c r="B42" s="13" t="s">
        <v>116</v>
      </c>
      <c r="C42" s="18">
        <v>0.1411</v>
      </c>
      <c r="D42" s="18">
        <v>0.11269999999999999</v>
      </c>
      <c r="E42" s="18">
        <v>4.9000000000000002E-2</v>
      </c>
      <c r="F42" s="18">
        <v>0.20480000000000001</v>
      </c>
      <c r="G42" s="18">
        <v>4.9000000000000002E-2</v>
      </c>
      <c r="H42" s="18">
        <v>0.1552</v>
      </c>
      <c r="I42" s="18">
        <v>9.8599999999999993E-2</v>
      </c>
      <c r="J42" s="18">
        <v>4.9000000000000002E-2</v>
      </c>
      <c r="K42" s="18">
        <v>0.13400000000000001</v>
      </c>
      <c r="L42" s="18">
        <v>0.1198</v>
      </c>
      <c r="M42" s="18">
        <v>4.9000000000000002E-2</v>
      </c>
      <c r="N42" s="18">
        <v>0.1411</v>
      </c>
      <c r="O42" s="18">
        <v>0.11269999999999999</v>
      </c>
      <c r="P42" s="18">
        <v>4.9000000000000002E-2</v>
      </c>
      <c r="Q42" s="18">
        <v>4.9000000000000002E-2</v>
      </c>
      <c r="R42" s="18">
        <v>0.1623</v>
      </c>
      <c r="S42" s="18">
        <v>9.1499999999999998E-2</v>
      </c>
      <c r="T42" s="18">
        <v>0.1198</v>
      </c>
      <c r="U42" s="18">
        <v>0.1789</v>
      </c>
      <c r="V42" s="18">
        <v>8.9300000000000004E-2</v>
      </c>
      <c r="W42" s="18">
        <v>0.21510000000000001</v>
      </c>
      <c r="X42" s="18">
        <v>4.9000000000000002E-2</v>
      </c>
      <c r="Y42" s="18">
        <v>5.6099999999999997E-2</v>
      </c>
      <c r="Z42" s="18">
        <v>0.19769999999999999</v>
      </c>
      <c r="AA42" s="18">
        <v>4.9000000000000002E-2</v>
      </c>
      <c r="AB42" s="18">
        <v>4.9000000000000002E-2</v>
      </c>
      <c r="AC42" s="18">
        <v>0.20480000000000001</v>
      </c>
      <c r="AD42" s="18">
        <v>7.7100000000000002E-2</v>
      </c>
      <c r="AE42" s="18">
        <v>8.2500000000000004E-2</v>
      </c>
      <c r="AF42" s="18">
        <v>0.23630000000000001</v>
      </c>
      <c r="AG42" s="18">
        <v>0.30690000000000001</v>
      </c>
      <c r="AH42" s="18">
        <v>0.43580000000000002</v>
      </c>
      <c r="AI42" s="18">
        <v>0.38929999999999998</v>
      </c>
      <c r="AJ42" s="18">
        <v>0.44340000000000002</v>
      </c>
      <c r="AK42" s="18">
        <v>0.34339999999999998</v>
      </c>
      <c r="AL42" s="18">
        <v>0.47120000000000001</v>
      </c>
      <c r="AM42" s="18">
        <v>0.3397</v>
      </c>
      <c r="AN42" s="18">
        <v>4.9000000000000002E-2</v>
      </c>
      <c r="AO42" s="18">
        <v>0.2361</v>
      </c>
      <c r="AP42" s="18">
        <v>0.37619999999999998</v>
      </c>
      <c r="AQ42" s="18">
        <v>0.61360000000000003</v>
      </c>
      <c r="AR42" s="18">
        <v>0.84870000000000001</v>
      </c>
      <c r="AS42" s="18">
        <v>0.79249999999999998</v>
      </c>
      <c r="AT42" s="18">
        <v>0.73170000000000002</v>
      </c>
      <c r="AU42" s="18">
        <v>1.5212000000000001</v>
      </c>
      <c r="AV42" s="18">
        <v>1.5654999999999999</v>
      </c>
      <c r="AW42" s="18">
        <v>3.1981000000000002</v>
      </c>
      <c r="AX42" s="18">
        <v>0.48959999999999998</v>
      </c>
    </row>
    <row r="43" spans="1:50" x14ac:dyDescent="0.25">
      <c r="A43" s="17" t="s">
        <v>157</v>
      </c>
      <c r="B43" s="13" t="s">
        <v>116</v>
      </c>
      <c r="C43" s="18">
        <v>0.26779999999999998</v>
      </c>
      <c r="D43" s="18">
        <v>0.39140000000000003</v>
      </c>
      <c r="E43" s="18">
        <v>5.0999999999999997E-2</v>
      </c>
      <c r="F43" s="18">
        <v>0.31630000000000003</v>
      </c>
      <c r="G43" s="18">
        <v>5.0999999999999997E-2</v>
      </c>
      <c r="H43" s="18">
        <v>0.1862</v>
      </c>
      <c r="I43" s="18">
        <v>7.2300000000000003E-2</v>
      </c>
      <c r="J43" s="18">
        <v>6.6500000000000004E-2</v>
      </c>
      <c r="K43" s="18">
        <v>0.30080000000000001</v>
      </c>
      <c r="L43" s="18">
        <v>5.0999999999999997E-2</v>
      </c>
      <c r="M43" s="18">
        <v>5.0999999999999997E-2</v>
      </c>
      <c r="N43" s="18">
        <v>0.3256</v>
      </c>
      <c r="O43" s="18">
        <v>0.3054</v>
      </c>
      <c r="P43" s="18">
        <v>0.22090000000000001</v>
      </c>
      <c r="Q43" s="18">
        <v>0.21110000000000001</v>
      </c>
      <c r="R43" s="18">
        <v>0.32450000000000001</v>
      </c>
      <c r="S43" s="18">
        <v>7.3300000000000004E-2</v>
      </c>
      <c r="T43" s="18">
        <v>0.30209999999999998</v>
      </c>
      <c r="U43" s="18">
        <v>0.2656</v>
      </c>
      <c r="V43" s="18">
        <v>0.14099999999999999</v>
      </c>
      <c r="W43" s="18">
        <v>0.23419999999999999</v>
      </c>
      <c r="X43" s="18">
        <v>0.26569999999999999</v>
      </c>
      <c r="Y43" s="18">
        <v>0.31630000000000003</v>
      </c>
      <c r="Z43" s="18">
        <v>5.0999999999999997E-2</v>
      </c>
      <c r="AA43" s="18">
        <v>0.28029999999999999</v>
      </c>
      <c r="AB43" s="18">
        <v>0.55169999999999997</v>
      </c>
      <c r="AC43" s="18">
        <v>7.6899999999999996E-2</v>
      </c>
      <c r="AD43" s="18">
        <v>0.25940000000000002</v>
      </c>
      <c r="AE43" s="18">
        <v>0.13039999999999999</v>
      </c>
      <c r="AF43" s="18">
        <v>0.1923</v>
      </c>
      <c r="AG43" s="18">
        <v>0.26690000000000003</v>
      </c>
      <c r="AH43" s="18">
        <v>0.11119999999999999</v>
      </c>
      <c r="AI43" s="18">
        <v>0.13589999999999999</v>
      </c>
      <c r="AJ43" s="18">
        <v>0.22339999999999999</v>
      </c>
      <c r="AK43" s="18">
        <v>0.1004</v>
      </c>
      <c r="AL43" s="18">
        <v>0.2142</v>
      </c>
      <c r="AM43" s="18">
        <v>0.18609999999999999</v>
      </c>
      <c r="AN43" s="18">
        <v>0.1714</v>
      </c>
      <c r="AO43" s="18">
        <v>0.32069999999999999</v>
      </c>
      <c r="AP43" s="18">
        <v>0.25190000000000001</v>
      </c>
      <c r="AQ43" s="18">
        <v>0.20699999999999999</v>
      </c>
      <c r="AR43" s="18">
        <v>0.1928</v>
      </c>
      <c r="AS43" s="18">
        <v>0.45400000000000001</v>
      </c>
      <c r="AT43" s="18">
        <v>0.1832</v>
      </c>
      <c r="AU43" s="18">
        <v>0.53</v>
      </c>
      <c r="AV43" s="18">
        <v>0.39860000000000001</v>
      </c>
      <c r="AW43" s="18">
        <v>0.2399</v>
      </c>
      <c r="AX43" s="18">
        <v>0.38179999999999997</v>
      </c>
    </row>
    <row r="44" spans="1:50" x14ac:dyDescent="0.25">
      <c r="A44" s="17" t="s">
        <v>159</v>
      </c>
      <c r="B44" s="13" t="s">
        <v>116</v>
      </c>
      <c r="C44" s="18">
        <v>0.11849999999999999</v>
      </c>
      <c r="D44" s="18">
        <v>0.14760000000000001</v>
      </c>
      <c r="E44" s="18">
        <v>5.2999999999999999E-2</v>
      </c>
      <c r="F44" s="18">
        <v>0.14760000000000001</v>
      </c>
      <c r="G44" s="18">
        <v>0.11849999999999999</v>
      </c>
      <c r="H44" s="18">
        <v>5.2999999999999999E-2</v>
      </c>
      <c r="I44" s="18">
        <v>0.11849999999999999</v>
      </c>
      <c r="J44" s="18">
        <v>0.14760000000000001</v>
      </c>
      <c r="K44" s="18">
        <v>5.2999999999999999E-2</v>
      </c>
      <c r="L44" s="18">
        <v>7.4800000000000005E-2</v>
      </c>
      <c r="M44" s="18">
        <v>0.1913</v>
      </c>
      <c r="N44" s="18">
        <v>5.2999999999999999E-2</v>
      </c>
      <c r="O44" s="18">
        <v>7.4800000000000005E-2</v>
      </c>
      <c r="P44" s="18">
        <v>0.1913</v>
      </c>
      <c r="Q44" s="18">
        <v>5.2999999999999999E-2</v>
      </c>
      <c r="R44" s="18">
        <v>5.2999999999999999E-2</v>
      </c>
      <c r="S44" s="18">
        <v>0.16220000000000001</v>
      </c>
      <c r="T44" s="18">
        <v>0.10390000000000001</v>
      </c>
      <c r="U44" s="18">
        <v>0.11119999999999999</v>
      </c>
      <c r="V44" s="18">
        <v>0.15490000000000001</v>
      </c>
      <c r="W44" s="18">
        <v>5.2999999999999999E-2</v>
      </c>
      <c r="X44" s="18">
        <v>0.21310000000000001</v>
      </c>
      <c r="Y44" s="18">
        <v>5.2999999999999999E-2</v>
      </c>
      <c r="Z44" s="18">
        <v>0.21310000000000001</v>
      </c>
      <c r="AA44" s="18">
        <v>5.2999999999999999E-2</v>
      </c>
      <c r="AB44" s="18">
        <v>5.2999999999999999E-2</v>
      </c>
      <c r="AC44" s="18">
        <v>7.4800000000000005E-2</v>
      </c>
      <c r="AD44" s="18">
        <v>0.1913</v>
      </c>
      <c r="AE44" s="18">
        <v>5.2999999999999999E-2</v>
      </c>
      <c r="AF44" s="18">
        <v>5.2999999999999999E-2</v>
      </c>
      <c r="AG44" s="18">
        <v>0.1986</v>
      </c>
      <c r="AH44" s="18">
        <v>6.7599999999999993E-2</v>
      </c>
      <c r="AI44" s="18">
        <v>8.4900000000000003E-2</v>
      </c>
      <c r="AJ44" s="18">
        <v>0.31869999999999998</v>
      </c>
      <c r="AK44" s="18">
        <v>6.2E-2</v>
      </c>
      <c r="AL44" s="18">
        <v>8.2100000000000006E-2</v>
      </c>
      <c r="AM44" s="18">
        <v>0.2094</v>
      </c>
      <c r="AN44" s="18">
        <v>5.2999999999999999E-2</v>
      </c>
      <c r="AO44" s="18">
        <v>0.17380000000000001</v>
      </c>
      <c r="AP44" s="18">
        <v>0.68030000000000002</v>
      </c>
      <c r="AQ44" s="18">
        <v>0.55110000000000003</v>
      </c>
      <c r="AR44" s="18">
        <v>0.51870000000000005</v>
      </c>
      <c r="AS44" s="18">
        <v>0.56989999999999996</v>
      </c>
      <c r="AT44" s="18">
        <v>0.37709999999999999</v>
      </c>
      <c r="AU44" s="18">
        <v>0.33510000000000001</v>
      </c>
      <c r="AV44" s="18">
        <v>5.2999999999999999E-2</v>
      </c>
      <c r="AW44" s="18">
        <v>0.16220000000000001</v>
      </c>
      <c r="AX44" s="18">
        <v>0.10390000000000001</v>
      </c>
    </row>
    <row r="45" spans="1:50" x14ac:dyDescent="0.25">
      <c r="A45" s="17" t="s">
        <v>161</v>
      </c>
      <c r="B45" s="13" t="s">
        <v>116</v>
      </c>
      <c r="C45" s="18">
        <v>7.22E-2</v>
      </c>
      <c r="D45" s="18">
        <v>0.31030000000000002</v>
      </c>
      <c r="E45" s="18">
        <v>0.14899999999999999</v>
      </c>
      <c r="F45" s="18">
        <v>0.3805</v>
      </c>
      <c r="G45" s="18">
        <v>0.15479999999999999</v>
      </c>
      <c r="H45" s="18">
        <v>0.1048</v>
      </c>
      <c r="I45" s="18">
        <v>0.45100000000000001</v>
      </c>
      <c r="J45" s="18">
        <v>0.1008</v>
      </c>
      <c r="K45" s="18">
        <v>0.27710000000000001</v>
      </c>
      <c r="L45" s="18">
        <v>0.2787</v>
      </c>
      <c r="M45" s="18">
        <v>0.13489999999999999</v>
      </c>
      <c r="N45" s="18">
        <v>0.30659999999999998</v>
      </c>
      <c r="O45" s="18">
        <v>0.22989999999999999</v>
      </c>
      <c r="P45" s="18">
        <v>0.124</v>
      </c>
      <c r="Q45" s="18">
        <v>0.2147</v>
      </c>
      <c r="R45" s="18">
        <v>0.15429999999999999</v>
      </c>
      <c r="S45" s="18">
        <v>8.5500000000000007E-2</v>
      </c>
      <c r="T45" s="18">
        <v>0.1469</v>
      </c>
      <c r="U45" s="18">
        <v>0.20369999999999999</v>
      </c>
      <c r="V45" s="18">
        <v>0.29849999999999999</v>
      </c>
      <c r="W45" s="18">
        <v>0.22339999999999999</v>
      </c>
      <c r="X45" s="18">
        <v>9.1499999999999998E-2</v>
      </c>
      <c r="Y45" s="18">
        <v>0.35160000000000002</v>
      </c>
      <c r="Z45" s="18">
        <v>0.28239999999999998</v>
      </c>
      <c r="AA45" s="18">
        <v>0.16520000000000001</v>
      </c>
      <c r="AB45" s="18">
        <v>0.34720000000000001</v>
      </c>
      <c r="AC45" s="18">
        <v>1.2067000000000001</v>
      </c>
      <c r="AD45" s="18">
        <v>1.2153</v>
      </c>
      <c r="AE45" s="18">
        <v>0.59230000000000005</v>
      </c>
      <c r="AF45" s="18">
        <v>0.72850000000000004</v>
      </c>
      <c r="AG45" s="18">
        <v>0.68300000000000005</v>
      </c>
      <c r="AH45" s="18">
        <v>0.3821</v>
      </c>
      <c r="AI45" s="18">
        <v>0.3044</v>
      </c>
      <c r="AJ45" s="18">
        <v>0.50119999999999998</v>
      </c>
      <c r="AK45" s="18">
        <v>0.51239999999999997</v>
      </c>
      <c r="AL45" s="18">
        <v>0.17749999999999999</v>
      </c>
      <c r="AM45" s="18">
        <v>0.4849</v>
      </c>
      <c r="AN45" s="18">
        <v>0.63019999999999998</v>
      </c>
      <c r="AO45" s="18">
        <v>0.20760000000000001</v>
      </c>
      <c r="AP45" s="18">
        <v>0.39510000000000001</v>
      </c>
      <c r="AQ45" s="18">
        <v>0.46910000000000002</v>
      </c>
      <c r="AR45" s="18">
        <v>0.74580000000000002</v>
      </c>
      <c r="AS45" s="18">
        <v>0.69789999999999996</v>
      </c>
      <c r="AT45" s="18">
        <v>0.3725</v>
      </c>
      <c r="AU45" s="18">
        <v>0.57369999999999999</v>
      </c>
      <c r="AV45" s="18">
        <v>9.8000000000000004E-2</v>
      </c>
      <c r="AW45" s="18">
        <v>0.30680000000000002</v>
      </c>
      <c r="AX45" s="18">
        <v>0.22320000000000001</v>
      </c>
    </row>
    <row r="46" spans="1:50" x14ac:dyDescent="0.25">
      <c r="A46" s="8" t="s">
        <v>90</v>
      </c>
      <c r="B46" s="10" t="s">
        <v>57</v>
      </c>
      <c r="C46" s="16">
        <v>0.69579999999999997</v>
      </c>
      <c r="D46" s="16">
        <v>0.3216</v>
      </c>
      <c r="E46" s="16">
        <v>0.31740000000000002</v>
      </c>
      <c r="F46" s="16">
        <v>0.1072</v>
      </c>
      <c r="G46" s="16">
        <v>0.2296</v>
      </c>
      <c r="H46" s="16">
        <v>0.2271</v>
      </c>
      <c r="I46" s="16">
        <v>6.3299999999999995E-2</v>
      </c>
      <c r="J46" s="16">
        <v>0.27189999999999998</v>
      </c>
      <c r="K46" s="16">
        <v>0.18870000000000001</v>
      </c>
      <c r="L46" s="16">
        <v>9.2499999999999999E-2</v>
      </c>
      <c r="M46" s="16">
        <v>0.30570000000000003</v>
      </c>
      <c r="N46" s="16">
        <v>0.1583</v>
      </c>
      <c r="O46" s="16">
        <v>0.19009999999999999</v>
      </c>
      <c r="P46" s="16">
        <v>0.17150000000000001</v>
      </c>
      <c r="Q46" s="16">
        <v>0.151</v>
      </c>
      <c r="R46" s="16">
        <v>8.6999999999999994E-2</v>
      </c>
      <c r="S46" s="16">
        <v>0.28199999999999997</v>
      </c>
      <c r="T46" s="16">
        <v>0.1711</v>
      </c>
      <c r="U46" s="16">
        <v>0.36919999999999997</v>
      </c>
      <c r="V46" s="16">
        <v>1.8138000000000001</v>
      </c>
      <c r="W46" s="16">
        <v>0.45610000000000001</v>
      </c>
      <c r="X46" s="16">
        <v>0.62319999999999998</v>
      </c>
      <c r="Y46" s="16">
        <v>0.87780000000000002</v>
      </c>
      <c r="Z46" s="16">
        <v>2.7397</v>
      </c>
      <c r="AA46" s="16">
        <v>2.6741999999999999</v>
      </c>
      <c r="AB46" s="16">
        <v>0.3291</v>
      </c>
      <c r="AC46" s="16">
        <v>0.2424</v>
      </c>
      <c r="AD46" s="16">
        <v>0.1686</v>
      </c>
      <c r="AE46" s="16">
        <v>0.12180000000000001</v>
      </c>
      <c r="AF46" s="16">
        <v>0.1321</v>
      </c>
      <c r="AG46" s="16">
        <v>0.1583</v>
      </c>
      <c r="AH46" s="16">
        <v>0.23499999999999999</v>
      </c>
      <c r="AI46" s="16">
        <v>0.18609999999999999</v>
      </c>
      <c r="AJ46" s="16">
        <v>0.17299999999999999</v>
      </c>
      <c r="AK46" s="16">
        <v>0.3201</v>
      </c>
      <c r="AL46" s="16">
        <v>5.6000000000000001E-2</v>
      </c>
      <c r="AM46" s="16">
        <v>0.3992</v>
      </c>
      <c r="AN46" s="16">
        <v>0.25480000000000003</v>
      </c>
      <c r="AO46" s="16">
        <v>0.27100000000000002</v>
      </c>
      <c r="AP46" s="16">
        <v>3.0238</v>
      </c>
      <c r="AQ46" s="16">
        <v>3.0947</v>
      </c>
      <c r="AR46" s="16">
        <v>1.8008</v>
      </c>
      <c r="AS46" s="16">
        <v>1.7814000000000001</v>
      </c>
      <c r="AT46" s="16">
        <v>1.675</v>
      </c>
      <c r="AU46" s="16">
        <v>1.1614</v>
      </c>
      <c r="AV46" s="16">
        <v>1.1428</v>
      </c>
      <c r="AW46" s="16">
        <v>5.6000000000000001E-2</v>
      </c>
      <c r="AX46" s="16">
        <v>8.5599999999999996E-2</v>
      </c>
    </row>
    <row r="47" spans="1:50" x14ac:dyDescent="0.25">
      <c r="A47" s="8" t="s">
        <v>92</v>
      </c>
      <c r="B47" s="10" t="s">
        <v>57</v>
      </c>
      <c r="C47" s="16">
        <v>0.18340000000000001</v>
      </c>
      <c r="D47" s="16">
        <v>0.2127</v>
      </c>
      <c r="E47" s="16">
        <v>0.19420000000000001</v>
      </c>
      <c r="F47" s="16">
        <v>0.16880000000000001</v>
      </c>
      <c r="G47" s="16">
        <v>0.17330000000000001</v>
      </c>
      <c r="H47" s="16">
        <v>0.192</v>
      </c>
      <c r="I47" s="16">
        <v>0.23860000000000001</v>
      </c>
      <c r="J47" s="16">
        <v>3.7999999999999999E-2</v>
      </c>
      <c r="K47" s="16">
        <v>0.3175</v>
      </c>
      <c r="L47" s="16">
        <v>0.1132</v>
      </c>
      <c r="M47" s="16">
        <v>0.15440000000000001</v>
      </c>
      <c r="N47" s="16">
        <v>0.2011</v>
      </c>
      <c r="O47" s="16">
        <v>0.1132</v>
      </c>
      <c r="P47" s="16">
        <v>0.1938</v>
      </c>
      <c r="Q47" s="16">
        <v>0.22939999999999999</v>
      </c>
      <c r="R47" s="16">
        <v>4.5499999999999999E-2</v>
      </c>
      <c r="S47" s="16">
        <v>0.33250000000000002</v>
      </c>
      <c r="T47" s="16">
        <v>9.8199999999999996E-2</v>
      </c>
      <c r="U47" s="16">
        <v>0.58050000000000002</v>
      </c>
      <c r="V47" s="16">
        <v>0.2137</v>
      </c>
      <c r="W47" s="16">
        <v>0.26279999999999998</v>
      </c>
      <c r="X47" s="16">
        <v>7.4899999999999994E-2</v>
      </c>
      <c r="Y47" s="16">
        <v>0.3715</v>
      </c>
      <c r="Z47" s="16">
        <v>8.6699999999999999E-2</v>
      </c>
      <c r="AA47" s="16">
        <v>0.5413</v>
      </c>
      <c r="AB47" s="16">
        <v>0.15079999999999999</v>
      </c>
      <c r="AC47" s="16">
        <v>0.87509999999999999</v>
      </c>
      <c r="AD47" s="16">
        <v>0.47160000000000002</v>
      </c>
      <c r="AE47" s="16">
        <v>0.99019999999999997</v>
      </c>
      <c r="AF47" s="16">
        <v>0.19040000000000001</v>
      </c>
      <c r="AG47" s="16">
        <v>0.26879999999999998</v>
      </c>
      <c r="AH47" s="16">
        <v>0.1739</v>
      </c>
      <c r="AI47" s="16">
        <v>0.26629999999999998</v>
      </c>
      <c r="AJ47" s="16">
        <v>0.2989</v>
      </c>
      <c r="AK47" s="16">
        <v>0.36009999999999998</v>
      </c>
      <c r="AL47" s="16">
        <v>0.90649999999999997</v>
      </c>
      <c r="AM47" s="16">
        <v>0.34910000000000002</v>
      </c>
      <c r="AN47" s="16">
        <v>0.36890000000000001</v>
      </c>
      <c r="AO47" s="16">
        <v>0.43080000000000002</v>
      </c>
      <c r="AP47" s="16">
        <v>0.5181</v>
      </c>
      <c r="AQ47" s="16">
        <v>0.69779999999999998</v>
      </c>
      <c r="AR47" s="16">
        <v>0.68610000000000004</v>
      </c>
      <c r="AS47" s="16">
        <v>0.86</v>
      </c>
      <c r="AT47" s="16">
        <v>0.46939999999999998</v>
      </c>
      <c r="AU47" s="16">
        <v>0.14330000000000001</v>
      </c>
      <c r="AV47" s="16">
        <v>0.21099999999999999</v>
      </c>
      <c r="AW47" s="16">
        <v>9.0899999999999995E-2</v>
      </c>
      <c r="AX47" s="16">
        <v>0.1197</v>
      </c>
    </row>
    <row r="48" spans="1:50" x14ac:dyDescent="0.25">
      <c r="A48" s="17" t="s">
        <v>163</v>
      </c>
      <c r="B48" s="13" t="s">
        <v>116</v>
      </c>
      <c r="C48" s="18">
        <v>4.3999999999999997E-2</v>
      </c>
      <c r="D48" s="18">
        <v>4.3999999999999997E-2</v>
      </c>
      <c r="E48" s="18">
        <v>0.1099</v>
      </c>
      <c r="F48" s="18">
        <v>4.3999999999999997E-2</v>
      </c>
      <c r="G48" s="18">
        <v>4.3999999999999997E-2</v>
      </c>
      <c r="H48" s="18">
        <v>8.7999999999999995E-2</v>
      </c>
      <c r="I48" s="18">
        <v>0.5282</v>
      </c>
      <c r="J48" s="18">
        <v>0.26050000000000001</v>
      </c>
      <c r="K48" s="18">
        <v>0.10630000000000001</v>
      </c>
      <c r="L48" s="18">
        <v>4.3999999999999997E-2</v>
      </c>
      <c r="M48" s="18">
        <v>8.7999999999999995E-2</v>
      </c>
      <c r="N48" s="18">
        <v>6.6000000000000003E-2</v>
      </c>
      <c r="O48" s="18">
        <v>0.1026</v>
      </c>
      <c r="P48" s="18">
        <v>5.1299999999999998E-2</v>
      </c>
      <c r="Q48" s="18">
        <v>4.3999999999999997E-2</v>
      </c>
      <c r="R48" s="18">
        <v>4.3999999999999997E-2</v>
      </c>
      <c r="S48" s="18">
        <v>6.2300000000000001E-2</v>
      </c>
      <c r="T48" s="18">
        <v>9.1600000000000001E-2</v>
      </c>
      <c r="U48" s="18">
        <v>4.3999999999999997E-2</v>
      </c>
      <c r="V48" s="18">
        <v>4.3999999999999997E-2</v>
      </c>
      <c r="W48" s="18">
        <v>0.34539999999999998</v>
      </c>
      <c r="X48" s="18">
        <v>0.57689999999999997</v>
      </c>
      <c r="Y48" s="18">
        <v>2.6089000000000002</v>
      </c>
      <c r="Z48" s="18">
        <v>2.7092999999999998</v>
      </c>
      <c r="AA48" s="18">
        <v>0.66349999999999998</v>
      </c>
      <c r="AB48" s="18">
        <v>0.17530000000000001</v>
      </c>
      <c r="AC48" s="18">
        <v>0.14660000000000001</v>
      </c>
      <c r="AD48" s="18">
        <v>6.0699999999999997E-2</v>
      </c>
      <c r="AE48" s="18">
        <v>4.3999999999999997E-2</v>
      </c>
      <c r="AF48" s="18">
        <v>8.0600000000000005E-2</v>
      </c>
      <c r="AG48" s="18">
        <v>7.3300000000000004E-2</v>
      </c>
      <c r="AH48" s="18">
        <v>5.1299999999999998E-2</v>
      </c>
      <c r="AI48" s="18">
        <v>0.1026</v>
      </c>
      <c r="AJ48" s="18">
        <v>4.3999999999999997E-2</v>
      </c>
      <c r="AK48" s="18">
        <v>0.1099</v>
      </c>
      <c r="AL48" s="18">
        <v>4.3999999999999997E-2</v>
      </c>
      <c r="AM48" s="18">
        <v>8.7999999999999995E-2</v>
      </c>
      <c r="AN48" s="18">
        <v>6.6000000000000003E-2</v>
      </c>
      <c r="AO48" s="18">
        <v>4.3999999999999997E-2</v>
      </c>
      <c r="AP48" s="18">
        <v>5.1299999999999998E-2</v>
      </c>
      <c r="AQ48" s="18">
        <v>0.1026</v>
      </c>
      <c r="AR48" s="18">
        <v>5.1299999999999998E-2</v>
      </c>
      <c r="AS48" s="18">
        <v>0.1026</v>
      </c>
      <c r="AT48" s="18">
        <v>0.1283</v>
      </c>
      <c r="AU48" s="18">
        <v>4.3999999999999997E-2</v>
      </c>
      <c r="AV48" s="18">
        <v>4.3999999999999997E-2</v>
      </c>
      <c r="AW48" s="18">
        <v>0.1268</v>
      </c>
      <c r="AX48" s="18">
        <v>0.26450000000000001</v>
      </c>
    </row>
    <row r="49" spans="1:50" x14ac:dyDescent="0.25">
      <c r="A49" s="8" t="s">
        <v>94</v>
      </c>
      <c r="B49" s="10" t="s">
        <v>57</v>
      </c>
      <c r="C49" s="16">
        <v>0.83760000000000001</v>
      </c>
      <c r="D49" s="16">
        <v>0.80179999999999996</v>
      </c>
      <c r="E49" s="16">
        <v>0.75760000000000005</v>
      </c>
      <c r="F49" s="16">
        <v>0.55300000000000005</v>
      </c>
      <c r="G49" s="16">
        <v>0.34229999999999999</v>
      </c>
      <c r="H49" s="16">
        <v>0.27250000000000002</v>
      </c>
      <c r="I49" s="16">
        <v>0.1288</v>
      </c>
      <c r="J49" s="16">
        <v>0.2082</v>
      </c>
      <c r="K49" s="16">
        <v>8.6300000000000002E-2</v>
      </c>
      <c r="L49" s="16">
        <v>9.5000000000000001E-2</v>
      </c>
      <c r="M49" s="16">
        <v>0.25929999999999997</v>
      </c>
      <c r="N49" s="16">
        <v>5.6000000000000001E-2</v>
      </c>
      <c r="O49" s="16">
        <v>0.1724</v>
      </c>
      <c r="P49" s="16">
        <v>0.18190000000000001</v>
      </c>
      <c r="Q49" s="16">
        <v>7.5999999999999998E-2</v>
      </c>
      <c r="R49" s="16">
        <v>0.97099999999999997</v>
      </c>
      <c r="S49" s="16">
        <v>0.1086</v>
      </c>
      <c r="T49" s="16">
        <v>0.30830000000000002</v>
      </c>
      <c r="U49" s="16">
        <v>5.6000000000000001E-2</v>
      </c>
      <c r="V49" s="16">
        <v>0.10829999999999999</v>
      </c>
      <c r="W49" s="16">
        <v>0.246</v>
      </c>
      <c r="X49" s="16">
        <v>5.6000000000000001E-2</v>
      </c>
      <c r="Y49" s="16">
        <v>0.26090000000000002</v>
      </c>
      <c r="Z49" s="16">
        <v>9.3299999999999994E-2</v>
      </c>
      <c r="AA49" s="16">
        <v>0.1158</v>
      </c>
      <c r="AB49" s="16">
        <v>0.16059999999999999</v>
      </c>
      <c r="AC49" s="16">
        <v>8.3900000000000002E-2</v>
      </c>
      <c r="AD49" s="16">
        <v>1.6366000000000001</v>
      </c>
      <c r="AE49" s="16">
        <v>0.1273</v>
      </c>
      <c r="AF49" s="16">
        <v>0.22270000000000001</v>
      </c>
      <c r="AG49" s="16">
        <v>0.13159999999999999</v>
      </c>
      <c r="AH49" s="16">
        <v>0.1429</v>
      </c>
      <c r="AI49" s="16">
        <v>0.2114</v>
      </c>
      <c r="AJ49" s="16">
        <v>6.9000000000000006E-2</v>
      </c>
      <c r="AK49" s="16">
        <v>0.121</v>
      </c>
      <c r="AL49" s="16">
        <v>0.18099999999999999</v>
      </c>
      <c r="AM49" s="16">
        <v>1.1003000000000001</v>
      </c>
      <c r="AN49" s="16">
        <v>0.56379999999999997</v>
      </c>
      <c r="AO49" s="16">
        <v>0.4461</v>
      </c>
      <c r="AP49" s="16">
        <v>0.10929999999999999</v>
      </c>
      <c r="AQ49" s="16">
        <v>0.18840000000000001</v>
      </c>
      <c r="AR49" s="16">
        <v>0.4546</v>
      </c>
      <c r="AS49" s="16">
        <v>0.49909999999999999</v>
      </c>
      <c r="AT49" s="16">
        <v>0.3911</v>
      </c>
      <c r="AU49" s="16">
        <v>0.55389999999999995</v>
      </c>
      <c r="AV49" s="16">
        <v>0.81410000000000005</v>
      </c>
      <c r="AW49" s="16">
        <v>0.61199999999999999</v>
      </c>
      <c r="AX49" s="16">
        <v>0.71799999999999997</v>
      </c>
    </row>
    <row r="50" spans="1:50" x14ac:dyDescent="0.25">
      <c r="A50" s="17" t="s">
        <v>165</v>
      </c>
      <c r="B50" s="13" t="s">
        <v>116</v>
      </c>
      <c r="C50" s="18">
        <v>0.1217</v>
      </c>
      <c r="D50" s="18">
        <v>8.3599999999999994E-2</v>
      </c>
      <c r="E50" s="18">
        <v>0.33210000000000001</v>
      </c>
      <c r="F50" s="18">
        <v>4.9000000000000002E-2</v>
      </c>
      <c r="G50" s="18">
        <v>0.2135</v>
      </c>
      <c r="H50" s="18">
        <v>7.4999999999999997E-2</v>
      </c>
      <c r="I50" s="18">
        <v>4.9000000000000002E-2</v>
      </c>
      <c r="J50" s="18">
        <v>0.34079999999999999</v>
      </c>
      <c r="K50" s="18">
        <v>7.4999999999999997E-2</v>
      </c>
      <c r="L50" s="18">
        <v>4.9000000000000002E-2</v>
      </c>
      <c r="M50" s="18">
        <v>0.17630000000000001</v>
      </c>
      <c r="N50" s="18">
        <v>6.6900000000000001E-2</v>
      </c>
      <c r="O50" s="18">
        <v>7.2099999999999997E-2</v>
      </c>
      <c r="P50" s="18">
        <v>0.58919999999999995</v>
      </c>
      <c r="Q50" s="18">
        <v>4.9000000000000002E-2</v>
      </c>
      <c r="R50" s="18">
        <v>0.22209999999999999</v>
      </c>
      <c r="S50" s="18">
        <v>0.19359999999999999</v>
      </c>
      <c r="T50" s="18">
        <v>4.9000000000000002E-2</v>
      </c>
      <c r="U50" s="18">
        <v>0.36670000000000003</v>
      </c>
      <c r="V50" s="18">
        <v>4.9000000000000002E-2</v>
      </c>
      <c r="W50" s="18">
        <v>7.6300000000000007E-2</v>
      </c>
      <c r="X50" s="18">
        <v>0.14899999999999999</v>
      </c>
      <c r="Y50" s="18">
        <v>0.2394</v>
      </c>
      <c r="Z50" s="18">
        <v>6.7199999999999996E-2</v>
      </c>
      <c r="AA50" s="18">
        <v>0.29659999999999997</v>
      </c>
      <c r="AB50" s="18">
        <v>0.1009</v>
      </c>
      <c r="AC50" s="18">
        <v>0.1799</v>
      </c>
      <c r="AD50" s="18">
        <v>0.3281</v>
      </c>
      <c r="AE50" s="18">
        <v>5.3699999999999998E-2</v>
      </c>
      <c r="AF50" s="18">
        <v>0.52729999999999999</v>
      </c>
      <c r="AG50" s="18">
        <v>0.66169999999999995</v>
      </c>
      <c r="AH50" s="18">
        <v>0.51649999999999996</v>
      </c>
      <c r="AI50" s="18">
        <v>1.2370000000000001</v>
      </c>
      <c r="AJ50" s="18">
        <v>0.4894</v>
      </c>
      <c r="AK50" s="18">
        <v>0.1757</v>
      </c>
      <c r="AL50" s="18">
        <v>0.37609999999999999</v>
      </c>
      <c r="AM50" s="18">
        <v>0.22650000000000001</v>
      </c>
      <c r="AN50" s="18">
        <v>0.19289999999999999</v>
      </c>
      <c r="AO50" s="18">
        <v>0.21990000000000001</v>
      </c>
      <c r="AP50" s="18">
        <v>1.3225</v>
      </c>
      <c r="AQ50" s="18">
        <v>0.56259999999999999</v>
      </c>
      <c r="AR50" s="18">
        <v>0.44169999999999998</v>
      </c>
      <c r="AS50" s="18">
        <v>0.40029999999999999</v>
      </c>
      <c r="AT50" s="18">
        <v>0.85709999999999997</v>
      </c>
      <c r="AU50" s="18">
        <v>0.3669</v>
      </c>
      <c r="AV50" s="18">
        <v>0.22209999999999999</v>
      </c>
      <c r="AW50" s="18">
        <v>0.19359999999999999</v>
      </c>
      <c r="AX50" s="18">
        <v>0.1096</v>
      </c>
    </row>
    <row r="51" spans="1:50" x14ac:dyDescent="0.25">
      <c r="A51" s="17" t="s">
        <v>167</v>
      </c>
      <c r="B51" s="13" t="s">
        <v>116</v>
      </c>
      <c r="C51" s="18">
        <v>0.20699999999999999</v>
      </c>
      <c r="D51" s="18">
        <v>9.3200000000000005E-2</v>
      </c>
      <c r="E51" s="18">
        <v>5.8000000000000003E-2</v>
      </c>
      <c r="F51" s="18">
        <v>8.4400000000000003E-2</v>
      </c>
      <c r="G51" s="18">
        <v>0.1108</v>
      </c>
      <c r="H51" s="18">
        <v>0.10199999999999999</v>
      </c>
      <c r="I51" s="18">
        <v>9.3200000000000005E-2</v>
      </c>
      <c r="J51" s="18">
        <v>5.8000000000000003E-2</v>
      </c>
      <c r="K51" s="18">
        <v>0.13719999999999999</v>
      </c>
      <c r="L51" s="18">
        <v>5.8000000000000003E-2</v>
      </c>
      <c r="M51" s="18">
        <v>5.8000000000000003E-2</v>
      </c>
      <c r="N51" s="18">
        <v>5.8000000000000003E-2</v>
      </c>
      <c r="O51" s="18">
        <v>0.10639999999999999</v>
      </c>
      <c r="P51" s="18">
        <v>8.8800000000000004E-2</v>
      </c>
      <c r="Q51" s="18">
        <v>0.40810000000000002</v>
      </c>
      <c r="R51" s="18">
        <v>0.35260000000000002</v>
      </c>
      <c r="S51" s="18">
        <v>0.21870000000000001</v>
      </c>
      <c r="T51" s="18">
        <v>0.45889999999999997</v>
      </c>
      <c r="U51" s="18">
        <v>0.23300000000000001</v>
      </c>
      <c r="V51" s="18">
        <v>0.63570000000000004</v>
      </c>
      <c r="W51" s="18">
        <v>1.2508999999999999</v>
      </c>
      <c r="X51" s="18">
        <v>0.87980000000000003</v>
      </c>
      <c r="Y51" s="18">
        <v>2.15</v>
      </c>
      <c r="Z51" s="18">
        <v>1.4409000000000001</v>
      </c>
      <c r="AA51" s="18">
        <v>0.10199999999999999</v>
      </c>
      <c r="AB51" s="18">
        <v>5.8000000000000003E-2</v>
      </c>
      <c r="AC51" s="18">
        <v>0.10199999999999999</v>
      </c>
      <c r="AD51" s="18">
        <v>9.3200000000000005E-2</v>
      </c>
      <c r="AE51" s="18">
        <v>0.15079999999999999</v>
      </c>
      <c r="AF51" s="18">
        <v>0.4158</v>
      </c>
      <c r="AG51" s="18">
        <v>0.3</v>
      </c>
      <c r="AH51" s="18">
        <v>0.58330000000000004</v>
      </c>
      <c r="AI51" s="18">
        <v>1.0207999999999999</v>
      </c>
      <c r="AJ51" s="18">
        <v>0.19819999999999999</v>
      </c>
      <c r="AK51" s="18">
        <v>0.2414</v>
      </c>
      <c r="AL51" s="18">
        <v>0.1138</v>
      </c>
      <c r="AM51" s="18">
        <v>0.36180000000000001</v>
      </c>
      <c r="AN51" s="18">
        <v>1.3096000000000001</v>
      </c>
      <c r="AO51" s="18">
        <v>0.1351</v>
      </c>
      <c r="AP51" s="18">
        <v>0.46139999999999998</v>
      </c>
      <c r="AQ51" s="18">
        <v>0.55230000000000001</v>
      </c>
      <c r="AR51" s="18">
        <v>0.27239999999999998</v>
      </c>
      <c r="AS51" s="18">
        <v>1.35</v>
      </c>
      <c r="AT51" s="18">
        <v>0.50519999999999998</v>
      </c>
      <c r="AU51" s="18">
        <v>0.59460000000000002</v>
      </c>
      <c r="AV51" s="18">
        <v>1.548</v>
      </c>
      <c r="AW51" s="18">
        <v>0.76129999999999998</v>
      </c>
      <c r="AX51" s="18">
        <v>1.1251</v>
      </c>
    </row>
    <row r="52" spans="1:50" x14ac:dyDescent="0.25">
      <c r="A52" s="17" t="s">
        <v>169</v>
      </c>
      <c r="B52" s="13" t="s">
        <v>116</v>
      </c>
      <c r="C52" s="18">
        <v>0.59930000000000005</v>
      </c>
      <c r="D52" s="18">
        <v>0.10150000000000001</v>
      </c>
      <c r="E52" s="18">
        <v>5.6000000000000001E-2</v>
      </c>
      <c r="F52" s="18">
        <v>5.6000000000000001E-2</v>
      </c>
      <c r="G52" s="18">
        <v>6.3600000000000004E-2</v>
      </c>
      <c r="H52" s="18">
        <v>0.21529999999999999</v>
      </c>
      <c r="I52" s="18">
        <v>5.6000000000000001E-2</v>
      </c>
      <c r="J52" s="18">
        <v>0.22289999999999999</v>
      </c>
      <c r="K52" s="18">
        <v>5.6000000000000001E-2</v>
      </c>
      <c r="L52" s="18">
        <v>5.6000000000000001E-2</v>
      </c>
      <c r="M52" s="18">
        <v>0.16980000000000001</v>
      </c>
      <c r="N52" s="18">
        <v>0.1091</v>
      </c>
      <c r="O52" s="18">
        <v>5.6000000000000001E-2</v>
      </c>
      <c r="P52" s="18">
        <v>0.19259999999999999</v>
      </c>
      <c r="Q52" s="18">
        <v>8.6400000000000005E-2</v>
      </c>
      <c r="R52" s="18">
        <v>0.10929999999999999</v>
      </c>
      <c r="S52" s="18">
        <v>0.20780000000000001</v>
      </c>
      <c r="T52" s="18">
        <v>0.25629999999999997</v>
      </c>
      <c r="U52" s="18">
        <v>1.4736</v>
      </c>
      <c r="V52" s="18">
        <v>2.0163000000000002</v>
      </c>
      <c r="W52" s="18">
        <v>1.0017</v>
      </c>
      <c r="X52" s="18">
        <v>5.6000000000000001E-2</v>
      </c>
      <c r="Y52" s="18">
        <v>9.3899999999999997E-2</v>
      </c>
      <c r="Z52" s="18">
        <v>0.185</v>
      </c>
      <c r="AA52" s="18">
        <v>5.6000000000000001E-2</v>
      </c>
      <c r="AB52" s="18">
        <v>6.3600000000000004E-2</v>
      </c>
      <c r="AC52" s="18">
        <v>0.21529999999999999</v>
      </c>
      <c r="AD52" s="18">
        <v>5.6000000000000001E-2</v>
      </c>
      <c r="AE52" s="18">
        <v>5.6000000000000001E-2</v>
      </c>
      <c r="AF52" s="18">
        <v>0.22289999999999999</v>
      </c>
      <c r="AG52" s="18">
        <v>5.6000000000000001E-2</v>
      </c>
      <c r="AH52" s="18">
        <v>5.6000000000000001E-2</v>
      </c>
      <c r="AI52" s="18">
        <v>0.2571</v>
      </c>
      <c r="AJ52" s="18">
        <v>0.1918</v>
      </c>
      <c r="AK52" s="18">
        <v>0.18379999999999999</v>
      </c>
      <c r="AL52" s="18">
        <v>0.3024</v>
      </c>
      <c r="AM52" s="18">
        <v>0.20530000000000001</v>
      </c>
      <c r="AN52" s="18">
        <v>0.32350000000000001</v>
      </c>
      <c r="AO52" s="18">
        <v>0.17660000000000001</v>
      </c>
      <c r="AP52" s="18">
        <v>0.6895</v>
      </c>
      <c r="AQ52" s="18">
        <v>0.67290000000000005</v>
      </c>
      <c r="AR52" s="18">
        <v>0.65129999999999999</v>
      </c>
      <c r="AS52" s="18">
        <v>0.72430000000000005</v>
      </c>
      <c r="AT52" s="18">
        <v>0.5655</v>
      </c>
      <c r="AU52" s="18">
        <v>0.42770000000000002</v>
      </c>
      <c r="AV52" s="18">
        <v>0.39800000000000002</v>
      </c>
      <c r="AW52" s="18">
        <v>0.70299999999999996</v>
      </c>
      <c r="AX52" s="18">
        <v>0.72019999999999995</v>
      </c>
    </row>
    <row r="53" spans="1:50" x14ac:dyDescent="0.25">
      <c r="A53" s="17" t="s">
        <v>171</v>
      </c>
      <c r="B53" s="13" t="s">
        <v>116</v>
      </c>
      <c r="C53" s="18">
        <v>0.03</v>
      </c>
      <c r="D53" s="18">
        <v>0.15909999999999999</v>
      </c>
      <c r="E53" s="18">
        <v>0.03</v>
      </c>
      <c r="F53" s="18">
        <v>0.11799999999999999</v>
      </c>
      <c r="G53" s="18">
        <v>7.1099999999999997E-2</v>
      </c>
      <c r="H53" s="18">
        <v>0.03</v>
      </c>
      <c r="I53" s="18">
        <v>0.15909999999999999</v>
      </c>
      <c r="J53" s="18">
        <v>0.03</v>
      </c>
      <c r="K53" s="18">
        <v>0.1356</v>
      </c>
      <c r="L53" s="18">
        <v>5.3499999999999999E-2</v>
      </c>
      <c r="M53" s="18">
        <v>0.03</v>
      </c>
      <c r="N53" s="18">
        <v>0.1474</v>
      </c>
      <c r="O53" s="18">
        <v>4.1700000000000001E-2</v>
      </c>
      <c r="P53" s="18">
        <v>0.03</v>
      </c>
      <c r="Q53" s="18">
        <v>0.03</v>
      </c>
      <c r="R53" s="18">
        <v>5.3499999999999999E-2</v>
      </c>
      <c r="S53" s="18">
        <v>0.1356</v>
      </c>
      <c r="T53" s="18">
        <v>0.03</v>
      </c>
      <c r="U53" s="18">
        <v>0.15909999999999999</v>
      </c>
      <c r="V53" s="18">
        <v>3.4299999999999997E-2</v>
      </c>
      <c r="W53" s="18">
        <v>6.5199999999999994E-2</v>
      </c>
      <c r="X53" s="18">
        <v>0.1239</v>
      </c>
      <c r="Y53" s="18">
        <v>0.03</v>
      </c>
      <c r="Z53" s="18">
        <v>5.9299999999999999E-2</v>
      </c>
      <c r="AA53" s="18">
        <v>0.1298</v>
      </c>
      <c r="AB53" s="18">
        <v>0.03</v>
      </c>
      <c r="AC53" s="18">
        <v>8.8700000000000001E-2</v>
      </c>
      <c r="AD53" s="18">
        <v>0.1004</v>
      </c>
      <c r="AE53" s="18">
        <v>0.03</v>
      </c>
      <c r="AF53" s="18">
        <v>0.03</v>
      </c>
      <c r="AG53" s="18">
        <v>0.15909999999999999</v>
      </c>
      <c r="AH53" s="18">
        <v>0.03</v>
      </c>
      <c r="AI53" s="18">
        <v>0.03</v>
      </c>
      <c r="AJ53" s="18">
        <v>0.18440000000000001</v>
      </c>
      <c r="AK53" s="18">
        <v>0.36309999999999998</v>
      </c>
      <c r="AL53" s="18">
        <v>7.6300000000000007E-2</v>
      </c>
      <c r="AM53" s="18">
        <v>0.1472</v>
      </c>
      <c r="AN53" s="18">
        <v>0.12909999999999999</v>
      </c>
      <c r="AO53" s="18">
        <v>9.6299999999999997E-2</v>
      </c>
      <c r="AP53" s="18">
        <v>0.59550000000000003</v>
      </c>
      <c r="AQ53" s="18">
        <v>0.43319999999999997</v>
      </c>
      <c r="AR53" s="18">
        <v>0.52739999999999998</v>
      </c>
      <c r="AS53" s="18">
        <v>0.57530000000000003</v>
      </c>
      <c r="AT53" s="18">
        <v>0.44069999999999998</v>
      </c>
      <c r="AU53" s="18">
        <v>0.15909999999999999</v>
      </c>
      <c r="AV53" s="18">
        <v>0.03</v>
      </c>
      <c r="AW53" s="18">
        <v>0.15909999999999999</v>
      </c>
      <c r="AX53" s="18">
        <v>0.03</v>
      </c>
    </row>
    <row r="54" spans="1:50" x14ac:dyDescent="0.25">
      <c r="A54" s="17" t="s">
        <v>173</v>
      </c>
      <c r="B54" s="13" t="s">
        <v>116</v>
      </c>
      <c r="C54" s="18">
        <v>6.6500000000000004E-2</v>
      </c>
      <c r="D54" s="18">
        <v>0.20580000000000001</v>
      </c>
      <c r="E54" s="18">
        <v>5.0999999999999997E-2</v>
      </c>
      <c r="F54" s="18">
        <v>0.15939999999999999</v>
      </c>
      <c r="G54" s="18">
        <v>0.1129</v>
      </c>
      <c r="H54" s="18">
        <v>5.0999999999999997E-2</v>
      </c>
      <c r="I54" s="18">
        <v>0.2213</v>
      </c>
      <c r="J54" s="18">
        <v>5.0999999999999997E-2</v>
      </c>
      <c r="K54" s="18">
        <v>0.15160000000000001</v>
      </c>
      <c r="L54" s="18">
        <v>0.1207</v>
      </c>
      <c r="M54" s="18">
        <v>5.0999999999999997E-2</v>
      </c>
      <c r="N54" s="18">
        <v>0.18260000000000001</v>
      </c>
      <c r="O54" s="18">
        <v>8.9700000000000002E-2</v>
      </c>
      <c r="P54" s="18">
        <v>5.0999999999999997E-2</v>
      </c>
      <c r="Q54" s="18">
        <v>0.1207</v>
      </c>
      <c r="R54" s="18">
        <v>0.15160000000000001</v>
      </c>
      <c r="S54" s="18">
        <v>5.0999999999999997E-2</v>
      </c>
      <c r="T54" s="18">
        <v>8.9700000000000002E-2</v>
      </c>
      <c r="U54" s="18">
        <v>0.18260000000000001</v>
      </c>
      <c r="V54" s="18">
        <v>5.0999999999999997E-2</v>
      </c>
      <c r="W54" s="18">
        <v>0.41360000000000002</v>
      </c>
      <c r="X54" s="18">
        <v>5.0999999999999997E-2</v>
      </c>
      <c r="Y54" s="18">
        <v>0.2422</v>
      </c>
      <c r="Z54" s="18">
        <v>0.37019999999999997</v>
      </c>
      <c r="AA54" s="18">
        <v>0.1424</v>
      </c>
      <c r="AB54" s="18">
        <v>0.28100000000000003</v>
      </c>
      <c r="AC54" s="18">
        <v>1.4220999999999999</v>
      </c>
      <c r="AD54" s="18">
        <v>5.0999999999999997E-2</v>
      </c>
      <c r="AE54" s="18">
        <v>5.0999999999999997E-2</v>
      </c>
      <c r="AF54" s="18">
        <v>0.2213</v>
      </c>
      <c r="AG54" s="18">
        <v>5.0999999999999997E-2</v>
      </c>
      <c r="AH54" s="18">
        <v>0.15939999999999999</v>
      </c>
      <c r="AI54" s="18">
        <v>0.1129</v>
      </c>
      <c r="AJ54" s="18">
        <v>5.0999999999999997E-2</v>
      </c>
      <c r="AK54" s="18">
        <v>0.30149999999999999</v>
      </c>
      <c r="AL54" s="18">
        <v>0.16089999999999999</v>
      </c>
      <c r="AM54" s="18">
        <v>0.26429999999999998</v>
      </c>
      <c r="AN54" s="18">
        <v>0.3049</v>
      </c>
      <c r="AO54" s="18">
        <v>0.74260000000000004</v>
      </c>
      <c r="AP54" s="18">
        <v>1.0427</v>
      </c>
      <c r="AQ54" s="18">
        <v>0.98480000000000001</v>
      </c>
      <c r="AR54" s="18">
        <v>0.45700000000000002</v>
      </c>
      <c r="AS54" s="18">
        <v>0.55830000000000002</v>
      </c>
      <c r="AT54" s="18">
        <v>0.61970000000000003</v>
      </c>
      <c r="AU54" s="18">
        <v>0.94669999999999999</v>
      </c>
      <c r="AV54" s="18">
        <v>0.7198</v>
      </c>
      <c r="AW54" s="18">
        <v>0.56159999999999999</v>
      </c>
      <c r="AX54" s="18">
        <v>0.40500000000000003</v>
      </c>
    </row>
    <row r="55" spans="1:50" x14ac:dyDescent="0.25">
      <c r="A55" s="17" t="s">
        <v>175</v>
      </c>
      <c r="B55" s="13" t="s">
        <v>116</v>
      </c>
      <c r="C55" s="18">
        <v>0.1401</v>
      </c>
      <c r="D55" s="18">
        <v>0.21229999999999999</v>
      </c>
      <c r="E55" s="18">
        <v>7.8100000000000003E-2</v>
      </c>
      <c r="F55" s="18">
        <v>0.19550000000000001</v>
      </c>
      <c r="G55" s="18">
        <v>0.1714</v>
      </c>
      <c r="H55" s="18">
        <v>0.1022</v>
      </c>
      <c r="I55" s="18">
        <v>0.19320000000000001</v>
      </c>
      <c r="J55" s="18">
        <v>0.1593</v>
      </c>
      <c r="K55" s="18">
        <v>0.1263</v>
      </c>
      <c r="L55" s="18">
        <v>0.2261</v>
      </c>
      <c r="M55" s="18">
        <v>9.2600000000000002E-2</v>
      </c>
      <c r="N55" s="18">
        <v>0.224</v>
      </c>
      <c r="O55" s="18">
        <v>8.9800000000000005E-2</v>
      </c>
      <c r="P55" s="18">
        <v>6.2700000000000006E-2</v>
      </c>
      <c r="Q55" s="18">
        <v>0.9496</v>
      </c>
      <c r="R55" s="18">
        <v>0.19980000000000001</v>
      </c>
      <c r="S55" s="18">
        <v>9.2600000000000002E-2</v>
      </c>
      <c r="T55" s="18">
        <v>0.13800000000000001</v>
      </c>
      <c r="U55" s="18">
        <v>0.23780000000000001</v>
      </c>
      <c r="V55" s="18">
        <v>0.12089999999999999</v>
      </c>
      <c r="W55" s="18">
        <v>0.24729999999999999</v>
      </c>
      <c r="X55" s="18">
        <v>0.1239</v>
      </c>
      <c r="Y55" s="18">
        <v>0.99299999999999999</v>
      </c>
      <c r="Z55" s="18">
        <v>0.70350000000000001</v>
      </c>
      <c r="AA55" s="18">
        <v>0.27210000000000001</v>
      </c>
      <c r="AB55" s="18">
        <v>0.31409999999999999</v>
      </c>
      <c r="AC55" s="18">
        <v>0.42459999999999998</v>
      </c>
      <c r="AD55" s="18">
        <v>7.4200000000000002E-2</v>
      </c>
      <c r="AE55" s="18">
        <v>0.2203</v>
      </c>
      <c r="AF55" s="18">
        <v>5.3999999999999999E-2</v>
      </c>
      <c r="AG55" s="18">
        <v>0.191</v>
      </c>
      <c r="AH55" s="18">
        <v>0.1615</v>
      </c>
      <c r="AI55" s="18">
        <v>0.14080000000000001</v>
      </c>
      <c r="AJ55" s="18">
        <v>5.3999999999999999E-2</v>
      </c>
      <c r="AK55" s="18">
        <v>0.1615</v>
      </c>
      <c r="AL55" s="18">
        <v>0.191</v>
      </c>
      <c r="AM55" s="18">
        <v>5.3999999999999999E-2</v>
      </c>
      <c r="AN55" s="18">
        <v>5.3999999999999999E-2</v>
      </c>
      <c r="AO55" s="18">
        <v>7.8100000000000003E-2</v>
      </c>
      <c r="AP55" s="18">
        <v>0.1167</v>
      </c>
      <c r="AQ55" s="18">
        <v>7.5499999999999998E-2</v>
      </c>
      <c r="AR55" s="18">
        <v>0.27689999999999998</v>
      </c>
      <c r="AS55" s="18">
        <v>5.3999999999999999E-2</v>
      </c>
      <c r="AT55" s="18">
        <v>0.2984</v>
      </c>
      <c r="AU55" s="18">
        <v>5.3999999999999999E-2</v>
      </c>
      <c r="AV55" s="18">
        <v>0.19009999999999999</v>
      </c>
      <c r="AW55" s="18">
        <v>0.1623</v>
      </c>
      <c r="AX55" s="18">
        <v>0.1041</v>
      </c>
    </row>
    <row r="56" spans="1:50" x14ac:dyDescent="0.25">
      <c r="A56" s="8" t="s">
        <v>96</v>
      </c>
      <c r="B56" s="10" t="s">
        <v>57</v>
      </c>
      <c r="C56" s="16">
        <v>0.50309999999999999</v>
      </c>
      <c r="D56" s="16">
        <v>0.28970000000000001</v>
      </c>
      <c r="E56" s="16">
        <v>0.22570000000000001</v>
      </c>
      <c r="F56" s="16">
        <v>0.1482</v>
      </c>
      <c r="G56" s="16">
        <v>0.14000000000000001</v>
      </c>
      <c r="H56" s="16">
        <v>0.29730000000000001</v>
      </c>
      <c r="I56" s="16">
        <v>0.31480000000000002</v>
      </c>
      <c r="J56" s="16">
        <v>4.2000000000000003E-2</v>
      </c>
      <c r="K56" s="16">
        <v>4.2000000000000003E-2</v>
      </c>
      <c r="L56" s="16">
        <v>4.2000000000000003E-2</v>
      </c>
      <c r="M56" s="16">
        <v>4.2000000000000003E-2</v>
      </c>
      <c r="N56" s="16">
        <v>4.2000000000000003E-2</v>
      </c>
      <c r="O56" s="16">
        <v>4.2000000000000003E-2</v>
      </c>
      <c r="P56" s="16">
        <v>4.2000000000000003E-2</v>
      </c>
      <c r="Q56" s="16">
        <v>4.2000000000000003E-2</v>
      </c>
      <c r="R56" s="16">
        <v>4.2000000000000003E-2</v>
      </c>
      <c r="S56" s="16">
        <v>4.2000000000000003E-2</v>
      </c>
      <c r="T56" s="16">
        <v>4.2000000000000003E-2</v>
      </c>
      <c r="U56" s="16">
        <v>4.2000000000000003E-2</v>
      </c>
      <c r="V56" s="16">
        <v>4.2000000000000003E-2</v>
      </c>
      <c r="W56" s="16">
        <v>0.96399999999999997</v>
      </c>
      <c r="X56" s="16">
        <v>0.2336</v>
      </c>
      <c r="Y56" s="16">
        <v>0.36199999999999999</v>
      </c>
      <c r="Z56" s="16">
        <v>0.43530000000000002</v>
      </c>
      <c r="AA56" s="16">
        <v>0.25840000000000002</v>
      </c>
      <c r="AB56" s="16">
        <v>0.20780000000000001</v>
      </c>
      <c r="AC56" s="16">
        <v>0.2319</v>
      </c>
      <c r="AD56" s="16">
        <v>0.58279999999999998</v>
      </c>
      <c r="AE56" s="16">
        <v>0.94569999999999999</v>
      </c>
      <c r="AF56" s="16">
        <v>1.5026999999999999</v>
      </c>
      <c r="AG56" s="16">
        <v>0.27389999999999998</v>
      </c>
      <c r="AH56" s="16">
        <v>0.26419999999999999</v>
      </c>
      <c r="AI56" s="16">
        <v>0.1074</v>
      </c>
      <c r="AJ56" s="16">
        <v>4.3900000000000002E-2</v>
      </c>
      <c r="AK56" s="16">
        <v>5.6000000000000001E-2</v>
      </c>
      <c r="AL56" s="16">
        <v>2.0783999999999998</v>
      </c>
      <c r="AM56" s="16">
        <v>9.7299999999999998E-2</v>
      </c>
      <c r="AN56" s="16">
        <v>0.2576</v>
      </c>
      <c r="AO56" s="16">
        <v>8.0100000000000005E-2</v>
      </c>
      <c r="AP56" s="16">
        <v>0.39510000000000001</v>
      </c>
      <c r="AQ56" s="16">
        <v>0.3876</v>
      </c>
      <c r="AR56" s="16">
        <v>0.70340000000000003</v>
      </c>
      <c r="AS56" s="16">
        <v>0.78010000000000002</v>
      </c>
      <c r="AT56" s="16">
        <v>0.74060000000000004</v>
      </c>
      <c r="AU56" s="16">
        <v>0.55840000000000001</v>
      </c>
      <c r="AV56" s="16">
        <v>1.2944</v>
      </c>
      <c r="AW56" s="16">
        <v>0.55789999999999995</v>
      </c>
      <c r="AX56" s="16">
        <v>0.34660000000000002</v>
      </c>
    </row>
    <row r="57" spans="1:50" x14ac:dyDescent="0.25">
      <c r="A57" s="8" t="s">
        <v>98</v>
      </c>
      <c r="B57" s="10" t="s">
        <v>57</v>
      </c>
      <c r="C57" s="16">
        <v>0.1699</v>
      </c>
      <c r="D57" s="16">
        <v>0.1275</v>
      </c>
      <c r="E57" s="16">
        <v>0.1827</v>
      </c>
      <c r="F57" s="16">
        <v>5.5E-2</v>
      </c>
      <c r="G57" s="16">
        <v>0.19769999999999999</v>
      </c>
      <c r="H57" s="16">
        <v>0.1124</v>
      </c>
      <c r="I57" s="16">
        <v>0.12479999999999999</v>
      </c>
      <c r="J57" s="16">
        <v>0.18529999999999999</v>
      </c>
      <c r="K57" s="16">
        <v>5.5E-2</v>
      </c>
      <c r="L57" s="16">
        <v>0.182</v>
      </c>
      <c r="M57" s="16">
        <v>0.12820000000000001</v>
      </c>
      <c r="N57" s="16">
        <v>6.54E-2</v>
      </c>
      <c r="O57" s="16">
        <v>0.2447</v>
      </c>
      <c r="P57" s="16">
        <v>6.4600000000000005E-2</v>
      </c>
      <c r="Q57" s="16">
        <v>0.72540000000000004</v>
      </c>
      <c r="R57" s="16">
        <v>1.2061999999999999</v>
      </c>
      <c r="S57" s="16">
        <v>0.35449999999999998</v>
      </c>
      <c r="T57" s="16">
        <v>0.33239999999999997</v>
      </c>
      <c r="U57" s="16">
        <v>0.23910000000000001</v>
      </c>
      <c r="V57" s="16">
        <v>0.33929999999999999</v>
      </c>
      <c r="W57" s="16">
        <v>1.3218000000000001</v>
      </c>
      <c r="X57" s="16">
        <v>0.4788</v>
      </c>
      <c r="Y57" s="16">
        <v>0.2145</v>
      </c>
      <c r="Z57" s="16">
        <v>0.1444</v>
      </c>
      <c r="AA57" s="16">
        <v>0.17369999999999999</v>
      </c>
      <c r="AB57" s="16">
        <v>0.1794</v>
      </c>
      <c r="AC57" s="16">
        <v>0.13159999999999999</v>
      </c>
      <c r="AD57" s="16">
        <v>0.32990000000000003</v>
      </c>
      <c r="AE57" s="16">
        <v>0.12870000000000001</v>
      </c>
      <c r="AF57" s="16">
        <v>0.40050000000000002</v>
      </c>
      <c r="AG57" s="16">
        <v>2.1962999999999999</v>
      </c>
      <c r="AH57" s="16">
        <v>2.3689</v>
      </c>
      <c r="AI57" s="16">
        <v>9.5299999999999996E-2</v>
      </c>
      <c r="AJ57" s="16">
        <v>0.33110000000000001</v>
      </c>
      <c r="AK57" s="16">
        <v>1.3597999999999999</v>
      </c>
      <c r="AL57" s="16">
        <v>0.57889999999999997</v>
      </c>
      <c r="AM57" s="16">
        <v>0.38579999999999998</v>
      </c>
      <c r="AN57" s="16">
        <v>0.44140000000000001</v>
      </c>
      <c r="AO57" s="16">
        <v>0.4929</v>
      </c>
      <c r="AP57" s="16">
        <v>0.46489999999999998</v>
      </c>
      <c r="AQ57" s="16">
        <v>0.51849999999999996</v>
      </c>
      <c r="AR57" s="16">
        <v>0.52539999999999998</v>
      </c>
      <c r="AS57" s="16">
        <v>0.46610000000000001</v>
      </c>
      <c r="AT57" s="16">
        <v>0.67620000000000002</v>
      </c>
      <c r="AU57" s="16">
        <v>5.5E-2</v>
      </c>
      <c r="AV57" s="16">
        <v>0.15709999999999999</v>
      </c>
      <c r="AW57" s="16">
        <v>0.153</v>
      </c>
      <c r="AX57" s="16">
        <v>5.5E-2</v>
      </c>
    </row>
    <row r="58" spans="1:50" x14ac:dyDescent="0.25">
      <c r="A58" s="17" t="s">
        <v>177</v>
      </c>
      <c r="B58" s="13" t="s">
        <v>116</v>
      </c>
      <c r="C58" s="18">
        <v>7.1300000000000002E-2</v>
      </c>
      <c r="D58" s="18">
        <v>0.28549999999999998</v>
      </c>
      <c r="E58" s="18">
        <v>0.14000000000000001</v>
      </c>
      <c r="F58" s="18">
        <v>4.1000000000000002E-2</v>
      </c>
      <c r="G58" s="18">
        <v>0.13869999999999999</v>
      </c>
      <c r="H58" s="18">
        <v>0.23810000000000001</v>
      </c>
      <c r="I58" s="18">
        <v>0.1201</v>
      </c>
      <c r="J58" s="18">
        <v>4.1000000000000002E-2</v>
      </c>
      <c r="K58" s="18">
        <v>0.17910000000000001</v>
      </c>
      <c r="L58" s="18">
        <v>0.2112</v>
      </c>
      <c r="M58" s="18">
        <v>0.1066</v>
      </c>
      <c r="N58" s="18">
        <v>0.24640000000000001</v>
      </c>
      <c r="O58" s="18">
        <v>0.2094</v>
      </c>
      <c r="P58" s="18">
        <v>0.128</v>
      </c>
      <c r="Q58" s="18">
        <v>0.20130000000000001</v>
      </c>
      <c r="R58" s="18">
        <v>0.52210000000000001</v>
      </c>
      <c r="S58" s="18">
        <v>0.40200000000000002</v>
      </c>
      <c r="T58" s="18">
        <v>1.4972000000000001</v>
      </c>
      <c r="U58" s="18">
        <v>0.42159999999999997</v>
      </c>
      <c r="V58" s="18">
        <v>0.28920000000000001</v>
      </c>
      <c r="W58" s="18">
        <v>0.4632</v>
      </c>
      <c r="X58" s="18">
        <v>0.48070000000000002</v>
      </c>
      <c r="Y58" s="18">
        <v>0.313</v>
      </c>
      <c r="Z58" s="18">
        <v>0.11700000000000001</v>
      </c>
      <c r="AA58" s="18">
        <v>0.32769999999999999</v>
      </c>
      <c r="AB58" s="18">
        <v>0.30270000000000002</v>
      </c>
      <c r="AC58" s="18">
        <v>0.30030000000000001</v>
      </c>
      <c r="AD58" s="18">
        <v>0.20849999999999999</v>
      </c>
      <c r="AE58" s="18">
        <v>0.34470000000000001</v>
      </c>
      <c r="AF58" s="18">
        <v>0.2873</v>
      </c>
      <c r="AG58" s="18">
        <v>0.13730000000000001</v>
      </c>
      <c r="AH58" s="18">
        <v>0.28589999999999999</v>
      </c>
      <c r="AI58" s="18">
        <v>0.49349999999999999</v>
      </c>
      <c r="AJ58" s="18">
        <v>0.28989999999999999</v>
      </c>
      <c r="AK58" s="18">
        <v>0.28870000000000001</v>
      </c>
      <c r="AL58" s="18">
        <v>0.39439999999999997</v>
      </c>
      <c r="AM58" s="18">
        <v>0.22259999999999999</v>
      </c>
      <c r="AN58" s="18">
        <v>0.60329999999999995</v>
      </c>
      <c r="AO58" s="18">
        <v>0.1875</v>
      </c>
      <c r="AP58" s="18">
        <v>0.41120000000000001</v>
      </c>
      <c r="AQ58" s="18">
        <v>0.2969</v>
      </c>
      <c r="AR58" s="18">
        <v>4.1000000000000002E-2</v>
      </c>
      <c r="AS58" s="18">
        <v>0.21179999999999999</v>
      </c>
      <c r="AT58" s="18">
        <v>0.24399999999999999</v>
      </c>
      <c r="AU58" s="18">
        <v>0.1019</v>
      </c>
      <c r="AV58" s="18">
        <v>7.3800000000000004E-2</v>
      </c>
      <c r="AW58" s="18">
        <v>0.1472</v>
      </c>
      <c r="AX58" s="18">
        <v>0.29289999999999999</v>
      </c>
    </row>
    <row r="59" spans="1:50" x14ac:dyDescent="0.25">
      <c r="A59" s="17" t="s">
        <v>179</v>
      </c>
      <c r="B59" s="13" t="s">
        <v>116</v>
      </c>
      <c r="C59" s="18">
        <v>0.43859999999999999</v>
      </c>
      <c r="D59" s="18">
        <v>6.08E-2</v>
      </c>
      <c r="E59" s="18">
        <v>0.155</v>
      </c>
      <c r="F59" s="18">
        <v>0.17180000000000001</v>
      </c>
      <c r="G59" s="18">
        <v>0.15079999999999999</v>
      </c>
      <c r="H59" s="18">
        <v>0.19800000000000001</v>
      </c>
      <c r="I59" s="18">
        <v>0.16470000000000001</v>
      </c>
      <c r="J59" s="18">
        <v>0.18029999999999999</v>
      </c>
      <c r="K59" s="18">
        <v>0.24729999999999999</v>
      </c>
      <c r="L59" s="18">
        <v>0.05</v>
      </c>
      <c r="M59" s="18">
        <v>0.1583</v>
      </c>
      <c r="N59" s="18">
        <v>0.18329999999999999</v>
      </c>
      <c r="O59" s="18">
        <v>0.16120000000000001</v>
      </c>
      <c r="P59" s="18">
        <v>0.19470000000000001</v>
      </c>
      <c r="Q59" s="18">
        <v>0.2077</v>
      </c>
      <c r="R59" s="18">
        <v>0.1149</v>
      </c>
      <c r="S59" s="18">
        <v>0.37190000000000001</v>
      </c>
      <c r="T59" s="18">
        <v>1.2845</v>
      </c>
      <c r="U59" s="18">
        <v>1.0335000000000001</v>
      </c>
      <c r="V59" s="18">
        <v>0.45079999999999998</v>
      </c>
      <c r="W59" s="18">
        <v>0.75870000000000004</v>
      </c>
      <c r="X59" s="18">
        <v>0.08</v>
      </c>
      <c r="Y59" s="18">
        <v>0.15029999999999999</v>
      </c>
      <c r="Z59" s="18">
        <v>0.25140000000000001</v>
      </c>
      <c r="AA59" s="18">
        <v>0.3458</v>
      </c>
      <c r="AB59" s="18">
        <v>0.36990000000000001</v>
      </c>
      <c r="AC59" s="18">
        <v>0.30669999999999997</v>
      </c>
      <c r="AD59" s="18">
        <v>0.52839999999999998</v>
      </c>
      <c r="AE59" s="18">
        <v>0.23139999999999999</v>
      </c>
      <c r="AF59" s="18">
        <v>1.3408</v>
      </c>
      <c r="AG59" s="18">
        <v>0.37280000000000002</v>
      </c>
      <c r="AH59" s="18">
        <v>0.29659999999999997</v>
      </c>
      <c r="AI59" s="18">
        <v>1.1242000000000001</v>
      </c>
      <c r="AJ59" s="18">
        <v>0.58030000000000004</v>
      </c>
      <c r="AK59" s="18">
        <v>0.35339999999999999</v>
      </c>
      <c r="AL59" s="18">
        <v>1.1439999999999999</v>
      </c>
      <c r="AM59" s="18">
        <v>0.78590000000000004</v>
      </c>
      <c r="AN59" s="18">
        <v>2.7890999999999999</v>
      </c>
      <c r="AO59" s="18">
        <v>0.31709999999999999</v>
      </c>
      <c r="AP59" s="18">
        <v>0.7681</v>
      </c>
      <c r="AQ59" s="18">
        <v>0.75939999999999996</v>
      </c>
      <c r="AR59" s="18">
        <v>1.0232000000000001</v>
      </c>
      <c r="AS59" s="18">
        <v>0.99939999999999996</v>
      </c>
      <c r="AT59" s="18">
        <v>0.69440000000000002</v>
      </c>
      <c r="AU59" s="18">
        <v>0.94589999999999996</v>
      </c>
      <c r="AV59" s="18">
        <v>0.58520000000000005</v>
      </c>
      <c r="AW59" s="18">
        <v>0.88539999999999996</v>
      </c>
      <c r="AX59" s="18">
        <v>0.55759999999999998</v>
      </c>
    </row>
    <row r="60" spans="1:50" x14ac:dyDescent="0.25">
      <c r="A60" s="17" t="s">
        <v>181</v>
      </c>
      <c r="B60" s="13" t="s">
        <v>116</v>
      </c>
      <c r="C60" s="18">
        <v>2.5999999999999999E-2</v>
      </c>
      <c r="D60" s="18">
        <v>2.5999999999999999E-2</v>
      </c>
      <c r="E60" s="18">
        <v>0.14410000000000001</v>
      </c>
      <c r="F60" s="18">
        <v>2.5999999999999999E-2</v>
      </c>
      <c r="G60" s="18">
        <v>2.5999999999999999E-2</v>
      </c>
      <c r="H60" s="18">
        <v>0.11459999999999999</v>
      </c>
      <c r="I60" s="18">
        <v>5.5500000000000001E-2</v>
      </c>
      <c r="J60" s="18">
        <v>2.5999999999999999E-2</v>
      </c>
      <c r="K60" s="18">
        <v>2.5999999999999999E-2</v>
      </c>
      <c r="L60" s="18">
        <v>0.14410000000000001</v>
      </c>
      <c r="M60" s="18">
        <v>2.5999999999999999E-2</v>
      </c>
      <c r="N60" s="18">
        <v>5.5500000000000001E-2</v>
      </c>
      <c r="O60" s="18">
        <v>0.11459999999999999</v>
      </c>
      <c r="P60" s="18">
        <v>7.7700000000000005E-2</v>
      </c>
      <c r="Q60" s="18">
        <v>0.15359999999999999</v>
      </c>
      <c r="R60" s="18">
        <v>0.1323</v>
      </c>
      <c r="S60" s="18">
        <v>3.78E-2</v>
      </c>
      <c r="T60" s="18">
        <v>0.14829999999999999</v>
      </c>
      <c r="U60" s="18">
        <v>0.14829999999999999</v>
      </c>
      <c r="V60" s="18">
        <v>0.14949999999999999</v>
      </c>
      <c r="W60" s="18">
        <v>1.2049000000000001</v>
      </c>
      <c r="X60" s="18">
        <v>0.3775</v>
      </c>
      <c r="Y60" s="18">
        <v>0.21790000000000001</v>
      </c>
      <c r="Z60" s="18">
        <v>0.29909999999999998</v>
      </c>
      <c r="AA60" s="18">
        <v>0.20549999999999999</v>
      </c>
      <c r="AB60" s="18">
        <v>0.2419</v>
      </c>
      <c r="AC60" s="18">
        <v>0.437</v>
      </c>
      <c r="AD60" s="18">
        <v>1.7314000000000001</v>
      </c>
      <c r="AE60" s="18">
        <v>0.60009999999999997</v>
      </c>
      <c r="AF60" s="18">
        <v>0.32800000000000001</v>
      </c>
      <c r="AG60" s="18">
        <v>0.85489999999999999</v>
      </c>
      <c r="AH60" s="18">
        <v>0.44419999999999998</v>
      </c>
      <c r="AI60" s="18">
        <v>0.15060000000000001</v>
      </c>
      <c r="AJ60" s="18">
        <v>0.40889999999999999</v>
      </c>
      <c r="AK60" s="18">
        <v>0.51380000000000003</v>
      </c>
      <c r="AL60" s="18">
        <v>3.0568</v>
      </c>
      <c r="AM60" s="18">
        <v>3.9632000000000001</v>
      </c>
      <c r="AN60" s="18">
        <v>0.51480000000000004</v>
      </c>
      <c r="AO60" s="18">
        <v>0.17560000000000001</v>
      </c>
      <c r="AP60" s="18">
        <v>0.371</v>
      </c>
      <c r="AQ60" s="18">
        <v>0.68130000000000002</v>
      </c>
      <c r="AR60" s="18">
        <v>0.50509999999999999</v>
      </c>
      <c r="AS60" s="18">
        <v>0.89859999999999995</v>
      </c>
      <c r="AT60" s="18">
        <v>0.68440000000000001</v>
      </c>
      <c r="AU60" s="18">
        <v>0.57079999999999997</v>
      </c>
      <c r="AV60" s="18">
        <v>0.56259999999999999</v>
      </c>
      <c r="AW60" s="18">
        <v>0.32550000000000001</v>
      </c>
      <c r="AX60" s="18">
        <v>0.66859999999999997</v>
      </c>
    </row>
    <row r="61" spans="1:50" x14ac:dyDescent="0.25">
      <c r="A61" s="8" t="s">
        <v>100</v>
      </c>
      <c r="B61" s="10" t="s">
        <v>57</v>
      </c>
      <c r="C61" s="16">
        <v>0.65700000000000003</v>
      </c>
      <c r="D61" s="16">
        <v>0.1573</v>
      </c>
      <c r="E61" s="16">
        <v>8.77E-2</v>
      </c>
      <c r="F61" s="16">
        <v>8.77E-2</v>
      </c>
      <c r="G61" s="16">
        <v>0.1573</v>
      </c>
      <c r="H61" s="16">
        <v>4.5999999999999999E-2</v>
      </c>
      <c r="I61" s="16">
        <v>4.5999999999999999E-2</v>
      </c>
      <c r="J61" s="16">
        <v>0.1573</v>
      </c>
      <c r="K61" s="16">
        <v>8.77E-2</v>
      </c>
      <c r="L61" s="16">
        <v>4.5999999999999999E-2</v>
      </c>
      <c r="M61" s="16">
        <v>0.11559999999999999</v>
      </c>
      <c r="N61" s="16">
        <v>0.1295</v>
      </c>
      <c r="O61" s="16">
        <v>4.5999999999999999E-2</v>
      </c>
      <c r="P61" s="16">
        <v>0.1991</v>
      </c>
      <c r="Q61" s="16">
        <v>4.5999999999999999E-2</v>
      </c>
      <c r="R61" s="16">
        <v>0.1026</v>
      </c>
      <c r="S61" s="16">
        <v>0.1991</v>
      </c>
      <c r="T61" s="16">
        <v>4.5999999999999999E-2</v>
      </c>
      <c r="U61" s="16">
        <v>0.29220000000000002</v>
      </c>
      <c r="V61" s="16">
        <v>0.1225</v>
      </c>
      <c r="W61" s="16">
        <v>0.26150000000000001</v>
      </c>
      <c r="X61" s="16">
        <v>0.38119999999999998</v>
      </c>
      <c r="Y61" s="16">
        <v>0.1026</v>
      </c>
      <c r="Z61" s="16">
        <v>0.31219999999999998</v>
      </c>
      <c r="AA61" s="16">
        <v>0.36969999999999997</v>
      </c>
      <c r="AB61" s="16">
        <v>0.37330000000000002</v>
      </c>
      <c r="AC61" s="16">
        <v>0.47289999999999999</v>
      </c>
      <c r="AD61" s="16">
        <v>0.39389999999999997</v>
      </c>
      <c r="AE61" s="16">
        <v>0.14949999999999999</v>
      </c>
      <c r="AF61" s="16">
        <v>4.5999999999999999E-2</v>
      </c>
      <c r="AG61" s="16">
        <v>0.1991</v>
      </c>
      <c r="AH61" s="16">
        <v>4.5999999999999999E-2</v>
      </c>
      <c r="AI61" s="16">
        <v>9.4700000000000006E-2</v>
      </c>
      <c r="AJ61" s="16">
        <v>0.15040000000000001</v>
      </c>
      <c r="AK61" s="16">
        <v>7.5200000000000003E-2</v>
      </c>
      <c r="AL61" s="16">
        <v>0.34360000000000002</v>
      </c>
      <c r="AM61" s="16">
        <v>0.36299999999999999</v>
      </c>
      <c r="AN61" s="16">
        <v>4.5999999999999999E-2</v>
      </c>
      <c r="AO61" s="16">
        <v>0.2253</v>
      </c>
      <c r="AP61" s="16">
        <v>0.28839999999999999</v>
      </c>
      <c r="AQ61" s="16">
        <v>0.48649999999999999</v>
      </c>
      <c r="AR61" s="16">
        <v>0.52910000000000001</v>
      </c>
      <c r="AS61" s="16">
        <v>0.69840000000000002</v>
      </c>
      <c r="AT61" s="16">
        <v>0.49819999999999998</v>
      </c>
      <c r="AU61" s="16">
        <v>0.52190000000000003</v>
      </c>
      <c r="AV61" s="16">
        <v>0.56799999999999995</v>
      </c>
      <c r="AW61" s="16">
        <v>1.1793</v>
      </c>
      <c r="AX61" s="16">
        <v>0.31719999999999998</v>
      </c>
    </row>
    <row r="62" spans="1:50" x14ac:dyDescent="0.25">
      <c r="A62" s="17" t="s">
        <v>183</v>
      </c>
      <c r="B62" s="13" t="s">
        <v>116</v>
      </c>
      <c r="C62" s="18">
        <v>0.21240000000000001</v>
      </c>
      <c r="D62" s="18">
        <v>0.14050000000000001</v>
      </c>
      <c r="E62" s="18">
        <v>0.40710000000000002</v>
      </c>
      <c r="F62" s="18">
        <v>0.45250000000000001</v>
      </c>
      <c r="G62" s="18">
        <v>0.33169999999999999</v>
      </c>
      <c r="H62" s="18">
        <v>0.50849999999999995</v>
      </c>
      <c r="I62" s="18">
        <v>0.39879999999999999</v>
      </c>
      <c r="J62" s="18">
        <v>0.41389999999999999</v>
      </c>
      <c r="K62" s="18">
        <v>0.1229</v>
      </c>
      <c r="L62" s="18">
        <v>6.0999999999999999E-2</v>
      </c>
      <c r="M62" s="18">
        <v>0.21240000000000001</v>
      </c>
      <c r="N62" s="18">
        <v>6.0999999999999999E-2</v>
      </c>
      <c r="O62" s="18">
        <v>6.0999999999999999E-2</v>
      </c>
      <c r="P62" s="18">
        <v>0.21240000000000001</v>
      </c>
      <c r="Q62" s="18">
        <v>6.0999999999999999E-2</v>
      </c>
      <c r="R62" s="18">
        <v>6.7900000000000002E-2</v>
      </c>
      <c r="S62" s="18">
        <v>0.20549999999999999</v>
      </c>
      <c r="T62" s="18">
        <v>6.0999999999999999E-2</v>
      </c>
      <c r="U62" s="18">
        <v>1.2678</v>
      </c>
      <c r="V62" s="18">
        <v>0.78879999999999995</v>
      </c>
      <c r="W62" s="18">
        <v>3.0083000000000002</v>
      </c>
      <c r="X62" s="18">
        <v>0.4098</v>
      </c>
      <c r="Y62" s="18">
        <v>0.25779999999999997</v>
      </c>
      <c r="Z62" s="18">
        <v>0.31869999999999998</v>
      </c>
      <c r="AA62" s="18">
        <v>0.503</v>
      </c>
      <c r="AB62" s="18">
        <v>1.6588000000000001</v>
      </c>
      <c r="AC62" s="18">
        <v>0.3145</v>
      </c>
      <c r="AD62" s="18">
        <v>0.21240000000000001</v>
      </c>
      <c r="AE62" s="18">
        <v>6.0999999999999999E-2</v>
      </c>
      <c r="AF62" s="18">
        <v>6.0999999999999999E-2</v>
      </c>
      <c r="AG62" s="18">
        <v>0.21240000000000001</v>
      </c>
      <c r="AH62" s="18">
        <v>0.26269999999999999</v>
      </c>
      <c r="AI62" s="18">
        <v>0.37559999999999999</v>
      </c>
      <c r="AJ62" s="18">
        <v>0.3821</v>
      </c>
      <c r="AK62" s="18">
        <v>0.26679999999999998</v>
      </c>
      <c r="AL62" s="18">
        <v>0.25440000000000002</v>
      </c>
      <c r="AM62" s="18">
        <v>0.15329999999999999</v>
      </c>
      <c r="AN62" s="18">
        <v>2.1194999999999999</v>
      </c>
      <c r="AO62" s="18">
        <v>1.7595000000000001</v>
      </c>
      <c r="AP62" s="18">
        <v>2.2799999999999998</v>
      </c>
      <c r="AQ62" s="18">
        <v>0.85129999999999995</v>
      </c>
      <c r="AR62" s="18">
        <v>0.752</v>
      </c>
      <c r="AS62" s="18">
        <v>0.749</v>
      </c>
      <c r="AT62" s="18">
        <v>0.5111</v>
      </c>
      <c r="AU62" s="18">
        <v>0.7218</v>
      </c>
      <c r="AV62" s="18">
        <v>0.66110000000000002</v>
      </c>
      <c r="AW62" s="18">
        <v>1.4864999999999999</v>
      </c>
      <c r="AX62" s="18">
        <v>0.4783</v>
      </c>
    </row>
    <row r="63" spans="1:50" x14ac:dyDescent="0.25">
      <c r="A63" s="8" t="s">
        <v>102</v>
      </c>
      <c r="B63" s="10" t="s">
        <v>57</v>
      </c>
      <c r="C63" s="16">
        <v>0.34300000000000003</v>
      </c>
      <c r="D63" s="16">
        <v>0.1968</v>
      </c>
      <c r="E63" s="16">
        <v>0.438</v>
      </c>
      <c r="F63" s="16">
        <v>7.1400000000000005E-2</v>
      </c>
      <c r="G63" s="16">
        <v>0.25580000000000003</v>
      </c>
      <c r="H63" s="16">
        <v>8.1000000000000003E-2</v>
      </c>
      <c r="I63" s="16">
        <v>0.04</v>
      </c>
      <c r="J63" s="16">
        <v>0.26090000000000002</v>
      </c>
      <c r="K63" s="16">
        <v>7.5800000000000006E-2</v>
      </c>
      <c r="L63" s="16">
        <v>0.04</v>
      </c>
      <c r="M63" s="16">
        <v>0.29670000000000002</v>
      </c>
      <c r="N63" s="16">
        <v>0.04</v>
      </c>
      <c r="O63" s="16">
        <v>0.29670000000000002</v>
      </c>
      <c r="P63" s="16">
        <v>0.04</v>
      </c>
      <c r="Q63" s="16">
        <v>4.8000000000000001E-2</v>
      </c>
      <c r="R63" s="16">
        <v>0.20810000000000001</v>
      </c>
      <c r="S63" s="16">
        <v>6.6900000000000001E-2</v>
      </c>
      <c r="T63" s="16">
        <v>0.15909999999999999</v>
      </c>
      <c r="U63" s="16">
        <v>0.2051</v>
      </c>
      <c r="V63" s="16">
        <v>6.13E-2</v>
      </c>
      <c r="W63" s="16">
        <v>0.14369999999999999</v>
      </c>
      <c r="X63" s="16">
        <v>0.193</v>
      </c>
      <c r="Y63" s="16">
        <v>0.1027</v>
      </c>
      <c r="Z63" s="16">
        <v>0.22600000000000001</v>
      </c>
      <c r="AA63" s="16">
        <v>5.7000000000000002E-2</v>
      </c>
      <c r="AB63" s="16">
        <v>0.19969999999999999</v>
      </c>
      <c r="AC63" s="16">
        <v>0.128</v>
      </c>
      <c r="AD63" s="16">
        <v>0.16070000000000001</v>
      </c>
      <c r="AE63" s="16">
        <v>0.17610000000000001</v>
      </c>
      <c r="AF63" s="16">
        <v>0.04</v>
      </c>
      <c r="AG63" s="16">
        <v>0.30159999999999998</v>
      </c>
      <c r="AH63" s="16">
        <v>1.6567000000000001</v>
      </c>
      <c r="AI63" s="16">
        <v>3.077</v>
      </c>
      <c r="AJ63" s="16">
        <v>2.4308999999999998</v>
      </c>
      <c r="AK63" s="16">
        <v>0.1888</v>
      </c>
      <c r="AL63" s="16">
        <v>0.30459999999999998</v>
      </c>
      <c r="AM63" s="16">
        <v>0.1273</v>
      </c>
      <c r="AN63" s="16">
        <v>0.20699999999999999</v>
      </c>
      <c r="AO63" s="16">
        <v>0.2989</v>
      </c>
      <c r="AP63" s="16">
        <v>0.33860000000000001</v>
      </c>
      <c r="AQ63" s="16">
        <v>0.63400000000000001</v>
      </c>
      <c r="AR63" s="16">
        <v>0.29120000000000001</v>
      </c>
      <c r="AS63" s="16">
        <v>0.3054</v>
      </c>
      <c r="AT63" s="16">
        <v>0.62580000000000002</v>
      </c>
      <c r="AU63" s="16">
        <v>0.3916</v>
      </c>
      <c r="AV63" s="16">
        <v>0.26469999999999999</v>
      </c>
      <c r="AW63" s="16">
        <v>0.5212</v>
      </c>
      <c r="AX63" s="16">
        <v>0.04</v>
      </c>
    </row>
    <row r="64" spans="1:50" x14ac:dyDescent="0.25">
      <c r="A64" s="8" t="s">
        <v>104</v>
      </c>
      <c r="B64" s="10" t="s">
        <v>57</v>
      </c>
      <c r="C64" s="16">
        <v>0.1623</v>
      </c>
      <c r="D64" s="16">
        <v>0.20449999999999999</v>
      </c>
      <c r="E64" s="16">
        <v>4.8000000000000001E-2</v>
      </c>
      <c r="F64" s="16">
        <v>0.30320000000000003</v>
      </c>
      <c r="G64" s="16">
        <v>6.3600000000000004E-2</v>
      </c>
      <c r="H64" s="16">
        <v>0.1467</v>
      </c>
      <c r="I64" s="16">
        <v>0.22009999999999999</v>
      </c>
      <c r="J64" s="16">
        <v>4.8000000000000001E-2</v>
      </c>
      <c r="K64" s="16">
        <v>4.8000000000000001E-2</v>
      </c>
      <c r="L64" s="16">
        <v>0.23280000000000001</v>
      </c>
      <c r="M64" s="16">
        <v>0.1341</v>
      </c>
      <c r="N64" s="16">
        <v>4.8000000000000001E-2</v>
      </c>
      <c r="O64" s="16">
        <v>0.311</v>
      </c>
      <c r="P64" s="16">
        <v>5.5800000000000002E-2</v>
      </c>
      <c r="Q64" s="16">
        <v>0.32150000000000001</v>
      </c>
      <c r="R64" s="16">
        <v>0.34179999999999999</v>
      </c>
      <c r="S64" s="16">
        <v>0.1023</v>
      </c>
      <c r="T64" s="16">
        <v>0.42880000000000001</v>
      </c>
      <c r="U64" s="16">
        <v>0.21959999999999999</v>
      </c>
      <c r="V64" s="16">
        <v>0.19259999999999999</v>
      </c>
      <c r="W64" s="16">
        <v>0.23419999999999999</v>
      </c>
      <c r="X64" s="16">
        <v>4.8000000000000001E-2</v>
      </c>
      <c r="Y64" s="16">
        <v>0.1467</v>
      </c>
      <c r="Z64" s="16">
        <v>5.5800000000000002E-2</v>
      </c>
      <c r="AA64" s="16">
        <v>0.311</v>
      </c>
      <c r="AB64" s="16">
        <v>4.8000000000000001E-2</v>
      </c>
      <c r="AC64" s="16">
        <v>0.16539999999999999</v>
      </c>
      <c r="AD64" s="16">
        <v>0.20150000000000001</v>
      </c>
      <c r="AE64" s="16">
        <v>4.8000000000000001E-2</v>
      </c>
      <c r="AF64" s="16">
        <v>0.19520000000000001</v>
      </c>
      <c r="AG64" s="16">
        <v>0.1716</v>
      </c>
      <c r="AH64" s="16">
        <v>4.8000000000000001E-2</v>
      </c>
      <c r="AI64" s="16">
        <v>0.27189999999999998</v>
      </c>
      <c r="AJ64" s="16">
        <v>0.1017</v>
      </c>
      <c r="AK64" s="16">
        <v>0.23330000000000001</v>
      </c>
      <c r="AL64" s="16">
        <v>0.33550000000000002</v>
      </c>
      <c r="AM64" s="16">
        <v>0.51690000000000003</v>
      </c>
      <c r="AN64" s="16">
        <v>0.44629999999999997</v>
      </c>
      <c r="AO64" s="16">
        <v>0.38600000000000001</v>
      </c>
      <c r="AP64" s="16">
        <v>0.60680000000000001</v>
      </c>
      <c r="AQ64" s="16">
        <v>0.48099999999999998</v>
      </c>
      <c r="AR64" s="16">
        <v>0.72470000000000001</v>
      </c>
      <c r="AS64" s="16">
        <v>0.42549999999999999</v>
      </c>
      <c r="AT64" s="16">
        <v>0.29570000000000002</v>
      </c>
      <c r="AU64" s="16">
        <v>0.54620000000000002</v>
      </c>
      <c r="AV64" s="16">
        <v>0.34379999999999999</v>
      </c>
      <c r="AW64" s="16">
        <v>0.46910000000000002</v>
      </c>
      <c r="AX64" s="16">
        <v>0.40689999999999998</v>
      </c>
    </row>
    <row r="65" spans="1:50" x14ac:dyDescent="0.25">
      <c r="A65" s="17" t="s">
        <v>185</v>
      </c>
      <c r="B65" s="13" t="s">
        <v>116</v>
      </c>
      <c r="C65" s="18">
        <v>6.0299999999999999E-2</v>
      </c>
      <c r="D65" s="18">
        <v>0.21679999999999999</v>
      </c>
      <c r="E65" s="18">
        <v>4.9000000000000002E-2</v>
      </c>
      <c r="F65" s="18">
        <v>7.7499999999999999E-2</v>
      </c>
      <c r="G65" s="18">
        <v>0.22220000000000001</v>
      </c>
      <c r="H65" s="18">
        <v>0.13930000000000001</v>
      </c>
      <c r="I65" s="18">
        <v>0.17080000000000001</v>
      </c>
      <c r="J65" s="18">
        <v>0.18690000000000001</v>
      </c>
      <c r="K65" s="18">
        <v>0.1038</v>
      </c>
      <c r="L65" s="18">
        <v>0.15490000000000001</v>
      </c>
      <c r="M65" s="18">
        <v>0.21249999999999999</v>
      </c>
      <c r="N65" s="18">
        <v>0.16189999999999999</v>
      </c>
      <c r="O65" s="18">
        <v>0.15720000000000001</v>
      </c>
      <c r="P65" s="18">
        <v>0.15939999999999999</v>
      </c>
      <c r="Q65" s="18">
        <v>0.19389999999999999</v>
      </c>
      <c r="R65" s="18">
        <v>0.1452</v>
      </c>
      <c r="S65" s="18">
        <v>0.1595</v>
      </c>
      <c r="T65" s="18">
        <v>0.1724</v>
      </c>
      <c r="U65" s="18">
        <v>0.13930000000000001</v>
      </c>
      <c r="V65" s="18">
        <v>9.2100000000000001E-2</v>
      </c>
      <c r="W65" s="18">
        <v>0.27289999999999998</v>
      </c>
      <c r="X65" s="18">
        <v>9.0200000000000002E-2</v>
      </c>
      <c r="Y65" s="18">
        <v>0.20530000000000001</v>
      </c>
      <c r="Z65" s="18">
        <v>0.21360000000000001</v>
      </c>
      <c r="AA65" s="18">
        <v>0.30149999999999999</v>
      </c>
      <c r="AB65" s="18">
        <v>0.27350000000000002</v>
      </c>
      <c r="AC65" s="18">
        <v>0.11840000000000001</v>
      </c>
      <c r="AD65" s="18">
        <v>0.2094</v>
      </c>
      <c r="AE65" s="18">
        <v>0.33979999999999999</v>
      </c>
      <c r="AF65" s="18">
        <v>0.25240000000000001</v>
      </c>
      <c r="AG65" s="18">
        <v>0.26269999999999999</v>
      </c>
      <c r="AH65" s="18">
        <v>6.83E-2</v>
      </c>
      <c r="AI65" s="18">
        <v>0.38059999999999999</v>
      </c>
      <c r="AJ65" s="18">
        <v>0.3503</v>
      </c>
      <c r="AK65" s="18">
        <v>0.5786</v>
      </c>
      <c r="AL65" s="18">
        <v>0.41710000000000003</v>
      </c>
      <c r="AM65" s="18">
        <v>0.35959999999999998</v>
      </c>
      <c r="AN65" s="18">
        <v>0.46760000000000002</v>
      </c>
      <c r="AO65" s="18">
        <v>0.1459</v>
      </c>
      <c r="AP65" s="18">
        <v>0.21579999999999999</v>
      </c>
      <c r="AQ65" s="18">
        <v>9.8799999999999999E-2</v>
      </c>
      <c r="AR65" s="18">
        <v>0.2291</v>
      </c>
      <c r="AS65" s="18">
        <v>0.13930000000000001</v>
      </c>
      <c r="AT65" s="18">
        <v>9.64E-2</v>
      </c>
      <c r="AU65" s="18">
        <v>0.51219999999999999</v>
      </c>
      <c r="AV65" s="18">
        <v>1.1948000000000001</v>
      </c>
      <c r="AW65" s="18">
        <v>0.50249999999999995</v>
      </c>
      <c r="AX65" s="18">
        <v>0.57930000000000004</v>
      </c>
    </row>
    <row r="66" spans="1:50" x14ac:dyDescent="0.25">
      <c r="A66" s="17" t="s">
        <v>187</v>
      </c>
      <c r="B66" s="13" t="s">
        <v>116</v>
      </c>
      <c r="C66" s="18">
        <v>0.13769999999999999</v>
      </c>
      <c r="D66" s="18">
        <v>0.17599999999999999</v>
      </c>
      <c r="E66" s="18">
        <v>4.8000000000000001E-2</v>
      </c>
      <c r="F66" s="18">
        <v>0.26569999999999999</v>
      </c>
      <c r="G66" s="18">
        <v>4.8000000000000001E-2</v>
      </c>
      <c r="H66" s="18">
        <v>0.1696</v>
      </c>
      <c r="I66" s="18">
        <v>0.14410000000000001</v>
      </c>
      <c r="J66" s="18">
        <v>6.08E-2</v>
      </c>
      <c r="K66" s="18">
        <v>0.16320000000000001</v>
      </c>
      <c r="L66" s="18">
        <v>0.13769999999999999</v>
      </c>
      <c r="M66" s="18">
        <v>5.2999999999999999E-2</v>
      </c>
      <c r="N66" s="18">
        <v>0.13270000000000001</v>
      </c>
      <c r="O66" s="18">
        <v>0.93020000000000003</v>
      </c>
      <c r="P66" s="18">
        <v>0.59950000000000003</v>
      </c>
      <c r="Q66" s="18">
        <v>1.0096000000000001</v>
      </c>
      <c r="R66" s="18">
        <v>2.6867000000000001</v>
      </c>
      <c r="S66" s="18">
        <v>1.9997</v>
      </c>
      <c r="T66" s="18">
        <v>0.92200000000000004</v>
      </c>
      <c r="U66" s="18">
        <v>0.67589999999999995</v>
      </c>
      <c r="V66" s="18">
        <v>0.15040000000000001</v>
      </c>
      <c r="W66" s="18">
        <v>6.9900000000000004E-2</v>
      </c>
      <c r="X66" s="18">
        <v>0.26500000000000001</v>
      </c>
      <c r="Y66" s="18">
        <v>6.7799999999999999E-2</v>
      </c>
      <c r="Z66" s="18">
        <v>1.1243000000000001</v>
      </c>
      <c r="AA66" s="18">
        <v>1.2163999999999999</v>
      </c>
      <c r="AB66" s="18">
        <v>0.28870000000000001</v>
      </c>
      <c r="AC66" s="18">
        <v>0.13250000000000001</v>
      </c>
      <c r="AD66" s="18">
        <v>2.1276000000000002</v>
      </c>
      <c r="AE66" s="18">
        <v>2.9897</v>
      </c>
      <c r="AF66" s="18">
        <v>0.89239999999999997</v>
      </c>
      <c r="AG66" s="18">
        <v>0.44230000000000003</v>
      </c>
      <c r="AH66" s="18">
        <v>1.3085</v>
      </c>
      <c r="AI66" s="18">
        <v>1.7390000000000001</v>
      </c>
      <c r="AJ66" s="18">
        <v>0.215</v>
      </c>
      <c r="AK66" s="18">
        <v>0.30759999999999998</v>
      </c>
      <c r="AL66" s="18">
        <v>0.14560000000000001</v>
      </c>
      <c r="AM66" s="18">
        <v>0.33710000000000001</v>
      </c>
      <c r="AN66" s="18">
        <v>0.1983</v>
      </c>
      <c r="AO66" s="18">
        <v>1.9825999999999999</v>
      </c>
      <c r="AP66" s="18">
        <v>0.41589999999999999</v>
      </c>
      <c r="AQ66" s="18">
        <v>0.54420000000000002</v>
      </c>
      <c r="AR66" s="18">
        <v>0.50649999999999995</v>
      </c>
      <c r="AS66" s="18">
        <v>0.57079999999999997</v>
      </c>
      <c r="AT66" s="18">
        <v>0.89190000000000003</v>
      </c>
      <c r="AU66" s="18">
        <v>0.91539999999999999</v>
      </c>
      <c r="AV66" s="18">
        <v>1.0162</v>
      </c>
      <c r="AW66" s="18">
        <v>0.18890000000000001</v>
      </c>
      <c r="AX66" s="18">
        <v>0.12479999999999999</v>
      </c>
    </row>
    <row r="67" spans="1:50" x14ac:dyDescent="0.25">
      <c r="A67" s="17" t="s">
        <v>189</v>
      </c>
      <c r="B67" s="13" t="s">
        <v>116</v>
      </c>
      <c r="C67" s="18">
        <v>0.12479999999999999</v>
      </c>
      <c r="D67" s="18">
        <v>5.6000000000000001E-2</v>
      </c>
      <c r="E67" s="18">
        <v>5.6000000000000001E-2</v>
      </c>
      <c r="F67" s="18">
        <v>5.6000000000000001E-2</v>
      </c>
      <c r="G67" s="18">
        <v>5.6000000000000001E-2</v>
      </c>
      <c r="H67" s="18">
        <v>0.12479999999999999</v>
      </c>
      <c r="I67" s="18">
        <v>0.06</v>
      </c>
      <c r="J67" s="18">
        <v>0.1207</v>
      </c>
      <c r="K67" s="18">
        <v>6.4100000000000004E-2</v>
      </c>
      <c r="L67" s="18">
        <v>0.17510000000000001</v>
      </c>
      <c r="M67" s="18">
        <v>0.41339999999999999</v>
      </c>
      <c r="N67" s="18">
        <v>0.63759999999999994</v>
      </c>
      <c r="O67" s="18">
        <v>0.49509999999999998</v>
      </c>
      <c r="P67" s="18">
        <v>2.6278000000000001</v>
      </c>
      <c r="Q67" s="18">
        <v>2.5674999999999999</v>
      </c>
      <c r="R67" s="18">
        <v>0.51290000000000002</v>
      </c>
      <c r="S67" s="18">
        <v>8.8400000000000006E-2</v>
      </c>
      <c r="T67" s="18">
        <v>0.28439999999999999</v>
      </c>
      <c r="U67" s="18">
        <v>5.6000000000000001E-2</v>
      </c>
      <c r="V67" s="18">
        <v>0.27529999999999999</v>
      </c>
      <c r="W67" s="18">
        <v>0.12330000000000001</v>
      </c>
      <c r="X67" s="18">
        <v>7.6200000000000004E-2</v>
      </c>
      <c r="Y67" s="18">
        <v>0.28599999999999998</v>
      </c>
      <c r="Z67" s="18">
        <v>0.16800000000000001</v>
      </c>
      <c r="AA67" s="18">
        <v>0.1537</v>
      </c>
      <c r="AB67" s="18">
        <v>0.43640000000000001</v>
      </c>
      <c r="AC67" s="18">
        <v>0.50039999999999996</v>
      </c>
      <c r="AD67" s="18">
        <v>0.58520000000000005</v>
      </c>
      <c r="AE67" s="18">
        <v>0.49580000000000002</v>
      </c>
      <c r="AF67" s="18">
        <v>0.46329999999999999</v>
      </c>
      <c r="AG67" s="18">
        <v>0.45590000000000003</v>
      </c>
      <c r="AH67" s="18">
        <v>0.54190000000000005</v>
      </c>
      <c r="AI67" s="18">
        <v>0.33400000000000002</v>
      </c>
      <c r="AJ67" s="18">
        <v>2.0379999999999998</v>
      </c>
      <c r="AK67" s="18">
        <v>0.69310000000000005</v>
      </c>
      <c r="AL67" s="18">
        <v>0.56169999999999998</v>
      </c>
      <c r="AM67" s="18">
        <v>0.56989999999999996</v>
      </c>
      <c r="AN67" s="18">
        <v>0.30609999999999998</v>
      </c>
      <c r="AO67" s="18">
        <v>0.1908</v>
      </c>
      <c r="AP67" s="18">
        <v>0.33229999999999998</v>
      </c>
      <c r="AQ67" s="18">
        <v>0.53510000000000002</v>
      </c>
      <c r="AR67" s="18">
        <v>0.78059999999999996</v>
      </c>
      <c r="AS67" s="18">
        <v>0.44109999999999999</v>
      </c>
      <c r="AT67" s="18">
        <v>0.95440000000000003</v>
      </c>
      <c r="AU67" s="18">
        <v>0.5121</v>
      </c>
      <c r="AV67" s="18">
        <v>0.34420000000000001</v>
      </c>
      <c r="AW67" s="18">
        <v>0.50360000000000005</v>
      </c>
      <c r="AX67" s="18">
        <v>0.42180000000000001</v>
      </c>
    </row>
    <row r="68" spans="1:50" x14ac:dyDescent="0.25">
      <c r="A68" s="17" t="s">
        <v>191</v>
      </c>
      <c r="B68" s="13" t="s">
        <v>116</v>
      </c>
      <c r="C68" s="18">
        <v>4.2999999999999997E-2</v>
      </c>
      <c r="D68" s="18">
        <v>0.1706</v>
      </c>
      <c r="E68" s="18">
        <v>4.2999999999999997E-2</v>
      </c>
      <c r="F68" s="18">
        <v>4.2999999999999997E-2</v>
      </c>
      <c r="G68" s="18">
        <v>0.1706</v>
      </c>
      <c r="H68" s="18">
        <v>4.2999999999999997E-2</v>
      </c>
      <c r="I68" s="18">
        <v>0.1706</v>
      </c>
      <c r="J68" s="18">
        <v>4.2999999999999997E-2</v>
      </c>
      <c r="K68" s="18">
        <v>4.2999999999999997E-2</v>
      </c>
      <c r="L68" s="18">
        <v>7.0300000000000001E-2</v>
      </c>
      <c r="M68" s="18">
        <v>0.14330000000000001</v>
      </c>
      <c r="N68" s="18">
        <v>4.2999999999999997E-2</v>
      </c>
      <c r="O68" s="18">
        <v>0.1706</v>
      </c>
      <c r="P68" s="18">
        <v>4.2999999999999997E-2</v>
      </c>
      <c r="Q68" s="18">
        <v>9.7699999999999995E-2</v>
      </c>
      <c r="R68" s="18">
        <v>0.1159</v>
      </c>
      <c r="S68" s="18">
        <v>4.2999999999999997E-2</v>
      </c>
      <c r="T68" s="18">
        <v>0.1706</v>
      </c>
      <c r="U68" s="18">
        <v>4.2999999999999997E-2</v>
      </c>
      <c r="V68" s="18">
        <v>0.14330000000000001</v>
      </c>
      <c r="W68" s="18">
        <v>7.0300000000000001E-2</v>
      </c>
      <c r="X68" s="18">
        <v>4.2999999999999997E-2</v>
      </c>
      <c r="Y68" s="18">
        <v>4.2999999999999997E-2</v>
      </c>
      <c r="Z68" s="18">
        <v>4.2999999999999997E-2</v>
      </c>
      <c r="AA68" s="18">
        <v>4.2999999999999997E-2</v>
      </c>
      <c r="AB68" s="18">
        <v>0.1706</v>
      </c>
      <c r="AC68" s="18">
        <v>4.2999999999999997E-2</v>
      </c>
      <c r="AD68" s="18">
        <v>0.125</v>
      </c>
      <c r="AE68" s="18">
        <v>8.8599999999999998E-2</v>
      </c>
      <c r="AF68" s="18">
        <v>0.21410000000000001</v>
      </c>
      <c r="AG68" s="18">
        <v>0.29049999999999998</v>
      </c>
      <c r="AH68" s="18">
        <v>0.30270000000000002</v>
      </c>
      <c r="AI68" s="18">
        <v>7.7700000000000005E-2</v>
      </c>
      <c r="AJ68" s="18">
        <v>9.2799999999999994E-2</v>
      </c>
      <c r="AK68" s="18">
        <v>0.13800000000000001</v>
      </c>
      <c r="AL68" s="18">
        <v>5.57E-2</v>
      </c>
      <c r="AM68" s="18">
        <v>0.1802</v>
      </c>
      <c r="AN68" s="18">
        <v>6.0699999999999997E-2</v>
      </c>
      <c r="AO68" s="18">
        <v>0.1207</v>
      </c>
      <c r="AP68" s="18">
        <v>0.10680000000000001</v>
      </c>
      <c r="AQ68" s="18">
        <v>4.2999999999999997E-2</v>
      </c>
      <c r="AR68" s="18">
        <v>4.2999999999999997E-2</v>
      </c>
      <c r="AS68" s="18">
        <v>0.1706</v>
      </c>
      <c r="AT68" s="18">
        <v>4.2999999999999997E-2</v>
      </c>
      <c r="AU68" s="18">
        <v>4.2999999999999997E-2</v>
      </c>
      <c r="AV68" s="18">
        <v>0.1706</v>
      </c>
      <c r="AW68" s="18">
        <v>4.2999999999999997E-2</v>
      </c>
      <c r="AX68" s="18">
        <v>4.2999999999999997E-2</v>
      </c>
    </row>
    <row r="69" spans="1:50" x14ac:dyDescent="0.25">
      <c r="A69" s="17" t="s">
        <v>193</v>
      </c>
      <c r="B69" s="13" t="s">
        <v>116</v>
      </c>
      <c r="C69" s="18">
        <v>0.29799999999999999</v>
      </c>
      <c r="D69" s="18">
        <v>6.83E-2</v>
      </c>
      <c r="E69" s="18">
        <v>0.1123</v>
      </c>
      <c r="F69" s="18">
        <v>0.25409999999999999</v>
      </c>
      <c r="G69" s="18">
        <v>0.05</v>
      </c>
      <c r="H69" s="18">
        <v>0.28539999999999999</v>
      </c>
      <c r="I69" s="18">
        <v>8.1000000000000003E-2</v>
      </c>
      <c r="J69" s="18">
        <v>8.4599999999999995E-2</v>
      </c>
      <c r="K69" s="18">
        <v>0.20760000000000001</v>
      </c>
      <c r="L69" s="18">
        <v>0.1242</v>
      </c>
      <c r="M69" s="18">
        <v>5.6899999999999999E-2</v>
      </c>
      <c r="N69" s="18">
        <v>0.28660000000000002</v>
      </c>
      <c r="O69" s="18">
        <v>7.2800000000000004E-2</v>
      </c>
      <c r="P69" s="18">
        <v>0.1356</v>
      </c>
      <c r="Q69" s="18">
        <v>7.85E-2</v>
      </c>
      <c r="R69" s="18">
        <v>0.18140000000000001</v>
      </c>
      <c r="S69" s="18">
        <v>0.18490000000000001</v>
      </c>
      <c r="T69" s="18">
        <v>0.1104</v>
      </c>
      <c r="U69" s="18">
        <v>1.3231999999999999</v>
      </c>
      <c r="V69" s="18">
        <v>0.24660000000000001</v>
      </c>
      <c r="W69" s="18">
        <v>1.4553</v>
      </c>
      <c r="X69" s="18">
        <v>1.5940000000000001</v>
      </c>
      <c r="Y69" s="18">
        <v>0.39700000000000002</v>
      </c>
      <c r="Z69" s="18">
        <v>0.16420000000000001</v>
      </c>
      <c r="AA69" s="18">
        <v>0.05</v>
      </c>
      <c r="AB69" s="18">
        <v>0.31640000000000001</v>
      </c>
      <c r="AC69" s="18">
        <v>0.05</v>
      </c>
      <c r="AD69" s="18">
        <v>0.05</v>
      </c>
      <c r="AE69" s="18">
        <v>0.24990000000000001</v>
      </c>
      <c r="AF69" s="18">
        <v>1.0744</v>
      </c>
      <c r="AG69" s="18">
        <v>0.4289</v>
      </c>
      <c r="AH69" s="18">
        <v>0.5756</v>
      </c>
      <c r="AI69" s="18">
        <v>0.37480000000000002</v>
      </c>
      <c r="AJ69" s="18">
        <v>0.31190000000000001</v>
      </c>
      <c r="AK69" s="18">
        <v>0.29649999999999999</v>
      </c>
      <c r="AL69" s="18">
        <v>1.7234</v>
      </c>
      <c r="AM69" s="18">
        <v>1.3911</v>
      </c>
      <c r="AN69" s="18">
        <v>0.65639999999999998</v>
      </c>
      <c r="AO69" s="18">
        <v>0.29170000000000001</v>
      </c>
      <c r="AP69" s="18">
        <v>0.59240000000000004</v>
      </c>
      <c r="AQ69" s="18">
        <v>0.45379999999999998</v>
      </c>
      <c r="AR69" s="18">
        <v>0.67610000000000003</v>
      </c>
      <c r="AS69" s="18">
        <v>1.3816999999999999</v>
      </c>
      <c r="AT69" s="18">
        <v>0.85399999999999998</v>
      </c>
      <c r="AU69" s="18">
        <v>0.63660000000000005</v>
      </c>
      <c r="AV69" s="18">
        <v>0.33350000000000002</v>
      </c>
      <c r="AW69" s="18">
        <v>0.1958</v>
      </c>
      <c r="AX69" s="18">
        <v>0.1706</v>
      </c>
    </row>
    <row r="70" spans="1:50" x14ac:dyDescent="0.25">
      <c r="A70" s="8" t="s">
        <v>106</v>
      </c>
      <c r="B70" s="10" t="s">
        <v>57</v>
      </c>
      <c r="C70" s="16">
        <v>4.1200000000000001E-2</v>
      </c>
      <c r="D70" s="16">
        <v>0.27179999999999999</v>
      </c>
      <c r="E70" s="16">
        <v>3.4000000000000002E-2</v>
      </c>
      <c r="F70" s="16">
        <v>0.15670000000000001</v>
      </c>
      <c r="G70" s="16">
        <v>0.14199999999999999</v>
      </c>
      <c r="H70" s="16">
        <v>0.1205</v>
      </c>
      <c r="I70" s="16">
        <v>0.12540000000000001</v>
      </c>
      <c r="J70" s="16">
        <v>0.11550000000000001</v>
      </c>
      <c r="K70" s="16">
        <v>0.1928</v>
      </c>
      <c r="L70" s="16">
        <v>0.1011</v>
      </c>
      <c r="M70" s="16">
        <v>5.3199999999999997E-2</v>
      </c>
      <c r="N70" s="16">
        <v>0.27429999999999999</v>
      </c>
      <c r="O70" s="16">
        <v>3.8800000000000001E-2</v>
      </c>
      <c r="P70" s="16">
        <v>5.3199999999999997E-2</v>
      </c>
      <c r="Q70" s="16">
        <v>0.25979999999999998</v>
      </c>
      <c r="R70" s="16">
        <v>3.4000000000000002E-2</v>
      </c>
      <c r="S70" s="16">
        <v>0.19270000000000001</v>
      </c>
      <c r="T70" s="16">
        <v>0.2034</v>
      </c>
      <c r="U70" s="16">
        <v>0.30719999999999997</v>
      </c>
      <c r="V70" s="16">
        <v>0.18779999999999999</v>
      </c>
      <c r="W70" s="16">
        <v>7.7299999999999994E-2</v>
      </c>
      <c r="X70" s="16">
        <v>4.8399999999999999E-2</v>
      </c>
      <c r="Y70" s="16">
        <v>0.2646</v>
      </c>
      <c r="Z70" s="16">
        <v>3.4000000000000002E-2</v>
      </c>
      <c r="AA70" s="16">
        <v>0.27910000000000001</v>
      </c>
      <c r="AB70" s="16">
        <v>3.4000000000000002E-2</v>
      </c>
      <c r="AC70" s="16">
        <v>3.4000000000000002E-2</v>
      </c>
      <c r="AD70" s="16">
        <v>0.17799999999999999</v>
      </c>
      <c r="AE70" s="16">
        <v>0.13500000000000001</v>
      </c>
      <c r="AF70" s="16">
        <v>0.11070000000000001</v>
      </c>
      <c r="AG70" s="16">
        <v>8.6900000000000005E-2</v>
      </c>
      <c r="AH70" s="16">
        <v>0.1724</v>
      </c>
      <c r="AI70" s="16">
        <v>0.36609999999999998</v>
      </c>
      <c r="AJ70" s="16">
        <v>1.6952</v>
      </c>
      <c r="AK70" s="16">
        <v>0.27800000000000002</v>
      </c>
      <c r="AL70" s="16">
        <v>9.2399999999999996E-2</v>
      </c>
      <c r="AM70" s="16">
        <v>0.3206</v>
      </c>
      <c r="AN70" s="16">
        <v>0.32319999999999999</v>
      </c>
      <c r="AO70" s="16">
        <v>0.18440000000000001</v>
      </c>
      <c r="AP70" s="16">
        <v>0.42159999999999997</v>
      </c>
      <c r="AQ70" s="16">
        <v>0.54259999999999997</v>
      </c>
      <c r="AR70" s="16">
        <v>0.30649999999999999</v>
      </c>
      <c r="AS70" s="16">
        <v>0.24210000000000001</v>
      </c>
      <c r="AT70" s="16">
        <v>0.47760000000000002</v>
      </c>
      <c r="AU70" s="16">
        <v>0.45800000000000002</v>
      </c>
      <c r="AV70" s="16">
        <v>0.36049999999999999</v>
      </c>
      <c r="AW70" s="16">
        <v>0.40439999999999998</v>
      </c>
      <c r="AX70" s="16">
        <v>0.21440000000000001</v>
      </c>
    </row>
    <row r="71" spans="1:50" x14ac:dyDescent="0.25">
      <c r="A71" s="17" t="s">
        <v>195</v>
      </c>
      <c r="B71" s="13" t="s">
        <v>116</v>
      </c>
      <c r="C71" s="18">
        <v>0.48499999999999999</v>
      </c>
      <c r="D71" s="18">
        <v>4.2000000000000003E-2</v>
      </c>
      <c r="E71" s="18">
        <v>0.15440000000000001</v>
      </c>
      <c r="F71" s="18">
        <v>5.9700000000000003E-2</v>
      </c>
      <c r="G71" s="18">
        <v>4.2000000000000003E-2</v>
      </c>
      <c r="H71" s="18">
        <v>0.1366</v>
      </c>
      <c r="I71" s="18">
        <v>7.7499999999999999E-2</v>
      </c>
      <c r="J71" s="18">
        <v>4.2000000000000003E-2</v>
      </c>
      <c r="K71" s="18">
        <v>0.1721</v>
      </c>
      <c r="L71" s="18">
        <v>4.2000000000000003E-2</v>
      </c>
      <c r="M71" s="18">
        <v>4.2000000000000003E-2</v>
      </c>
      <c r="N71" s="18">
        <v>0.1721</v>
      </c>
      <c r="O71" s="18">
        <v>4.2000000000000003E-2</v>
      </c>
      <c r="P71" s="18">
        <v>0.1366</v>
      </c>
      <c r="Q71" s="18">
        <v>0.1764</v>
      </c>
      <c r="R71" s="18">
        <v>0.2235</v>
      </c>
      <c r="S71" s="18">
        <v>0.26419999999999999</v>
      </c>
      <c r="T71" s="18">
        <v>4.2000000000000003E-2</v>
      </c>
      <c r="U71" s="18">
        <v>0.1366</v>
      </c>
      <c r="V71" s="18">
        <v>7.7499999999999999E-2</v>
      </c>
      <c r="W71" s="18">
        <v>4.2000000000000003E-2</v>
      </c>
      <c r="X71" s="18">
        <v>6.5699999999999995E-2</v>
      </c>
      <c r="Y71" s="18">
        <v>0.14849999999999999</v>
      </c>
      <c r="Z71" s="18">
        <v>4.2000000000000003E-2</v>
      </c>
      <c r="AA71" s="18">
        <v>0.1366</v>
      </c>
      <c r="AB71" s="18">
        <v>7.7499999999999999E-2</v>
      </c>
      <c r="AC71" s="18">
        <v>0.45040000000000002</v>
      </c>
      <c r="AD71" s="18">
        <v>0.68610000000000004</v>
      </c>
      <c r="AE71" s="18">
        <v>0.82989999999999997</v>
      </c>
      <c r="AF71" s="18">
        <v>1.6617</v>
      </c>
      <c r="AG71" s="18">
        <v>0.4103</v>
      </c>
      <c r="AH71" s="18">
        <v>0.1774</v>
      </c>
      <c r="AI71" s="18">
        <v>0.1759</v>
      </c>
      <c r="AJ71" s="18">
        <v>0.246</v>
      </c>
      <c r="AK71" s="18">
        <v>0.1242</v>
      </c>
      <c r="AL71" s="18">
        <v>0.1961</v>
      </c>
      <c r="AM71" s="18">
        <v>0.1802</v>
      </c>
      <c r="AN71" s="18">
        <v>0.36959999999999998</v>
      </c>
      <c r="AO71" s="18">
        <v>0.32429999999999998</v>
      </c>
      <c r="AP71" s="18">
        <v>0.28039999999999998</v>
      </c>
      <c r="AQ71" s="18">
        <v>0.13070000000000001</v>
      </c>
      <c r="AR71" s="18">
        <v>8.3400000000000002E-2</v>
      </c>
      <c r="AS71" s="18">
        <v>4.2000000000000003E-2</v>
      </c>
      <c r="AT71" s="18">
        <v>0.1721</v>
      </c>
      <c r="AU71" s="18">
        <v>4.2000000000000003E-2</v>
      </c>
      <c r="AV71" s="18">
        <v>0.1011</v>
      </c>
      <c r="AW71" s="18">
        <v>0.113</v>
      </c>
      <c r="AX71" s="18">
        <v>4.2000000000000003E-2</v>
      </c>
    </row>
    <row r="72" spans="1:50" x14ac:dyDescent="0.25">
      <c r="A72" s="8" t="s">
        <v>108</v>
      </c>
      <c r="B72" s="10" t="s">
        <v>57</v>
      </c>
      <c r="C72" s="16">
        <v>8.0799999999999997E-2</v>
      </c>
      <c r="D72" s="16">
        <v>8.8999999999999996E-2</v>
      </c>
      <c r="E72" s="16">
        <v>4.8000000000000001E-2</v>
      </c>
      <c r="F72" s="16">
        <v>0.12180000000000001</v>
      </c>
      <c r="G72" s="16">
        <v>4.8000000000000001E-2</v>
      </c>
      <c r="H72" s="16">
        <v>4.8000000000000001E-2</v>
      </c>
      <c r="I72" s="16">
        <v>0.12180000000000001</v>
      </c>
      <c r="J72" s="16">
        <v>4.8000000000000001E-2</v>
      </c>
      <c r="K72" s="16">
        <v>4.8000000000000001E-2</v>
      </c>
      <c r="L72" s="16">
        <v>0.12180000000000001</v>
      </c>
      <c r="M72" s="16">
        <v>4.8000000000000001E-2</v>
      </c>
      <c r="N72" s="16">
        <v>8.4900000000000003E-2</v>
      </c>
      <c r="O72" s="16">
        <v>8.4900000000000003E-2</v>
      </c>
      <c r="P72" s="16">
        <v>0.10539999999999999</v>
      </c>
      <c r="Q72" s="16">
        <v>6.4399999999999999E-2</v>
      </c>
      <c r="R72" s="16">
        <v>4.8000000000000001E-2</v>
      </c>
      <c r="S72" s="16">
        <v>4.8000000000000001E-2</v>
      </c>
      <c r="T72" s="16">
        <v>0.14099999999999999</v>
      </c>
      <c r="U72" s="16">
        <v>4.8000000000000001E-2</v>
      </c>
      <c r="V72" s="16">
        <v>4.8000000000000001E-2</v>
      </c>
      <c r="W72" s="16">
        <v>4.8000000000000001E-2</v>
      </c>
      <c r="X72" s="16">
        <v>6.8500000000000005E-2</v>
      </c>
      <c r="Y72" s="16">
        <v>0.1013</v>
      </c>
      <c r="Z72" s="16">
        <v>7.6700000000000004E-2</v>
      </c>
      <c r="AA72" s="16">
        <v>0.14180000000000001</v>
      </c>
      <c r="AB72" s="16">
        <v>0.41739999999999999</v>
      </c>
      <c r="AC72" s="16">
        <v>0.25729999999999997</v>
      </c>
      <c r="AD72" s="16">
        <v>0.42509999999999998</v>
      </c>
      <c r="AE72" s="16">
        <v>0.12180000000000001</v>
      </c>
      <c r="AF72" s="16">
        <v>4.8000000000000001E-2</v>
      </c>
      <c r="AG72" s="16">
        <v>9.3100000000000002E-2</v>
      </c>
      <c r="AH72" s="16">
        <v>7.6700000000000004E-2</v>
      </c>
      <c r="AI72" s="16">
        <v>4.8000000000000001E-2</v>
      </c>
      <c r="AJ72" s="16">
        <v>5.21E-2</v>
      </c>
      <c r="AK72" s="16">
        <v>0.1177</v>
      </c>
      <c r="AL72" s="16">
        <v>4.8000000000000001E-2</v>
      </c>
      <c r="AM72" s="16">
        <v>4.8000000000000001E-2</v>
      </c>
      <c r="AN72" s="16">
        <v>7.2599999999999998E-2</v>
      </c>
      <c r="AO72" s="16">
        <v>9.7199999999999995E-2</v>
      </c>
      <c r="AP72" s="16">
        <v>4.8000000000000001E-2</v>
      </c>
      <c r="AQ72" s="16">
        <v>0.12180000000000001</v>
      </c>
      <c r="AR72" s="16">
        <v>4.8000000000000001E-2</v>
      </c>
      <c r="AS72" s="16">
        <v>4.8000000000000001E-2</v>
      </c>
      <c r="AT72" s="16">
        <v>8.8999999999999996E-2</v>
      </c>
      <c r="AU72" s="16">
        <v>8.0799999999999997E-2</v>
      </c>
      <c r="AV72" s="16">
        <v>9.7199999999999995E-2</v>
      </c>
      <c r="AW72" s="16">
        <v>7.2599999999999998E-2</v>
      </c>
      <c r="AX72" s="16">
        <v>4.8000000000000001E-2</v>
      </c>
    </row>
    <row r="73" spans="1:50" x14ac:dyDescent="0.25">
      <c r="A73" s="17" t="s">
        <v>197</v>
      </c>
      <c r="B73" s="13" t="s">
        <v>116</v>
      </c>
      <c r="C73" s="18">
        <v>0.97899999999999998</v>
      </c>
      <c r="D73" s="18">
        <v>0.46310000000000001</v>
      </c>
      <c r="E73" s="18">
        <v>7.0000000000000007E-2</v>
      </c>
      <c r="F73" s="18">
        <v>0.19370000000000001</v>
      </c>
      <c r="G73" s="18">
        <v>7.0999999999999994E-2</v>
      </c>
      <c r="H73" s="18">
        <v>4.8000000000000001E-2</v>
      </c>
      <c r="I73" s="18">
        <v>0.1017</v>
      </c>
      <c r="J73" s="18">
        <v>0.16309999999999999</v>
      </c>
      <c r="K73" s="18">
        <v>5.57E-2</v>
      </c>
      <c r="L73" s="18">
        <v>0.20910000000000001</v>
      </c>
      <c r="M73" s="18">
        <v>4.8000000000000001E-2</v>
      </c>
      <c r="N73" s="18">
        <v>0.1477</v>
      </c>
      <c r="O73" s="18">
        <v>0.11700000000000001</v>
      </c>
      <c r="P73" s="18">
        <v>4.8000000000000001E-2</v>
      </c>
      <c r="Q73" s="18">
        <v>0.65920000000000001</v>
      </c>
      <c r="R73" s="18">
        <v>0.81230000000000002</v>
      </c>
      <c r="S73" s="18">
        <v>5.8299999999999998E-2</v>
      </c>
      <c r="T73" s="18">
        <v>1.3207</v>
      </c>
      <c r="U73" s="18">
        <v>4.8000000000000001E-2</v>
      </c>
      <c r="V73" s="18">
        <v>7.0999999999999994E-2</v>
      </c>
      <c r="W73" s="18">
        <v>0.19370000000000001</v>
      </c>
      <c r="X73" s="18">
        <v>4.8000000000000001E-2</v>
      </c>
      <c r="Y73" s="18">
        <v>0.11700000000000001</v>
      </c>
      <c r="Z73" s="18">
        <v>0.1477</v>
      </c>
      <c r="AA73" s="18">
        <v>5.57E-2</v>
      </c>
      <c r="AB73" s="18">
        <v>0.20910000000000001</v>
      </c>
      <c r="AC73" s="18">
        <v>4.8000000000000001E-2</v>
      </c>
      <c r="AD73" s="18">
        <v>0.21679999999999999</v>
      </c>
      <c r="AE73" s="18">
        <v>4.8000000000000001E-2</v>
      </c>
      <c r="AF73" s="18">
        <v>0.7802</v>
      </c>
      <c r="AG73" s="18">
        <v>0.2281</v>
      </c>
      <c r="AH73" s="18">
        <v>0.26219999999999999</v>
      </c>
      <c r="AI73" s="18">
        <v>0.1341</v>
      </c>
      <c r="AJ73" s="18">
        <v>0.1726</v>
      </c>
      <c r="AK73" s="18">
        <v>0.55800000000000005</v>
      </c>
      <c r="AL73" s="18">
        <v>1.3009999999999999</v>
      </c>
      <c r="AM73" s="18">
        <v>0.27789999999999998</v>
      </c>
      <c r="AN73" s="18">
        <v>0.2984</v>
      </c>
      <c r="AO73" s="18">
        <v>0.3538</v>
      </c>
      <c r="AP73" s="18">
        <v>0.38879999999999998</v>
      </c>
      <c r="AQ73" s="18">
        <v>0.17899999999999999</v>
      </c>
      <c r="AR73" s="18">
        <v>0.52690000000000003</v>
      </c>
      <c r="AS73" s="18">
        <v>0.30990000000000001</v>
      </c>
      <c r="AT73" s="18">
        <v>0.64639999999999997</v>
      </c>
      <c r="AU73" s="18">
        <v>0.52629999999999999</v>
      </c>
      <c r="AV73" s="18">
        <v>0.69359999999999999</v>
      </c>
      <c r="AW73" s="18">
        <v>0.17069999999999999</v>
      </c>
      <c r="AX73" s="18">
        <v>4.8000000000000001E-2</v>
      </c>
    </row>
    <row r="74" spans="1:50" x14ac:dyDescent="0.25">
      <c r="A74" s="17" t="s">
        <v>199</v>
      </c>
      <c r="B74" s="13" t="s">
        <v>116</v>
      </c>
      <c r="C74" s="18">
        <v>0.24479999999999999</v>
      </c>
      <c r="D74" s="18">
        <v>6.5000000000000002E-2</v>
      </c>
      <c r="E74" s="18">
        <v>0.20799999999999999</v>
      </c>
      <c r="F74" s="18">
        <v>0.13020000000000001</v>
      </c>
      <c r="G74" s="18">
        <v>5.1999999999999998E-2</v>
      </c>
      <c r="H74" s="18">
        <v>5.1999999999999998E-2</v>
      </c>
      <c r="I74" s="18">
        <v>0.13850000000000001</v>
      </c>
      <c r="J74" s="18">
        <v>0.19980000000000001</v>
      </c>
      <c r="K74" s="18">
        <v>5.1999999999999998E-2</v>
      </c>
      <c r="L74" s="18">
        <v>5.1999999999999998E-2</v>
      </c>
      <c r="M74" s="18">
        <v>0.28620000000000001</v>
      </c>
      <c r="N74" s="18">
        <v>6.5000000000000002E-2</v>
      </c>
      <c r="O74" s="18">
        <v>0.1172</v>
      </c>
      <c r="P74" s="18">
        <v>6.6199999999999995E-2</v>
      </c>
      <c r="Q74" s="18">
        <v>0.27200000000000002</v>
      </c>
      <c r="R74" s="18">
        <v>5.1999999999999998E-2</v>
      </c>
      <c r="S74" s="18">
        <v>0.44209999999999999</v>
      </c>
      <c r="T74" s="18">
        <v>0.24179999999999999</v>
      </c>
      <c r="U74" s="18">
        <v>0.20480000000000001</v>
      </c>
      <c r="V74" s="18">
        <v>0.19989999999999999</v>
      </c>
      <c r="W74" s="18">
        <v>0.42549999999999999</v>
      </c>
      <c r="X74" s="18">
        <v>0.13320000000000001</v>
      </c>
      <c r="Y74" s="18">
        <v>0.25459999999999999</v>
      </c>
      <c r="Z74" s="18">
        <v>0.16919999999999999</v>
      </c>
      <c r="AA74" s="18">
        <v>0.63500000000000001</v>
      </c>
      <c r="AB74" s="18">
        <v>0.40260000000000001</v>
      </c>
      <c r="AC74" s="18">
        <v>0.1714</v>
      </c>
      <c r="AD74" s="18">
        <v>0.38679999999999998</v>
      </c>
      <c r="AE74" s="18">
        <v>0.49199999999999999</v>
      </c>
      <c r="AF74" s="18">
        <v>0.34410000000000002</v>
      </c>
      <c r="AG74" s="18">
        <v>0.29320000000000002</v>
      </c>
      <c r="AH74" s="18">
        <v>5.1999999999999998E-2</v>
      </c>
      <c r="AI74" s="18">
        <v>1.3058000000000001</v>
      </c>
      <c r="AJ74" s="18">
        <v>1.0518000000000001</v>
      </c>
      <c r="AK74" s="18">
        <v>1.8313999999999999</v>
      </c>
      <c r="AL74" s="18">
        <v>0.41739999999999999</v>
      </c>
      <c r="AM74" s="18">
        <v>0.38329999999999997</v>
      </c>
      <c r="AN74" s="18">
        <v>0.56779999999999997</v>
      </c>
      <c r="AO74" s="18">
        <v>0.46179999999999999</v>
      </c>
      <c r="AP74" s="18">
        <v>0.254</v>
      </c>
      <c r="AQ74" s="18">
        <v>0.76919999999999999</v>
      </c>
      <c r="AR74" s="18">
        <v>0.88429999999999997</v>
      </c>
      <c r="AS74" s="18">
        <v>0.75009999999999999</v>
      </c>
      <c r="AT74" s="18">
        <v>0.8538</v>
      </c>
      <c r="AU74" s="18">
        <v>0.67959999999999998</v>
      </c>
      <c r="AV74" s="18">
        <v>0.83889999999999998</v>
      </c>
      <c r="AW74" s="18">
        <v>0.3921</v>
      </c>
      <c r="AX74" s="18">
        <v>8.7499999999999994E-2</v>
      </c>
    </row>
    <row r="75" spans="1:50" x14ac:dyDescent="0.25">
      <c r="A75" s="17" t="s">
        <v>201</v>
      </c>
      <c r="B75" s="13" t="s">
        <v>116</v>
      </c>
      <c r="C75" s="18">
        <v>9.5699999999999993E-2</v>
      </c>
      <c r="D75" s="18">
        <v>0.18990000000000001</v>
      </c>
      <c r="E75" s="18">
        <v>0.15720000000000001</v>
      </c>
      <c r="F75" s="18">
        <v>3.4000000000000002E-2</v>
      </c>
      <c r="G75" s="18">
        <v>0.26690000000000003</v>
      </c>
      <c r="H75" s="18">
        <v>8.0199999999999994E-2</v>
      </c>
      <c r="I75" s="18">
        <v>3.4000000000000002E-2</v>
      </c>
      <c r="J75" s="18">
        <v>0.20349999999999999</v>
      </c>
      <c r="K75" s="18">
        <v>0.14369999999999999</v>
      </c>
      <c r="L75" s="18">
        <v>0.1033</v>
      </c>
      <c r="M75" s="18">
        <v>0.17330000000000001</v>
      </c>
      <c r="N75" s="18">
        <v>0.1045</v>
      </c>
      <c r="O75" s="18">
        <v>3.4000000000000002E-2</v>
      </c>
      <c r="P75" s="18">
        <v>0.2122</v>
      </c>
      <c r="Q75" s="18">
        <v>0.13489999999999999</v>
      </c>
      <c r="R75" s="18">
        <v>3.4000000000000002E-2</v>
      </c>
      <c r="S75" s="18">
        <v>0.14369999999999999</v>
      </c>
      <c r="T75" s="18">
        <v>0.1033</v>
      </c>
      <c r="U75" s="18">
        <v>0.24379999999999999</v>
      </c>
      <c r="V75" s="18">
        <v>3.4000000000000002E-2</v>
      </c>
      <c r="W75" s="18">
        <v>0.20349999999999999</v>
      </c>
      <c r="X75" s="18">
        <v>0.14369999999999999</v>
      </c>
      <c r="Y75" s="18">
        <v>3.4000000000000002E-2</v>
      </c>
      <c r="Z75" s="18">
        <v>0.2505</v>
      </c>
      <c r="AA75" s="18">
        <v>9.6699999999999994E-2</v>
      </c>
      <c r="AB75" s="18">
        <v>3.4000000000000002E-2</v>
      </c>
      <c r="AC75" s="18">
        <v>0.31319999999999998</v>
      </c>
      <c r="AD75" s="18">
        <v>3.4000000000000002E-2</v>
      </c>
      <c r="AE75" s="18">
        <v>0.1045</v>
      </c>
      <c r="AF75" s="18">
        <v>0.22720000000000001</v>
      </c>
      <c r="AG75" s="18">
        <v>4.9399999999999999E-2</v>
      </c>
      <c r="AH75" s="18">
        <v>3.4000000000000002E-2</v>
      </c>
      <c r="AI75" s="18">
        <v>0.20349999999999999</v>
      </c>
      <c r="AJ75" s="18">
        <v>0.14369999999999999</v>
      </c>
      <c r="AK75" s="18">
        <v>0.15720000000000001</v>
      </c>
      <c r="AL75" s="18">
        <v>0.1116</v>
      </c>
      <c r="AM75" s="18">
        <v>0.17399999999999999</v>
      </c>
      <c r="AN75" s="18">
        <v>0.14180000000000001</v>
      </c>
      <c r="AO75" s="18">
        <v>0.14369999999999999</v>
      </c>
      <c r="AP75" s="18">
        <v>0.51100000000000001</v>
      </c>
      <c r="AQ75" s="18">
        <v>0.2868</v>
      </c>
      <c r="AR75" s="18">
        <v>0.25850000000000001</v>
      </c>
      <c r="AS75" s="18">
        <v>0.1033</v>
      </c>
      <c r="AT75" s="18">
        <v>0.16550000000000001</v>
      </c>
      <c r="AU75" s="18">
        <v>0.1124</v>
      </c>
      <c r="AV75" s="18">
        <v>0.27939999999999998</v>
      </c>
      <c r="AW75" s="18">
        <v>0.19939999999999999</v>
      </c>
      <c r="AX75" s="18">
        <v>0.51029999999999998</v>
      </c>
    </row>
    <row r="76" spans="1:50" x14ac:dyDescent="0.25">
      <c r="A76" s="17" t="s">
        <v>203</v>
      </c>
      <c r="B76" s="13" t="s">
        <v>116</v>
      </c>
      <c r="C76" s="18">
        <v>0.13109999999999999</v>
      </c>
      <c r="D76" s="18">
        <v>0.2006</v>
      </c>
      <c r="E76" s="18">
        <v>5.5E-2</v>
      </c>
      <c r="F76" s="18">
        <v>0.20749999999999999</v>
      </c>
      <c r="G76" s="18">
        <v>0.1241</v>
      </c>
      <c r="H76" s="18">
        <v>9.6600000000000005E-2</v>
      </c>
      <c r="I76" s="18">
        <v>0.2351</v>
      </c>
      <c r="J76" s="18">
        <v>5.5E-2</v>
      </c>
      <c r="K76" s="18">
        <v>5.5E-2</v>
      </c>
      <c r="L76" s="18">
        <v>0.2767</v>
      </c>
      <c r="M76" s="18">
        <v>5.5E-2</v>
      </c>
      <c r="N76" s="18">
        <v>5.5E-2</v>
      </c>
      <c r="O76" s="18">
        <v>0.19370000000000001</v>
      </c>
      <c r="P76" s="18">
        <v>9.1899999999999996E-2</v>
      </c>
      <c r="Q76" s="18">
        <v>0.1774</v>
      </c>
      <c r="R76" s="18">
        <v>0.1313</v>
      </c>
      <c r="S76" s="18">
        <v>0.10879999999999999</v>
      </c>
      <c r="T76" s="18">
        <v>1.3511</v>
      </c>
      <c r="U76" s="18">
        <v>0.33279999999999998</v>
      </c>
      <c r="V76" s="18">
        <v>0.1409</v>
      </c>
      <c r="W76" s="18">
        <v>0.32829999999999998</v>
      </c>
      <c r="X76" s="18">
        <v>0.22120000000000001</v>
      </c>
      <c r="Y76" s="18">
        <v>0.1358</v>
      </c>
      <c r="Z76" s="18">
        <v>0.19589999999999999</v>
      </c>
      <c r="AA76" s="18">
        <v>7.0400000000000004E-2</v>
      </c>
      <c r="AB76" s="18">
        <v>0.26129999999999998</v>
      </c>
      <c r="AC76" s="18">
        <v>5.5E-2</v>
      </c>
      <c r="AD76" s="18">
        <v>0.15210000000000001</v>
      </c>
      <c r="AE76" s="18">
        <v>0.1105</v>
      </c>
      <c r="AF76" s="18">
        <v>0.1241</v>
      </c>
      <c r="AG76" s="18">
        <v>0.20749999999999999</v>
      </c>
      <c r="AH76" s="18">
        <v>5.5E-2</v>
      </c>
      <c r="AI76" s="18">
        <v>0.1865</v>
      </c>
      <c r="AJ76" s="18">
        <v>0.14510000000000001</v>
      </c>
      <c r="AK76" s="18">
        <v>0.1241</v>
      </c>
      <c r="AL76" s="18">
        <v>5.5E-2</v>
      </c>
      <c r="AM76" s="18">
        <v>0.1172</v>
      </c>
      <c r="AN76" s="18">
        <v>0.25119999999999998</v>
      </c>
      <c r="AO76" s="18">
        <v>0.32179999999999997</v>
      </c>
      <c r="AP76" s="18">
        <v>0.31900000000000001</v>
      </c>
      <c r="AQ76" s="18">
        <v>2.2776999999999998</v>
      </c>
      <c r="AR76" s="18">
        <v>0.47199999999999998</v>
      </c>
      <c r="AS76" s="18">
        <v>0.4793</v>
      </c>
      <c r="AT76" s="18">
        <v>0.29970000000000002</v>
      </c>
      <c r="AU76" s="18">
        <v>0.54700000000000004</v>
      </c>
      <c r="AV76" s="18">
        <v>0.81159999999999999</v>
      </c>
      <c r="AW76" s="18">
        <v>0.96289999999999998</v>
      </c>
      <c r="AX76" s="18">
        <v>7.0400000000000004E-2</v>
      </c>
    </row>
    <row r="77" spans="1:50" x14ac:dyDescent="0.25">
      <c r="A77" s="8" t="s">
        <v>110</v>
      </c>
      <c r="B77" s="10" t="s">
        <v>57</v>
      </c>
      <c r="C77" s="16">
        <v>1.4137999999999999</v>
      </c>
      <c r="D77" s="16">
        <v>0.44700000000000001</v>
      </c>
      <c r="E77" s="16">
        <v>0.4556</v>
      </c>
      <c r="F77" s="16">
        <v>0.33710000000000001</v>
      </c>
      <c r="G77" s="16">
        <v>0.22339999999999999</v>
      </c>
      <c r="H77" s="16">
        <v>0.39290000000000003</v>
      </c>
      <c r="I77" s="16">
        <v>0.21840000000000001</v>
      </c>
      <c r="J77" s="16">
        <v>0.15</v>
      </c>
      <c r="K77" s="16">
        <v>0.17849999999999999</v>
      </c>
      <c r="L77" s="16">
        <v>0.14069999999999999</v>
      </c>
      <c r="M77" s="16">
        <v>0.12740000000000001</v>
      </c>
      <c r="N77" s="16">
        <v>0.1888</v>
      </c>
      <c r="O77" s="16">
        <v>0.1734</v>
      </c>
      <c r="P77" s="16">
        <v>0.1933</v>
      </c>
      <c r="Q77" s="16">
        <v>5.7000000000000002E-2</v>
      </c>
      <c r="R77" s="16">
        <v>0.1479</v>
      </c>
      <c r="S77" s="16">
        <v>0.1968</v>
      </c>
      <c r="T77" s="16">
        <v>8.4099999999999994E-2</v>
      </c>
      <c r="U77" s="16">
        <v>0.13780000000000001</v>
      </c>
      <c r="V77" s="16">
        <v>0.21379999999999999</v>
      </c>
      <c r="W77" s="16">
        <v>0.3175</v>
      </c>
      <c r="X77" s="16">
        <v>0.374</v>
      </c>
      <c r="Y77" s="16">
        <v>0.10050000000000001</v>
      </c>
      <c r="Z77" s="16">
        <v>9.7600000000000006E-2</v>
      </c>
      <c r="AA77" s="16">
        <v>0.19689999999999999</v>
      </c>
      <c r="AB77" s="16">
        <v>0.1242</v>
      </c>
      <c r="AC77" s="16">
        <v>0.2382</v>
      </c>
      <c r="AD77" s="16">
        <v>0.1157</v>
      </c>
      <c r="AE77" s="16">
        <v>8.3000000000000004E-2</v>
      </c>
      <c r="AF77" s="16">
        <v>0.26269999999999999</v>
      </c>
      <c r="AG77" s="16">
        <v>8.5699999999999998E-2</v>
      </c>
      <c r="AH77" s="16">
        <v>0.21379999999999999</v>
      </c>
      <c r="AI77" s="16">
        <v>5.1999999999999998E-2</v>
      </c>
      <c r="AJ77" s="16">
        <v>0.22239999999999999</v>
      </c>
      <c r="AK77" s="16">
        <v>0.23649999999999999</v>
      </c>
      <c r="AL77" s="16">
        <v>5.1999999999999998E-2</v>
      </c>
      <c r="AM77" s="16">
        <v>0.27210000000000001</v>
      </c>
      <c r="AN77" s="16">
        <v>0.85389999999999999</v>
      </c>
      <c r="AO77" s="16">
        <v>1.2411000000000001</v>
      </c>
      <c r="AP77" s="16">
        <v>0.40110000000000001</v>
      </c>
      <c r="AQ77" s="16">
        <v>0.4647</v>
      </c>
      <c r="AR77" s="16">
        <v>0.6542</v>
      </c>
      <c r="AS77" s="16">
        <v>0.23519999999999999</v>
      </c>
      <c r="AT77" s="16">
        <v>0.59109999999999996</v>
      </c>
      <c r="AU77" s="16">
        <v>0.72860000000000003</v>
      </c>
      <c r="AV77" s="16">
        <v>0.26889999999999997</v>
      </c>
      <c r="AW77" s="16">
        <v>0.21429999999999999</v>
      </c>
      <c r="AX77" s="16">
        <v>0.15240000000000001</v>
      </c>
    </row>
    <row r="78" spans="1:50" x14ac:dyDescent="0.25">
      <c r="A78" s="8" t="s">
        <v>112</v>
      </c>
      <c r="B78" s="10" t="s">
        <v>57</v>
      </c>
      <c r="C78" s="16">
        <v>5.1999999999999998E-2</v>
      </c>
      <c r="D78" s="16">
        <v>0.29399999999999998</v>
      </c>
      <c r="E78" s="16">
        <v>0.13469999999999999</v>
      </c>
      <c r="F78" s="16">
        <v>0.2225</v>
      </c>
      <c r="G78" s="16">
        <v>0.1171</v>
      </c>
      <c r="H78" s="16">
        <v>0.1411</v>
      </c>
      <c r="I78" s="16">
        <v>8.5300000000000001E-2</v>
      </c>
      <c r="J78" s="16">
        <v>0.34339999999999998</v>
      </c>
      <c r="K78" s="16">
        <v>5.1999999999999998E-2</v>
      </c>
      <c r="L78" s="16">
        <v>5.1999999999999998E-2</v>
      </c>
      <c r="M78" s="16">
        <v>0.26900000000000002</v>
      </c>
      <c r="N78" s="16">
        <v>0.15970000000000001</v>
      </c>
      <c r="O78" s="16">
        <v>0.1399</v>
      </c>
      <c r="P78" s="16">
        <v>0.28870000000000001</v>
      </c>
      <c r="Q78" s="16">
        <v>1.0462</v>
      </c>
      <c r="R78" s="16">
        <v>0.52510000000000001</v>
      </c>
      <c r="S78" s="16">
        <v>1.2074</v>
      </c>
      <c r="T78" s="16">
        <v>0.78549999999999998</v>
      </c>
      <c r="U78" s="16">
        <v>0.48699999999999999</v>
      </c>
      <c r="V78" s="16">
        <v>0.44529999999999997</v>
      </c>
      <c r="W78" s="16">
        <v>9.1200000000000003E-2</v>
      </c>
      <c r="X78" s="16">
        <v>0.4032</v>
      </c>
      <c r="Y78" s="16">
        <v>0.14299999999999999</v>
      </c>
      <c r="Z78" s="16">
        <v>0.24399999999999999</v>
      </c>
      <c r="AA78" s="16">
        <v>0.83109999999999995</v>
      </c>
      <c r="AB78" s="16">
        <v>1.5306</v>
      </c>
      <c r="AC78" s="16">
        <v>0.56530000000000002</v>
      </c>
      <c r="AD78" s="16">
        <v>0.25340000000000001</v>
      </c>
      <c r="AE78" s="16">
        <v>0.48249999999999998</v>
      </c>
      <c r="AF78" s="16">
        <v>0.91410000000000002</v>
      </c>
      <c r="AG78" s="16">
        <v>0.2094</v>
      </c>
      <c r="AH78" s="16">
        <v>0.2082</v>
      </c>
      <c r="AI78" s="16">
        <v>0.46300000000000002</v>
      </c>
      <c r="AJ78" s="16">
        <v>0.1323</v>
      </c>
      <c r="AK78" s="16">
        <v>0.1179</v>
      </c>
      <c r="AL78" s="16">
        <v>2.1579999999999999</v>
      </c>
      <c r="AM78" s="16">
        <v>0.68579999999999997</v>
      </c>
      <c r="AN78" s="16">
        <v>0.60119999999999996</v>
      </c>
      <c r="AO78" s="16">
        <v>0.50839999999999996</v>
      </c>
      <c r="AP78" s="16">
        <v>0.6673</v>
      </c>
      <c r="AQ78" s="16">
        <v>0.67859999999999998</v>
      </c>
      <c r="AR78" s="16">
        <v>0.47939999999999999</v>
      </c>
      <c r="AS78" s="16">
        <v>0.58940000000000003</v>
      </c>
      <c r="AT78" s="16">
        <v>0.45040000000000002</v>
      </c>
      <c r="AU78" s="16">
        <v>0.4627</v>
      </c>
      <c r="AV78" s="16">
        <v>0.755</v>
      </c>
      <c r="AW78" s="16">
        <v>0.89129999999999998</v>
      </c>
      <c r="AX78" s="16">
        <v>5.1999999999999998E-2</v>
      </c>
    </row>
    <row r="79" spans="1:50" x14ac:dyDescent="0.25">
      <c r="A79" s="17" t="s">
        <v>205</v>
      </c>
      <c r="B79" s="13" t="s">
        <v>116</v>
      </c>
      <c r="C79" s="18">
        <v>0.13969999999999999</v>
      </c>
      <c r="D79" s="18">
        <v>1.6505000000000001</v>
      </c>
      <c r="E79" s="18">
        <v>0.37190000000000001</v>
      </c>
      <c r="F79" s="18">
        <v>0.1535</v>
      </c>
      <c r="G79" s="18">
        <v>0.35549999999999998</v>
      </c>
      <c r="H79" s="18">
        <v>6.4500000000000002E-2</v>
      </c>
      <c r="I79" s="18">
        <v>0.16500000000000001</v>
      </c>
      <c r="J79" s="18">
        <v>0.27960000000000002</v>
      </c>
      <c r="K79" s="18">
        <v>5.7000000000000002E-2</v>
      </c>
      <c r="L79" s="18">
        <v>0.3876</v>
      </c>
      <c r="M79" s="18">
        <v>5.7000000000000002E-2</v>
      </c>
      <c r="N79" s="18">
        <v>0.10970000000000001</v>
      </c>
      <c r="O79" s="18">
        <v>0.1794</v>
      </c>
      <c r="P79" s="18">
        <v>0.21249999999999999</v>
      </c>
      <c r="Q79" s="18">
        <v>5.7000000000000002E-2</v>
      </c>
      <c r="R79" s="18">
        <v>0.14729999999999999</v>
      </c>
      <c r="S79" s="18">
        <v>0.29730000000000001</v>
      </c>
      <c r="T79" s="18">
        <v>5.7000000000000002E-2</v>
      </c>
      <c r="U79" s="18">
        <v>0.14699999999999999</v>
      </c>
      <c r="V79" s="18">
        <v>0.29759999999999998</v>
      </c>
      <c r="W79" s="18">
        <v>5.7000000000000002E-2</v>
      </c>
      <c r="X79" s="18">
        <v>0.24929999999999999</v>
      </c>
      <c r="Y79" s="18">
        <v>1.7422</v>
      </c>
      <c r="Z79" s="18">
        <v>0.27629999999999999</v>
      </c>
      <c r="AA79" s="18">
        <v>0.13170000000000001</v>
      </c>
      <c r="AB79" s="18">
        <v>0.21870000000000001</v>
      </c>
      <c r="AC79" s="18">
        <v>0.69530000000000003</v>
      </c>
      <c r="AD79" s="18">
        <v>0.36980000000000002</v>
      </c>
      <c r="AE79" s="18">
        <v>0.44840000000000002</v>
      </c>
      <c r="AF79" s="18">
        <v>0.19359999999999999</v>
      </c>
      <c r="AG79" s="18">
        <v>1.2168000000000001</v>
      </c>
      <c r="AH79" s="18">
        <v>1.2794000000000001</v>
      </c>
      <c r="AI79" s="18">
        <v>0.27279999999999999</v>
      </c>
      <c r="AJ79" s="18">
        <v>0.32869999999999999</v>
      </c>
      <c r="AK79" s="18">
        <v>0.49399999999999999</v>
      </c>
      <c r="AL79" s="18">
        <v>0.57550000000000001</v>
      </c>
      <c r="AM79" s="18">
        <v>0.1699</v>
      </c>
      <c r="AN79" s="18">
        <v>5.7000000000000002E-2</v>
      </c>
      <c r="AO79" s="18">
        <v>0.3876</v>
      </c>
      <c r="AP79" s="18">
        <v>5.7000000000000002E-2</v>
      </c>
      <c r="AQ79" s="18">
        <v>5.7000000000000002E-2</v>
      </c>
      <c r="AR79" s="18">
        <v>0.24460000000000001</v>
      </c>
      <c r="AS79" s="18">
        <v>0.2</v>
      </c>
      <c r="AT79" s="18">
        <v>0.19620000000000001</v>
      </c>
      <c r="AU79" s="18">
        <v>0.2485</v>
      </c>
      <c r="AV79" s="18">
        <v>0.13070000000000001</v>
      </c>
      <c r="AW79" s="18">
        <v>0.31390000000000001</v>
      </c>
      <c r="AX79" s="18">
        <v>5.7000000000000002E-2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48" width="13" customWidth="1"/>
  </cols>
  <sheetData>
    <row r="1" spans="1:48" ht="19.5" x14ac:dyDescent="0.3">
      <c r="A1" s="1" t="s">
        <v>259</v>
      </c>
    </row>
    <row r="2" spans="1:48" x14ac:dyDescent="0.25">
      <c r="A2" s="29" t="s">
        <v>260</v>
      </c>
      <c r="B2" s="27"/>
      <c r="C2" s="27"/>
      <c r="D2" s="27"/>
      <c r="E2" s="27"/>
      <c r="F2" s="27"/>
      <c r="G2" s="27"/>
      <c r="H2" s="27"/>
    </row>
    <row r="4" spans="1:48" ht="25.5" x14ac:dyDescent="0.25">
      <c r="A4" s="5" t="s">
        <v>261</v>
      </c>
      <c r="B4" s="5" t="s">
        <v>262</v>
      </c>
      <c r="C4" s="5" t="s">
        <v>263</v>
      </c>
      <c r="D4" s="5" t="s">
        <v>264</v>
      </c>
      <c r="E4" s="5" t="s">
        <v>265</v>
      </c>
      <c r="F4" s="5" t="s">
        <v>266</v>
      </c>
      <c r="G4" s="5" t="s">
        <v>267</v>
      </c>
      <c r="H4" s="5" t="s">
        <v>268</v>
      </c>
      <c r="I4" s="5" t="s">
        <v>269</v>
      </c>
      <c r="J4" s="5" t="s">
        <v>270</v>
      </c>
      <c r="K4" s="5" t="s">
        <v>271</v>
      </c>
      <c r="L4" s="5" t="s">
        <v>272</v>
      </c>
      <c r="M4" s="5" t="s">
        <v>273</v>
      </c>
      <c r="N4" s="5" t="s">
        <v>274</v>
      </c>
      <c r="O4" s="5" t="s">
        <v>275</v>
      </c>
      <c r="P4" s="5" t="s">
        <v>276</v>
      </c>
      <c r="Q4" s="5" t="s">
        <v>277</v>
      </c>
      <c r="R4" s="5" t="s">
        <v>278</v>
      </c>
      <c r="S4" s="5" t="s">
        <v>279</v>
      </c>
      <c r="T4" s="5" t="s">
        <v>280</v>
      </c>
      <c r="U4" s="5" t="s">
        <v>281</v>
      </c>
      <c r="V4" s="5" t="s">
        <v>282</v>
      </c>
      <c r="W4" s="5" t="s">
        <v>283</v>
      </c>
      <c r="X4" s="5" t="s">
        <v>284</v>
      </c>
      <c r="Y4" s="5" t="s">
        <v>285</v>
      </c>
      <c r="Z4" s="5" t="s">
        <v>286</v>
      </c>
      <c r="AA4" s="5" t="s">
        <v>287</v>
      </c>
      <c r="AB4" s="5" t="s">
        <v>288</v>
      </c>
      <c r="AC4" s="5" t="s">
        <v>289</v>
      </c>
      <c r="AD4" s="5" t="s">
        <v>290</v>
      </c>
      <c r="AE4" s="5" t="s">
        <v>291</v>
      </c>
      <c r="AF4" s="5" t="s">
        <v>292</v>
      </c>
      <c r="AG4" s="5" t="s">
        <v>293</v>
      </c>
      <c r="AH4" s="5" t="s">
        <v>294</v>
      </c>
      <c r="AI4" s="5" t="s">
        <v>295</v>
      </c>
      <c r="AJ4" s="5" t="s">
        <v>296</v>
      </c>
      <c r="AK4" s="5" t="s">
        <v>297</v>
      </c>
      <c r="AL4" s="5" t="s">
        <v>298</v>
      </c>
      <c r="AM4" s="5" t="s">
        <v>299</v>
      </c>
      <c r="AN4" s="5" t="s">
        <v>300</v>
      </c>
      <c r="AO4" s="5" t="s">
        <v>301</v>
      </c>
      <c r="AP4" s="5" t="s">
        <v>302</v>
      </c>
      <c r="AQ4" s="5" t="s">
        <v>303</v>
      </c>
      <c r="AR4" s="5" t="s">
        <v>304</v>
      </c>
      <c r="AS4" s="5" t="s">
        <v>305</v>
      </c>
      <c r="AT4" s="5" t="s">
        <v>306</v>
      </c>
      <c r="AU4" s="5" t="s">
        <v>307</v>
      </c>
      <c r="AV4" s="5" t="s">
        <v>308</v>
      </c>
    </row>
    <row r="5" spans="1:48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</row>
    <row r="6" spans="1:48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</row>
    <row r="7" spans="1:48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</row>
    <row r="8" spans="1:48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</row>
    <row r="9" spans="1:48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</row>
    <row r="10" spans="1:48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</row>
    <row r="11" spans="1:48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</row>
    <row r="12" spans="1:48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</row>
    <row r="13" spans="1:48" x14ac:dyDescent="0.25">
      <c r="A13" s="8">
        <v>9</v>
      </c>
      <c r="B13" s="8">
        <v>4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1.4999999999999999E-2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1.0999999999999999E-2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</row>
    <row r="14" spans="1:48" x14ac:dyDescent="0.25">
      <c r="A14" s="8">
        <v>10</v>
      </c>
      <c r="B14" s="8">
        <v>4.5</v>
      </c>
      <c r="C14" s="18">
        <v>7.8E-2</v>
      </c>
      <c r="D14" s="18">
        <v>0.11899999999999999</v>
      </c>
      <c r="E14" s="18">
        <v>0.183</v>
      </c>
      <c r="F14" s="18">
        <v>6.2E-2</v>
      </c>
      <c r="G14" s="18">
        <v>0.11899999999999999</v>
      </c>
      <c r="H14" s="18">
        <v>0.19800000000000001</v>
      </c>
      <c r="I14" s="18">
        <v>0.18099999999999999</v>
      </c>
      <c r="J14" s="18">
        <v>2.5999999999999999E-2</v>
      </c>
      <c r="K14" s="18">
        <v>0</v>
      </c>
      <c r="L14" s="18">
        <v>0.157</v>
      </c>
      <c r="M14" s="18">
        <v>0</v>
      </c>
      <c r="N14" s="18">
        <v>4.5999999999999999E-2</v>
      </c>
      <c r="O14" s="18">
        <v>0</v>
      </c>
      <c r="P14" s="18">
        <v>1.2E-2</v>
      </c>
      <c r="Q14" s="18">
        <v>0.18099999999999999</v>
      </c>
      <c r="R14" s="18">
        <v>4.4999999999999998E-2</v>
      </c>
      <c r="S14" s="18">
        <v>0</v>
      </c>
      <c r="T14" s="18">
        <v>7.5999999999999998E-2</v>
      </c>
      <c r="U14" s="18">
        <v>2.1000000000000001E-2</v>
      </c>
      <c r="V14" s="18">
        <v>0</v>
      </c>
      <c r="W14" s="18">
        <v>8.4000000000000005E-2</v>
      </c>
      <c r="X14" s="18">
        <v>9.4E-2</v>
      </c>
      <c r="Y14" s="18">
        <v>0.158</v>
      </c>
      <c r="Z14" s="18">
        <v>0</v>
      </c>
      <c r="AA14" s="18">
        <v>0.16</v>
      </c>
      <c r="AB14" s="18">
        <v>9.6000000000000002E-2</v>
      </c>
      <c r="AC14" s="18">
        <v>0.17499999999999999</v>
      </c>
      <c r="AD14" s="18">
        <v>0.06</v>
      </c>
      <c r="AE14" s="18">
        <v>9.1999999999999998E-2</v>
      </c>
      <c r="AF14" s="18">
        <v>0.112</v>
      </c>
      <c r="AG14" s="18">
        <v>7.0000000000000001E-3</v>
      </c>
      <c r="AH14" s="18">
        <v>0</v>
      </c>
      <c r="AI14" s="18">
        <v>3.6999999999999998E-2</v>
      </c>
      <c r="AJ14" s="18">
        <v>0.03</v>
      </c>
      <c r="AK14" s="18">
        <v>5.5E-2</v>
      </c>
      <c r="AL14" s="18">
        <v>0</v>
      </c>
      <c r="AM14" s="18">
        <v>9.5000000000000001E-2</v>
      </c>
      <c r="AN14" s="18">
        <v>5.7000000000000002E-2</v>
      </c>
      <c r="AO14" s="18">
        <v>1.7000000000000001E-2</v>
      </c>
      <c r="AP14" s="18">
        <v>0</v>
      </c>
      <c r="AQ14" s="18">
        <v>0.191</v>
      </c>
      <c r="AR14" s="18">
        <v>2.3E-2</v>
      </c>
      <c r="AS14" s="18">
        <v>0.18099999999999999</v>
      </c>
      <c r="AT14" s="18">
        <v>4.2000000000000003E-2</v>
      </c>
      <c r="AU14" s="18">
        <v>0</v>
      </c>
      <c r="AV14" s="18">
        <v>0</v>
      </c>
    </row>
    <row r="15" spans="1:48" x14ac:dyDescent="0.25">
      <c r="A15" s="8">
        <v>11</v>
      </c>
      <c r="B15" s="8">
        <v>5</v>
      </c>
      <c r="C15" s="18">
        <v>0.26300000000000001</v>
      </c>
      <c r="D15" s="18">
        <v>0.05</v>
      </c>
      <c r="E15" s="18">
        <v>0.38700000000000001</v>
      </c>
      <c r="F15" s="18">
        <v>0.40300000000000002</v>
      </c>
      <c r="G15" s="18">
        <v>0.29099999999999998</v>
      </c>
      <c r="H15" s="18">
        <v>0.27</v>
      </c>
      <c r="I15" s="18">
        <v>0.23400000000000001</v>
      </c>
      <c r="J15" s="18">
        <v>0.23200000000000001</v>
      </c>
      <c r="K15" s="18">
        <v>0.23300000000000001</v>
      </c>
      <c r="L15" s="18">
        <v>0.253</v>
      </c>
      <c r="M15" s="18">
        <v>0.23699999999999999</v>
      </c>
      <c r="N15" s="18">
        <v>0.25600000000000001</v>
      </c>
      <c r="O15" s="18">
        <v>0.01</v>
      </c>
      <c r="P15" s="18">
        <v>0.123</v>
      </c>
      <c r="Q15" s="18">
        <v>0.40899999999999997</v>
      </c>
      <c r="R15" s="18">
        <v>5.8000000000000003E-2</v>
      </c>
      <c r="S15" s="18">
        <v>0.11600000000000001</v>
      </c>
      <c r="T15" s="18">
        <v>0.30299999999999999</v>
      </c>
      <c r="U15" s="18">
        <v>0.38800000000000001</v>
      </c>
      <c r="V15" s="18">
        <v>0.17499999999999999</v>
      </c>
      <c r="W15" s="18">
        <v>0.35499999999999998</v>
      </c>
      <c r="X15" s="18">
        <v>0.23699999999999999</v>
      </c>
      <c r="Y15" s="18">
        <v>0.27</v>
      </c>
      <c r="Z15" s="18">
        <v>0.153</v>
      </c>
      <c r="AA15" s="18">
        <v>0.316</v>
      </c>
      <c r="AB15" s="18">
        <v>0.112</v>
      </c>
      <c r="AC15" s="18">
        <v>0.40300000000000002</v>
      </c>
      <c r="AD15" s="18">
        <v>6.0999999999999999E-2</v>
      </c>
      <c r="AE15" s="18">
        <v>0.25800000000000001</v>
      </c>
      <c r="AF15" s="18">
        <v>0.41</v>
      </c>
      <c r="AG15" s="18">
        <v>0.36899999999999999</v>
      </c>
      <c r="AH15" s="18">
        <v>0.29699999999999999</v>
      </c>
      <c r="AI15" s="18">
        <v>1.4999999999999999E-2</v>
      </c>
      <c r="AJ15" s="18">
        <v>0.32</v>
      </c>
      <c r="AK15" s="18">
        <v>1.7999999999999999E-2</v>
      </c>
      <c r="AL15" s="18">
        <v>1.7999999999999999E-2</v>
      </c>
      <c r="AM15" s="18">
        <v>0.40799999999999997</v>
      </c>
      <c r="AN15" s="18">
        <v>4.8000000000000001E-2</v>
      </c>
      <c r="AO15" s="18">
        <v>0.03</v>
      </c>
      <c r="AP15" s="18">
        <v>0.11600000000000001</v>
      </c>
      <c r="AQ15" s="18">
        <v>0.41899999999999998</v>
      </c>
      <c r="AR15" s="18">
        <v>0.41299999999999998</v>
      </c>
      <c r="AS15" s="18">
        <v>0.17499999999999999</v>
      </c>
      <c r="AT15" s="18">
        <v>0.115</v>
      </c>
      <c r="AU15" s="18">
        <v>0.40600000000000003</v>
      </c>
      <c r="AV15" s="18">
        <v>0.40400000000000003</v>
      </c>
    </row>
    <row r="16" spans="1:48" x14ac:dyDescent="0.25">
      <c r="A16" s="8">
        <v>12</v>
      </c>
      <c r="B16" s="8">
        <v>5.5</v>
      </c>
      <c r="C16" s="18">
        <v>0.46800000000000003</v>
      </c>
      <c r="D16" s="18">
        <v>0.496</v>
      </c>
      <c r="E16" s="18">
        <v>0.53900000000000003</v>
      </c>
      <c r="F16" s="18">
        <v>0.58799999999999997</v>
      </c>
      <c r="G16" s="18">
        <v>0.501</v>
      </c>
      <c r="H16" s="18">
        <v>0.63900000000000001</v>
      </c>
      <c r="I16" s="18">
        <v>0.57299999999999995</v>
      </c>
      <c r="J16" s="18">
        <v>0.4</v>
      </c>
      <c r="K16" s="18">
        <v>0.32300000000000001</v>
      </c>
      <c r="L16" s="18">
        <v>0.60899999999999999</v>
      </c>
      <c r="M16" s="18">
        <v>0.501</v>
      </c>
      <c r="N16" s="18">
        <v>0.623</v>
      </c>
      <c r="O16" s="18">
        <v>0.14099999999999999</v>
      </c>
      <c r="P16" s="18">
        <v>0</v>
      </c>
      <c r="Q16" s="18">
        <v>0.69</v>
      </c>
      <c r="R16" s="18">
        <v>0.40899999999999997</v>
      </c>
      <c r="S16" s="18">
        <v>0.221</v>
      </c>
      <c r="T16" s="18">
        <v>0.623</v>
      </c>
      <c r="U16" s="18">
        <v>0.66800000000000004</v>
      </c>
      <c r="V16" s="18">
        <v>0.375</v>
      </c>
      <c r="W16" s="18">
        <v>0.50800000000000001</v>
      </c>
      <c r="X16" s="18">
        <v>0.13800000000000001</v>
      </c>
      <c r="Y16" s="18">
        <v>0.68899999999999995</v>
      </c>
      <c r="Z16" s="18">
        <v>0.157</v>
      </c>
      <c r="AA16" s="18">
        <v>0.58299999999999996</v>
      </c>
      <c r="AB16" s="18">
        <v>0.39700000000000002</v>
      </c>
      <c r="AC16" s="18">
        <v>0.68400000000000005</v>
      </c>
      <c r="AD16" s="18">
        <v>0.26200000000000001</v>
      </c>
      <c r="AE16" s="18">
        <v>0.316</v>
      </c>
      <c r="AF16" s="18">
        <v>0.55900000000000005</v>
      </c>
      <c r="AG16" s="18">
        <v>0.51800000000000002</v>
      </c>
      <c r="AH16" s="18">
        <v>0.40300000000000002</v>
      </c>
      <c r="AI16" s="18">
        <v>9.5000000000000001E-2</v>
      </c>
      <c r="AJ16" s="18">
        <v>0.501</v>
      </c>
      <c r="AK16" s="18">
        <v>0.31</v>
      </c>
      <c r="AL16" s="18">
        <v>0.20899999999999999</v>
      </c>
      <c r="AM16" s="18">
        <v>0.60899999999999999</v>
      </c>
      <c r="AN16" s="18">
        <v>0.104</v>
      </c>
      <c r="AO16" s="18">
        <v>0.23499999999999999</v>
      </c>
      <c r="AP16" s="18">
        <v>0</v>
      </c>
      <c r="AQ16" s="18">
        <v>0.56999999999999995</v>
      </c>
      <c r="AR16" s="18">
        <v>0.59399999999999997</v>
      </c>
      <c r="AS16" s="18">
        <v>0.67700000000000005</v>
      </c>
      <c r="AT16" s="18">
        <v>0.35899999999999999</v>
      </c>
      <c r="AU16" s="18">
        <v>0.68700000000000006</v>
      </c>
      <c r="AV16" s="18">
        <v>0.63200000000000001</v>
      </c>
    </row>
    <row r="17" spans="1:48" x14ac:dyDescent="0.25">
      <c r="A17" s="8">
        <v>13</v>
      </c>
      <c r="B17" s="8">
        <v>6</v>
      </c>
      <c r="C17" s="18">
        <v>0.76300000000000001</v>
      </c>
      <c r="D17" s="18">
        <v>0.53</v>
      </c>
      <c r="E17" s="18">
        <v>0.998</v>
      </c>
      <c r="F17" s="18">
        <v>0.86199999999999999</v>
      </c>
      <c r="G17" s="18">
        <v>0.73099999999999998</v>
      </c>
      <c r="H17" s="18">
        <v>1.0129999999999999</v>
      </c>
      <c r="I17" s="18">
        <v>0.80600000000000005</v>
      </c>
      <c r="J17" s="18">
        <v>0.43099999999999999</v>
      </c>
      <c r="K17" s="18">
        <v>0.57699999999999996</v>
      </c>
      <c r="L17" s="18">
        <v>0.90900000000000003</v>
      </c>
      <c r="M17" s="18">
        <v>0.53300000000000003</v>
      </c>
      <c r="N17" s="18">
        <v>0.79</v>
      </c>
      <c r="O17" s="18">
        <v>0.22600000000000001</v>
      </c>
      <c r="P17" s="18">
        <v>0.45400000000000001</v>
      </c>
      <c r="Q17" s="18">
        <v>0.996</v>
      </c>
      <c r="R17" s="18">
        <v>0.6</v>
      </c>
      <c r="S17" s="18">
        <v>0.20300000000000001</v>
      </c>
      <c r="T17" s="18">
        <v>0.79400000000000004</v>
      </c>
      <c r="U17" s="18">
        <v>0.83599999999999997</v>
      </c>
      <c r="V17" s="18">
        <v>0.55400000000000005</v>
      </c>
      <c r="W17" s="18">
        <v>0.80400000000000005</v>
      </c>
      <c r="X17" s="18">
        <v>0.35</v>
      </c>
      <c r="Y17" s="18">
        <v>0.97299999999999998</v>
      </c>
      <c r="Z17" s="18">
        <v>0.42499999999999999</v>
      </c>
      <c r="AA17" s="18">
        <v>0.81399999999999995</v>
      </c>
      <c r="AB17" s="18">
        <v>0.58299999999999996</v>
      </c>
      <c r="AC17" s="18">
        <v>0.94199999999999995</v>
      </c>
      <c r="AD17" s="18">
        <v>0.46800000000000003</v>
      </c>
      <c r="AE17" s="18">
        <v>0.61299999999999999</v>
      </c>
      <c r="AF17" s="18">
        <v>0.95799999999999996</v>
      </c>
      <c r="AG17" s="18">
        <v>0.95799999999999996</v>
      </c>
      <c r="AH17" s="18">
        <v>0.70799999999999996</v>
      </c>
      <c r="AI17" s="18">
        <v>0.23200000000000001</v>
      </c>
      <c r="AJ17" s="18">
        <v>0.67100000000000004</v>
      </c>
      <c r="AK17" s="18">
        <v>0.46300000000000002</v>
      </c>
      <c r="AL17" s="18">
        <v>0.36699999999999999</v>
      </c>
      <c r="AM17" s="18">
        <v>0.11799999999999999</v>
      </c>
      <c r="AN17" s="18">
        <v>0.55300000000000005</v>
      </c>
      <c r="AO17" s="18">
        <v>0.222</v>
      </c>
      <c r="AP17" s="18">
        <v>0.32</v>
      </c>
      <c r="AQ17" s="18">
        <v>1.006</v>
      </c>
      <c r="AR17" s="18">
        <v>0.93100000000000005</v>
      </c>
      <c r="AS17" s="18">
        <v>0.93100000000000005</v>
      </c>
      <c r="AT17" s="18">
        <v>0.621</v>
      </c>
      <c r="AU17" s="18">
        <v>0.85399999999999998</v>
      </c>
      <c r="AV17" s="18">
        <v>0.86899999999999999</v>
      </c>
    </row>
    <row r="18" spans="1:48" x14ac:dyDescent="0.25">
      <c r="A18" s="8">
        <v>14</v>
      </c>
      <c r="B18" s="8">
        <v>6.5</v>
      </c>
      <c r="C18" s="18">
        <v>1.1379999999999999</v>
      </c>
      <c r="D18" s="18">
        <v>0.91800000000000004</v>
      </c>
      <c r="E18" s="18">
        <v>1.1299999999999999</v>
      </c>
      <c r="F18" s="18">
        <v>1.169</v>
      </c>
      <c r="G18" s="18">
        <v>0.83399999999999996</v>
      </c>
      <c r="H18" s="18">
        <v>1.119</v>
      </c>
      <c r="I18" s="18">
        <v>1.083</v>
      </c>
      <c r="J18" s="18">
        <v>0.79300000000000004</v>
      </c>
      <c r="K18" s="18">
        <v>0.79400000000000004</v>
      </c>
      <c r="L18" s="18">
        <v>1.2330000000000001</v>
      </c>
      <c r="M18" s="18">
        <v>0.96299999999999997</v>
      </c>
      <c r="N18" s="18">
        <v>1.248</v>
      </c>
      <c r="O18" s="18">
        <v>0.46300000000000002</v>
      </c>
      <c r="P18" s="18">
        <v>0.48299999999999998</v>
      </c>
      <c r="Q18" s="18">
        <v>1.306</v>
      </c>
      <c r="R18" s="18">
        <v>0.79400000000000004</v>
      </c>
      <c r="S18" s="18">
        <v>0</v>
      </c>
      <c r="T18" s="18">
        <v>1.3180000000000001</v>
      </c>
      <c r="U18" s="18">
        <v>1.2609999999999999</v>
      </c>
      <c r="V18" s="18">
        <v>0.72499999999999998</v>
      </c>
      <c r="W18" s="18">
        <v>1.139</v>
      </c>
      <c r="X18" s="18">
        <v>0.628</v>
      </c>
      <c r="Y18" s="18">
        <v>1.1659999999999999</v>
      </c>
      <c r="Z18" s="18">
        <v>0.72499999999999998</v>
      </c>
      <c r="AA18" s="18">
        <v>1.137</v>
      </c>
      <c r="AB18" s="18">
        <v>0.25900000000000001</v>
      </c>
      <c r="AC18" s="18">
        <v>1.2689999999999999</v>
      </c>
      <c r="AD18" s="18">
        <v>0.48599999999999999</v>
      </c>
      <c r="AE18" s="18">
        <v>0.81899999999999995</v>
      </c>
      <c r="AF18" s="18">
        <v>1.3069999999999999</v>
      </c>
      <c r="AG18" s="18">
        <v>1.2949999999999999</v>
      </c>
      <c r="AH18" s="18">
        <v>1.06</v>
      </c>
      <c r="AI18" s="18">
        <v>0.314</v>
      </c>
      <c r="AJ18" s="18">
        <v>0.94099999999999995</v>
      </c>
      <c r="AK18" s="18">
        <v>0.46700000000000003</v>
      </c>
      <c r="AL18" s="18">
        <v>0.51900000000000002</v>
      </c>
      <c r="AM18" s="18">
        <v>0.75800000000000001</v>
      </c>
      <c r="AN18" s="18">
        <v>0</v>
      </c>
      <c r="AO18" s="18">
        <v>0.46600000000000003</v>
      </c>
      <c r="AP18" s="18">
        <v>0.374</v>
      </c>
      <c r="AQ18" s="18">
        <v>1.2210000000000001</v>
      </c>
      <c r="AR18" s="18">
        <v>1.31</v>
      </c>
      <c r="AS18" s="18">
        <v>1.292</v>
      </c>
      <c r="AT18" s="18">
        <v>0.63600000000000001</v>
      </c>
      <c r="AU18" s="18">
        <v>1.266</v>
      </c>
      <c r="AV18" s="18">
        <v>1.145</v>
      </c>
    </row>
    <row r="19" spans="1:48" x14ac:dyDescent="0.25">
      <c r="A19" s="8">
        <v>15</v>
      </c>
      <c r="B19" s="8">
        <v>7</v>
      </c>
      <c r="C19" s="18">
        <v>0.32700000000000001</v>
      </c>
      <c r="D19" s="18">
        <v>1.2050000000000001</v>
      </c>
      <c r="E19" s="18">
        <v>1.6160000000000001</v>
      </c>
      <c r="F19" s="18">
        <v>1.5740000000000001</v>
      </c>
      <c r="G19" s="18">
        <v>0.96599999999999997</v>
      </c>
      <c r="H19" s="18">
        <v>1.611</v>
      </c>
      <c r="I19" s="18">
        <v>1.3340000000000001</v>
      </c>
      <c r="J19" s="18">
        <v>0.98499999999999999</v>
      </c>
      <c r="K19" s="18">
        <v>0.98599999999999999</v>
      </c>
      <c r="L19" s="18">
        <v>1.6120000000000001</v>
      </c>
      <c r="M19" s="18">
        <v>1.1419999999999999</v>
      </c>
      <c r="N19" s="18">
        <v>1.556</v>
      </c>
      <c r="O19" s="18">
        <v>0.47699999999999998</v>
      </c>
      <c r="P19" s="18">
        <v>0</v>
      </c>
      <c r="Q19" s="18">
        <v>1.5580000000000001</v>
      </c>
      <c r="R19" s="18">
        <v>0.76500000000000001</v>
      </c>
      <c r="S19" s="18">
        <v>0.39500000000000002</v>
      </c>
      <c r="T19" s="18">
        <v>1.5449999999999999</v>
      </c>
      <c r="U19" s="18">
        <v>1.3069999999999999</v>
      </c>
      <c r="V19" s="18">
        <v>0.81200000000000006</v>
      </c>
      <c r="W19" s="18">
        <v>1.409</v>
      </c>
      <c r="X19" s="18">
        <v>0.83</v>
      </c>
      <c r="Y19" s="18">
        <v>1.613</v>
      </c>
      <c r="Z19" s="18">
        <v>0.82599999999999996</v>
      </c>
      <c r="AA19" s="18">
        <v>1.4139999999999999</v>
      </c>
      <c r="AB19" s="18">
        <v>0.99199999999999999</v>
      </c>
      <c r="AC19" s="18">
        <v>1.258</v>
      </c>
      <c r="AD19" s="18">
        <v>0.747</v>
      </c>
      <c r="AE19" s="18">
        <v>1.0109999999999999</v>
      </c>
      <c r="AF19" s="18">
        <v>1.5449999999999999</v>
      </c>
      <c r="AG19" s="18">
        <v>0.71599999999999997</v>
      </c>
      <c r="AH19" s="18">
        <v>1.256</v>
      </c>
      <c r="AI19" s="18">
        <v>0.41699999999999998</v>
      </c>
      <c r="AJ19" s="18">
        <v>1.0960000000000001</v>
      </c>
      <c r="AK19" s="18">
        <v>0.77200000000000002</v>
      </c>
      <c r="AL19" s="18">
        <v>0.63900000000000001</v>
      </c>
      <c r="AM19" s="18">
        <v>0.65600000000000003</v>
      </c>
      <c r="AN19" s="18">
        <v>0</v>
      </c>
      <c r="AO19" s="18">
        <v>0.52700000000000002</v>
      </c>
      <c r="AP19" s="18">
        <v>0.54600000000000004</v>
      </c>
      <c r="AQ19" s="18">
        <v>1.49</v>
      </c>
      <c r="AR19" s="18">
        <v>1.0069999999999999</v>
      </c>
      <c r="AS19" s="18">
        <v>1.3939999999999999</v>
      </c>
      <c r="AT19" s="18">
        <v>0.90600000000000003</v>
      </c>
      <c r="AU19" s="18">
        <v>1.4890000000000001</v>
      </c>
      <c r="AV19" s="18">
        <v>1.609</v>
      </c>
    </row>
    <row r="20" spans="1:48" x14ac:dyDescent="0.25">
      <c r="A20" s="8">
        <v>16</v>
      </c>
      <c r="B20" s="8">
        <v>7.5</v>
      </c>
      <c r="C20" s="18">
        <v>1.4430000000000001</v>
      </c>
      <c r="D20" s="18">
        <v>1.327</v>
      </c>
      <c r="E20" s="18">
        <v>1.6180000000000001</v>
      </c>
      <c r="F20" s="18">
        <v>1.72</v>
      </c>
      <c r="G20" s="18">
        <v>1.2989999999999999</v>
      </c>
      <c r="H20" s="18">
        <v>1.35</v>
      </c>
      <c r="I20" s="18">
        <v>1.5049999999999999</v>
      </c>
      <c r="J20" s="18">
        <v>1.1140000000000001</v>
      </c>
      <c r="K20" s="18">
        <v>1.07</v>
      </c>
      <c r="L20" s="18">
        <v>1.8779999999999999</v>
      </c>
      <c r="M20" s="18">
        <v>1.2589999999999999</v>
      </c>
      <c r="N20" s="18">
        <v>1.7809999999999999</v>
      </c>
      <c r="O20" s="18">
        <v>0.61199999999999999</v>
      </c>
      <c r="P20" s="18">
        <v>0</v>
      </c>
      <c r="Q20" s="18">
        <v>0.63400000000000001</v>
      </c>
      <c r="R20" s="18">
        <v>1.179</v>
      </c>
      <c r="S20" s="18">
        <v>0.55900000000000005</v>
      </c>
      <c r="T20" s="18">
        <v>1.6970000000000001</v>
      </c>
      <c r="U20" s="18">
        <v>1.901</v>
      </c>
      <c r="V20" s="18">
        <v>1.133</v>
      </c>
      <c r="W20" s="18">
        <v>1.5649999999999999</v>
      </c>
      <c r="X20" s="18">
        <v>0.91</v>
      </c>
      <c r="Y20" s="18">
        <v>1.448</v>
      </c>
      <c r="Z20" s="18">
        <v>1.08</v>
      </c>
      <c r="AA20" s="18">
        <v>1.6839999999999999</v>
      </c>
      <c r="AB20" s="18">
        <v>1.012</v>
      </c>
      <c r="AC20" s="18">
        <v>1.5720000000000001</v>
      </c>
      <c r="AD20" s="18">
        <v>0.878</v>
      </c>
      <c r="AE20" s="18">
        <v>1.181</v>
      </c>
      <c r="AF20" s="18">
        <v>1.5509999999999999</v>
      </c>
      <c r="AG20" s="18">
        <v>1.7749999999999999</v>
      </c>
      <c r="AH20" s="18">
        <v>1.206</v>
      </c>
      <c r="AI20" s="18">
        <v>0.626</v>
      </c>
      <c r="AJ20" s="18">
        <v>1.349</v>
      </c>
      <c r="AK20" s="18">
        <v>0.91900000000000004</v>
      </c>
      <c r="AL20" s="18">
        <v>0.84199999999999997</v>
      </c>
      <c r="AM20" s="18">
        <v>0</v>
      </c>
      <c r="AN20" s="18">
        <v>1.462</v>
      </c>
      <c r="AO20" s="18">
        <v>0.625</v>
      </c>
      <c r="AP20" s="18">
        <v>0.55900000000000005</v>
      </c>
      <c r="AQ20" s="18">
        <v>1.7030000000000001</v>
      </c>
      <c r="AR20" s="18">
        <v>1.1619999999999999</v>
      </c>
      <c r="AS20" s="18">
        <v>1.8740000000000001</v>
      </c>
      <c r="AT20" s="18">
        <v>1.2</v>
      </c>
      <c r="AU20" s="18">
        <v>1.843</v>
      </c>
      <c r="AV20" s="18">
        <v>1.827</v>
      </c>
    </row>
    <row r="21" spans="1:48" x14ac:dyDescent="0.25">
      <c r="A21" s="8">
        <v>17</v>
      </c>
      <c r="B21" s="8">
        <v>8</v>
      </c>
      <c r="C21" s="18">
        <v>1.742</v>
      </c>
      <c r="D21" s="18">
        <v>1.4950000000000001</v>
      </c>
      <c r="E21" s="18">
        <v>0</v>
      </c>
      <c r="F21" s="18">
        <v>0.373</v>
      </c>
      <c r="G21" s="18">
        <v>1.006</v>
      </c>
      <c r="H21" s="18">
        <v>0</v>
      </c>
      <c r="I21" s="18">
        <v>1.351</v>
      </c>
      <c r="J21" s="18">
        <v>1.2470000000000001</v>
      </c>
      <c r="K21" s="18">
        <v>1.36</v>
      </c>
      <c r="L21" s="18">
        <v>0.73399999999999999</v>
      </c>
      <c r="M21" s="18">
        <v>1.0980000000000001</v>
      </c>
      <c r="N21" s="18">
        <v>0.76100000000000001</v>
      </c>
      <c r="O21" s="18">
        <v>0.628</v>
      </c>
      <c r="P21" s="18">
        <v>0</v>
      </c>
      <c r="Q21" s="18">
        <v>0</v>
      </c>
      <c r="R21" s="18">
        <v>1.2569999999999999</v>
      </c>
      <c r="S21" s="18">
        <v>0.74099999999999999</v>
      </c>
      <c r="T21" s="18">
        <v>0.317</v>
      </c>
      <c r="U21" s="18">
        <v>0.46100000000000002</v>
      </c>
      <c r="V21" s="18">
        <v>1.38</v>
      </c>
      <c r="W21" s="18">
        <v>0.501</v>
      </c>
      <c r="X21" s="18">
        <v>1.3420000000000001</v>
      </c>
      <c r="Y21" s="18">
        <v>0</v>
      </c>
      <c r="Z21" s="18">
        <v>1.33</v>
      </c>
      <c r="AA21" s="18">
        <v>0.56399999999999995</v>
      </c>
      <c r="AB21" s="18">
        <v>1.222</v>
      </c>
      <c r="AC21" s="18">
        <v>0</v>
      </c>
      <c r="AD21" s="18">
        <v>0.92400000000000004</v>
      </c>
      <c r="AE21" s="18">
        <v>1.28</v>
      </c>
      <c r="AF21" s="18">
        <v>0</v>
      </c>
      <c r="AG21" s="18">
        <v>1.1479999999999999</v>
      </c>
      <c r="AH21" s="18">
        <v>1.579</v>
      </c>
      <c r="AI21" s="18">
        <v>0.47699999999999998</v>
      </c>
      <c r="AJ21" s="18">
        <v>0.88400000000000001</v>
      </c>
      <c r="AK21" s="18">
        <v>0.92700000000000005</v>
      </c>
      <c r="AL21" s="18">
        <v>0.97299999999999998</v>
      </c>
      <c r="AM21" s="18">
        <v>0.26500000000000001</v>
      </c>
      <c r="AN21" s="18">
        <v>2.1760000000000002</v>
      </c>
      <c r="AO21" s="18">
        <v>0.80600000000000005</v>
      </c>
      <c r="AP21" s="18">
        <v>0.66400000000000003</v>
      </c>
      <c r="AQ21" s="18">
        <v>0</v>
      </c>
      <c r="AR21" s="18">
        <v>2.1960000000000002</v>
      </c>
      <c r="AS21" s="18">
        <v>0</v>
      </c>
      <c r="AT21" s="18">
        <v>1.272</v>
      </c>
      <c r="AU21" s="18">
        <v>4.5999999999999999E-2</v>
      </c>
      <c r="AV21" s="18">
        <v>1.482</v>
      </c>
    </row>
    <row r="22" spans="1:48" x14ac:dyDescent="0.25">
      <c r="A22" s="8">
        <v>18</v>
      </c>
      <c r="B22" s="8">
        <v>8.5</v>
      </c>
      <c r="C22" s="18">
        <v>0</v>
      </c>
      <c r="D22" s="18">
        <v>0.44800000000000001</v>
      </c>
      <c r="E22" s="18">
        <v>0</v>
      </c>
      <c r="F22" s="18">
        <v>0</v>
      </c>
      <c r="G22" s="18">
        <v>1.0820000000000001</v>
      </c>
      <c r="H22" s="18">
        <v>0</v>
      </c>
      <c r="I22" s="18">
        <v>0</v>
      </c>
      <c r="J22" s="18">
        <v>1.3160000000000001</v>
      </c>
      <c r="K22" s="18">
        <v>1.37</v>
      </c>
      <c r="L22" s="18">
        <v>0</v>
      </c>
      <c r="M22" s="18">
        <v>1.147</v>
      </c>
      <c r="N22" s="18">
        <v>0</v>
      </c>
      <c r="O22" s="18">
        <v>0.88700000000000001</v>
      </c>
      <c r="P22" s="18">
        <v>1.1040000000000001</v>
      </c>
      <c r="Q22" s="18">
        <v>0</v>
      </c>
      <c r="R22" s="18">
        <v>1.413</v>
      </c>
      <c r="S22" s="18">
        <v>0.433</v>
      </c>
      <c r="T22" s="18">
        <v>0</v>
      </c>
      <c r="U22" s="18">
        <v>0</v>
      </c>
      <c r="V22" s="18">
        <v>1.492</v>
      </c>
      <c r="W22" s="18">
        <v>0</v>
      </c>
      <c r="X22" s="18">
        <v>1.2829999999999999</v>
      </c>
      <c r="Y22" s="18">
        <v>0</v>
      </c>
      <c r="Z22" s="18">
        <v>1.4390000000000001</v>
      </c>
      <c r="AA22" s="18">
        <v>0</v>
      </c>
      <c r="AB22" s="18">
        <v>1.536</v>
      </c>
      <c r="AC22" s="18">
        <v>0</v>
      </c>
      <c r="AD22" s="18">
        <v>1.012</v>
      </c>
      <c r="AE22" s="18">
        <v>0.55300000000000005</v>
      </c>
      <c r="AF22" s="18">
        <v>0</v>
      </c>
      <c r="AG22" s="18">
        <v>0</v>
      </c>
      <c r="AH22" s="18">
        <v>0.155</v>
      </c>
      <c r="AI22" s="18">
        <v>0</v>
      </c>
      <c r="AJ22" s="18">
        <v>0</v>
      </c>
      <c r="AK22" s="18">
        <v>1.2070000000000001</v>
      </c>
      <c r="AL22" s="18">
        <v>1.0960000000000001</v>
      </c>
      <c r="AM22" s="18">
        <v>1.615</v>
      </c>
      <c r="AN22" s="18">
        <v>2.2519999999999998</v>
      </c>
      <c r="AO22" s="18">
        <v>0.78100000000000003</v>
      </c>
      <c r="AP22" s="18">
        <v>0.84099999999999997</v>
      </c>
      <c r="AQ22" s="18">
        <v>0</v>
      </c>
      <c r="AR22" s="18">
        <v>0</v>
      </c>
      <c r="AS22" s="18">
        <v>0</v>
      </c>
      <c r="AT22" s="18">
        <v>1.4630000000000001</v>
      </c>
      <c r="AU22" s="18">
        <v>0</v>
      </c>
      <c r="AV22" s="18">
        <v>0</v>
      </c>
    </row>
    <row r="23" spans="1:48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0.87</v>
      </c>
      <c r="P23" s="18">
        <v>1.1499999999999999</v>
      </c>
      <c r="Q23" s="18">
        <v>0</v>
      </c>
      <c r="R23" s="18">
        <v>0.28799999999999998</v>
      </c>
      <c r="S23" s="18">
        <v>0.86299999999999999</v>
      </c>
      <c r="T23" s="18">
        <v>0</v>
      </c>
      <c r="U23" s="18">
        <v>0</v>
      </c>
      <c r="V23" s="18">
        <v>0.85</v>
      </c>
      <c r="W23" s="18">
        <v>0</v>
      </c>
      <c r="X23" s="18">
        <v>1.3560000000000001</v>
      </c>
      <c r="Y23" s="18">
        <v>0</v>
      </c>
      <c r="Z23" s="18">
        <v>1.512</v>
      </c>
      <c r="AA23" s="18">
        <v>0</v>
      </c>
      <c r="AB23" s="18">
        <v>0.55400000000000005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5.0000000000000001E-3</v>
      </c>
      <c r="AJ23" s="18">
        <v>0</v>
      </c>
      <c r="AK23" s="18">
        <v>0.11600000000000001</v>
      </c>
      <c r="AL23" s="18">
        <v>1.2450000000000001</v>
      </c>
      <c r="AM23" s="18">
        <v>2.093</v>
      </c>
      <c r="AN23" s="18">
        <v>1.8120000000000001</v>
      </c>
      <c r="AO23" s="18">
        <v>0.995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</row>
    <row r="24" spans="1:48" x14ac:dyDescent="0.25">
      <c r="A24" s="8">
        <v>20</v>
      </c>
      <c r="B24" s="8">
        <v>9.5</v>
      </c>
      <c r="C24" s="18">
        <v>1.413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0.51700000000000002</v>
      </c>
      <c r="P24" s="18">
        <v>1.444</v>
      </c>
      <c r="Q24" s="18">
        <v>0</v>
      </c>
      <c r="R24" s="18">
        <v>0</v>
      </c>
      <c r="S24" s="18">
        <v>0.95299999999999996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0.66200000000000003</v>
      </c>
      <c r="AJ24" s="18">
        <v>0</v>
      </c>
      <c r="AK24" s="18">
        <v>0.69399999999999995</v>
      </c>
      <c r="AL24" s="18">
        <v>0.78</v>
      </c>
      <c r="AM24" s="18">
        <v>0.77600000000000002</v>
      </c>
      <c r="AN24" s="18">
        <v>0</v>
      </c>
      <c r="AO24" s="18">
        <v>0.96899999999999997</v>
      </c>
      <c r="AP24" s="18">
        <v>0.86599999999999999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</row>
    <row r="25" spans="1:48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0.56499999999999995</v>
      </c>
      <c r="P25" s="18">
        <v>1.3069999999999999</v>
      </c>
      <c r="Q25" s="18">
        <v>0</v>
      </c>
      <c r="R25" s="18">
        <v>0</v>
      </c>
      <c r="S25" s="18">
        <v>1.1080000000000001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0.56799999999999995</v>
      </c>
      <c r="AE25" s="18">
        <v>0</v>
      </c>
      <c r="AF25" s="18">
        <v>0</v>
      </c>
      <c r="AG25" s="18">
        <v>0</v>
      </c>
      <c r="AH25" s="18">
        <v>0</v>
      </c>
      <c r="AI25" s="18">
        <v>0.41899999999999998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0.47299999999999998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</row>
    <row r="26" spans="1:48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0.78700000000000003</v>
      </c>
      <c r="P26" s="18">
        <v>1.5289999999999999</v>
      </c>
      <c r="Q26" s="18">
        <v>0</v>
      </c>
      <c r="R26" s="18">
        <v>0</v>
      </c>
      <c r="S26" s="18">
        <v>0.184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1.5860000000000001</v>
      </c>
      <c r="AE26" s="18">
        <v>0</v>
      </c>
      <c r="AF26" s="18">
        <v>0</v>
      </c>
      <c r="AG26" s="18">
        <v>0</v>
      </c>
      <c r="AH26" s="18">
        <v>0</v>
      </c>
      <c r="AI26" s="18">
        <v>1.151</v>
      </c>
      <c r="AJ26" s="18">
        <v>0</v>
      </c>
      <c r="AK26" s="18">
        <v>1.232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</row>
    <row r="27" spans="1:48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0.69899999999999995</v>
      </c>
      <c r="P27" s="18">
        <v>0.45300000000000001</v>
      </c>
      <c r="Q27" s="18">
        <v>0</v>
      </c>
      <c r="R27" s="18">
        <v>0</v>
      </c>
      <c r="S27" s="18">
        <v>0.441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0.50800000000000001</v>
      </c>
      <c r="AE27" s="18">
        <v>0</v>
      </c>
      <c r="AF27" s="18">
        <v>0</v>
      </c>
      <c r="AG27" s="18">
        <v>0</v>
      </c>
      <c r="AH27" s="18">
        <v>0</v>
      </c>
      <c r="AI27" s="18">
        <v>1.119</v>
      </c>
      <c r="AJ27" s="18">
        <v>0</v>
      </c>
      <c r="AK27" s="18">
        <v>1.4350000000000001</v>
      </c>
      <c r="AL27" s="18">
        <v>0</v>
      </c>
      <c r="AM27" s="18">
        <v>0</v>
      </c>
      <c r="AN27" s="18">
        <v>0</v>
      </c>
      <c r="AO27" s="18">
        <v>0</v>
      </c>
      <c r="AP27" s="18">
        <v>0.872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</row>
    <row r="28" spans="1:48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1.0349999999999999</v>
      </c>
      <c r="AJ28" s="18">
        <v>0</v>
      </c>
      <c r="AK28" s="18">
        <v>0.95099999999999996</v>
      </c>
      <c r="AL28" s="18">
        <v>0</v>
      </c>
      <c r="AM28" s="18">
        <v>0</v>
      </c>
      <c r="AN28" s="18">
        <v>0</v>
      </c>
      <c r="AO28" s="18">
        <v>0</v>
      </c>
      <c r="AP28" s="18">
        <v>1.1220000000000001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</row>
    <row r="29" spans="1:48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0.86799999999999999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0.94499999999999995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1.2410000000000001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</row>
    <row r="30" spans="1:48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0.76800000000000002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7.5999999999999998E-2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0.45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</row>
    <row r="31" spans="1:48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0.56599999999999995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</row>
    <row r="32" spans="1:48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</row>
    <row r="33" spans="1:48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</row>
    <row r="34" spans="1:48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</row>
    <row r="35" spans="1:48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0.29099999999999998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</row>
    <row r="36" spans="1:48" x14ac:dyDescent="0.25">
      <c r="A36" s="8">
        <v>32</v>
      </c>
      <c r="B36" s="8">
        <v>15.5</v>
      </c>
      <c r="C36" s="18">
        <v>0</v>
      </c>
      <c r="D36" s="18">
        <v>0.48799999999999999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</row>
    <row r="37" spans="1:48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</row>
    <row r="38" spans="1:48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0.111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</row>
    <row r="39" spans="1:48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0.224</v>
      </c>
      <c r="AJ39" s="18">
        <v>0</v>
      </c>
      <c r="AK39" s="18">
        <v>0</v>
      </c>
      <c r="AL39" s="18">
        <v>0</v>
      </c>
      <c r="AM39" s="18">
        <v>0</v>
      </c>
      <c r="AN39" s="18">
        <v>0.215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</row>
    <row r="40" spans="1:48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0.32500000000000001</v>
      </c>
      <c r="AT40" s="18">
        <v>0</v>
      </c>
      <c r="AU40" s="18">
        <v>0</v>
      </c>
      <c r="AV40" s="18">
        <v>0</v>
      </c>
    </row>
    <row r="41" spans="1:48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8.3000000000000004E-2</v>
      </c>
      <c r="AS41" s="18">
        <v>0</v>
      </c>
      <c r="AT41" s="18">
        <v>0</v>
      </c>
      <c r="AU41" s="18">
        <v>0</v>
      </c>
      <c r="AV41" s="18">
        <v>0</v>
      </c>
    </row>
    <row r="42" spans="1:48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5.6000000000000001E-2</v>
      </c>
      <c r="K42" s="18">
        <v>0</v>
      </c>
      <c r="L42" s="18">
        <v>0</v>
      </c>
      <c r="M42" s="18">
        <v>0.39100000000000001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</row>
    <row r="43" spans="1:48" x14ac:dyDescent="0.25">
      <c r="A43" s="8">
        <v>39</v>
      </c>
      <c r="B43" s="8">
        <v>19</v>
      </c>
      <c r="C43" s="18">
        <v>0</v>
      </c>
      <c r="D43" s="18">
        <v>0.17199999999999999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5.8999999999999997E-2</v>
      </c>
      <c r="K43" s="18">
        <v>0</v>
      </c>
      <c r="L43" s="18">
        <v>0</v>
      </c>
      <c r="M43" s="18">
        <v>5.0999999999999997E-2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0.13600000000000001</v>
      </c>
      <c r="W43" s="18">
        <v>0</v>
      </c>
      <c r="X43" s="18">
        <v>0</v>
      </c>
      <c r="Y43" s="18">
        <v>0</v>
      </c>
      <c r="Z43" s="18">
        <v>2.3E-2</v>
      </c>
      <c r="AA43" s="18">
        <v>0</v>
      </c>
      <c r="AB43" s="18">
        <v>0</v>
      </c>
      <c r="AC43" s="18">
        <v>0.23300000000000001</v>
      </c>
      <c r="AD43" s="18">
        <v>8.0000000000000002E-3</v>
      </c>
      <c r="AE43" s="18">
        <v>0</v>
      </c>
      <c r="AF43" s="18">
        <v>0</v>
      </c>
      <c r="AG43" s="18">
        <v>0</v>
      </c>
      <c r="AH43" s="18">
        <v>5.7000000000000002E-2</v>
      </c>
      <c r="AI43" s="18">
        <v>0</v>
      </c>
      <c r="AJ43" s="18">
        <v>0.10100000000000001</v>
      </c>
      <c r="AK43" s="18">
        <v>0</v>
      </c>
      <c r="AL43" s="18">
        <v>3.7999999999999999E-2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</row>
    <row r="44" spans="1:48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2.1000000000000001E-2</v>
      </c>
    </row>
    <row r="45" spans="1:48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</row>
    <row r="46" spans="1:48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</row>
    <row r="47" spans="1:48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</row>
    <row r="48" spans="1:48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</row>
    <row r="49" spans="1:48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</row>
    <row r="50" spans="1:48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</row>
    <row r="51" spans="1:48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</row>
    <row r="52" spans="1:48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48" width="13" customWidth="1"/>
  </cols>
  <sheetData>
    <row r="1" spans="1:48" ht="19.5" x14ac:dyDescent="0.3">
      <c r="A1" s="1" t="s">
        <v>309</v>
      </c>
    </row>
    <row r="2" spans="1:48" x14ac:dyDescent="0.25">
      <c r="A2" s="29" t="s">
        <v>310</v>
      </c>
      <c r="B2" s="27"/>
      <c r="C2" s="27"/>
      <c r="D2" s="27"/>
      <c r="E2" s="27"/>
      <c r="F2" s="27"/>
      <c r="G2" s="27"/>
      <c r="H2" s="27"/>
    </row>
    <row r="4" spans="1:48" ht="25.5" x14ac:dyDescent="0.25">
      <c r="A4" s="5" t="s">
        <v>261</v>
      </c>
      <c r="B4" s="5" t="s">
        <v>262</v>
      </c>
      <c r="C4" s="5" t="s">
        <v>263</v>
      </c>
      <c r="D4" s="5" t="s">
        <v>264</v>
      </c>
      <c r="E4" s="5" t="s">
        <v>265</v>
      </c>
      <c r="F4" s="5" t="s">
        <v>266</v>
      </c>
      <c r="G4" s="5" t="s">
        <v>267</v>
      </c>
      <c r="H4" s="5" t="s">
        <v>268</v>
      </c>
      <c r="I4" s="5" t="s">
        <v>269</v>
      </c>
      <c r="J4" s="5" t="s">
        <v>270</v>
      </c>
      <c r="K4" s="5" t="s">
        <v>271</v>
      </c>
      <c r="L4" s="5" t="s">
        <v>272</v>
      </c>
      <c r="M4" s="5" t="s">
        <v>273</v>
      </c>
      <c r="N4" s="5" t="s">
        <v>274</v>
      </c>
      <c r="O4" s="5" t="s">
        <v>275</v>
      </c>
      <c r="P4" s="5" t="s">
        <v>276</v>
      </c>
      <c r="Q4" s="5" t="s">
        <v>277</v>
      </c>
      <c r="R4" s="5" t="s">
        <v>278</v>
      </c>
      <c r="S4" s="5" t="s">
        <v>279</v>
      </c>
      <c r="T4" s="5" t="s">
        <v>280</v>
      </c>
      <c r="U4" s="5" t="s">
        <v>281</v>
      </c>
      <c r="V4" s="5" t="s">
        <v>282</v>
      </c>
      <c r="W4" s="5" t="s">
        <v>283</v>
      </c>
      <c r="X4" s="5" t="s">
        <v>284</v>
      </c>
      <c r="Y4" s="5" t="s">
        <v>285</v>
      </c>
      <c r="Z4" s="5" t="s">
        <v>286</v>
      </c>
      <c r="AA4" s="5" t="s">
        <v>287</v>
      </c>
      <c r="AB4" s="5" t="s">
        <v>288</v>
      </c>
      <c r="AC4" s="5" t="s">
        <v>289</v>
      </c>
      <c r="AD4" s="5" t="s">
        <v>290</v>
      </c>
      <c r="AE4" s="5" t="s">
        <v>291</v>
      </c>
      <c r="AF4" s="5" t="s">
        <v>292</v>
      </c>
      <c r="AG4" s="5" t="s">
        <v>293</v>
      </c>
      <c r="AH4" s="5" t="s">
        <v>294</v>
      </c>
      <c r="AI4" s="5" t="s">
        <v>295</v>
      </c>
      <c r="AJ4" s="5" t="s">
        <v>296</v>
      </c>
      <c r="AK4" s="5" t="s">
        <v>297</v>
      </c>
      <c r="AL4" s="5" t="s">
        <v>298</v>
      </c>
      <c r="AM4" s="5" t="s">
        <v>299</v>
      </c>
      <c r="AN4" s="5" t="s">
        <v>300</v>
      </c>
      <c r="AO4" s="5" t="s">
        <v>301</v>
      </c>
      <c r="AP4" s="5" t="s">
        <v>302</v>
      </c>
      <c r="AQ4" s="5" t="s">
        <v>303</v>
      </c>
      <c r="AR4" s="5" t="s">
        <v>304</v>
      </c>
      <c r="AS4" s="5" t="s">
        <v>305</v>
      </c>
      <c r="AT4" s="5" t="s">
        <v>306</v>
      </c>
      <c r="AU4" s="5" t="s">
        <v>307</v>
      </c>
      <c r="AV4" s="5" t="s">
        <v>308</v>
      </c>
    </row>
    <row r="5" spans="1:48" x14ac:dyDescent="0.25">
      <c r="A5" s="8">
        <v>1</v>
      </c>
      <c r="B5" s="8">
        <v>0</v>
      </c>
      <c r="C5" s="18">
        <v>0.37</v>
      </c>
      <c r="D5" s="18">
        <v>0.20100000000000001</v>
      </c>
      <c r="E5" s="18">
        <v>0.16300000000000001</v>
      </c>
      <c r="F5" s="18">
        <v>5.8000000000000003E-2</v>
      </c>
      <c r="G5" s="18">
        <v>0.24299999999999999</v>
      </c>
      <c r="H5" s="18">
        <v>0.124</v>
      </c>
      <c r="I5" s="18">
        <v>0.33800000000000002</v>
      </c>
      <c r="J5" s="18">
        <v>0.23200000000000001</v>
      </c>
      <c r="K5" s="18">
        <v>0.214</v>
      </c>
      <c r="L5" s="18">
        <v>0.48799999999999999</v>
      </c>
      <c r="M5" s="18">
        <v>0.312</v>
      </c>
      <c r="N5" s="18">
        <v>0.21</v>
      </c>
      <c r="O5" s="18">
        <v>0.316</v>
      </c>
      <c r="P5" s="18">
        <v>6.0999999999999999E-2</v>
      </c>
      <c r="Q5" s="18">
        <v>5.1999999999999998E-2</v>
      </c>
      <c r="R5" s="18">
        <v>0.20599999999999999</v>
      </c>
      <c r="S5" s="18">
        <v>0.252</v>
      </c>
      <c r="T5" s="18">
        <v>0.105</v>
      </c>
      <c r="U5" s="18">
        <v>0.45200000000000001</v>
      </c>
      <c r="V5" s="18">
        <v>0.17599999999999999</v>
      </c>
      <c r="W5" s="18">
        <v>0.14099999999999999</v>
      </c>
      <c r="X5" s="18">
        <v>0.26800000000000002</v>
      </c>
      <c r="Y5" s="18">
        <v>0.11799999999999999</v>
      </c>
      <c r="Z5" s="18">
        <v>7.1999999999999995E-2</v>
      </c>
      <c r="AA5" s="18">
        <v>4.3999999999999997E-2</v>
      </c>
      <c r="AB5" s="18">
        <v>0.122</v>
      </c>
      <c r="AC5" s="18">
        <v>0.20699999999999999</v>
      </c>
      <c r="AD5" s="18">
        <v>0.59899999999999998</v>
      </c>
      <c r="AE5" s="18">
        <v>0.03</v>
      </c>
      <c r="AF5" s="18">
        <v>6.6000000000000003E-2</v>
      </c>
      <c r="AG5" s="18">
        <v>0.14000000000000001</v>
      </c>
      <c r="AH5" s="18">
        <v>7.0999999999999994E-2</v>
      </c>
      <c r="AI5" s="18">
        <v>0.439</v>
      </c>
      <c r="AJ5" s="18">
        <v>2.5999999999999999E-2</v>
      </c>
      <c r="AK5" s="18">
        <v>0.21199999999999999</v>
      </c>
      <c r="AL5" s="18">
        <v>0.06</v>
      </c>
      <c r="AM5" s="18">
        <v>0.13800000000000001</v>
      </c>
      <c r="AN5" s="18">
        <v>0.125</v>
      </c>
      <c r="AO5" s="18">
        <v>4.2999999999999997E-2</v>
      </c>
      <c r="AP5" s="18">
        <v>0.29799999999999999</v>
      </c>
      <c r="AQ5" s="18">
        <v>0.48499999999999999</v>
      </c>
      <c r="AR5" s="18">
        <v>0.97899999999999998</v>
      </c>
      <c r="AS5" s="18">
        <v>0.245</v>
      </c>
      <c r="AT5" s="18">
        <v>9.6000000000000002E-2</v>
      </c>
      <c r="AU5" s="18">
        <v>0.13100000000000001</v>
      </c>
      <c r="AV5" s="18">
        <v>0.14000000000000001</v>
      </c>
    </row>
    <row r="6" spans="1:48" x14ac:dyDescent="0.25">
      <c r="A6" s="8">
        <v>2</v>
      </c>
      <c r="B6" s="8">
        <v>0.5</v>
      </c>
      <c r="C6" s="18">
        <v>4.9000000000000002E-2</v>
      </c>
      <c r="D6" s="18">
        <v>4.3999999999999997E-2</v>
      </c>
      <c r="E6" s="18">
        <v>0.05</v>
      </c>
      <c r="F6" s="18">
        <v>0.255</v>
      </c>
      <c r="G6" s="18">
        <v>0.32900000000000001</v>
      </c>
      <c r="H6" s="18">
        <v>3.5000000000000003E-2</v>
      </c>
      <c r="I6" s="18">
        <v>5.1999999999999998E-2</v>
      </c>
      <c r="J6" s="18">
        <v>5.6000000000000001E-2</v>
      </c>
      <c r="K6" s="18">
        <v>0.45900000000000002</v>
      </c>
      <c r="L6" s="18">
        <v>0.374</v>
      </c>
      <c r="M6" s="18">
        <v>0.253</v>
      </c>
      <c r="N6" s="18">
        <v>0.17699999999999999</v>
      </c>
      <c r="O6" s="18">
        <v>0.14799999999999999</v>
      </c>
      <c r="P6" s="18">
        <v>0.185</v>
      </c>
      <c r="Q6" s="18">
        <v>5.1999999999999998E-2</v>
      </c>
      <c r="R6" s="18">
        <v>0.124</v>
      </c>
      <c r="S6" s="18">
        <v>5.7000000000000002E-2</v>
      </c>
      <c r="T6" s="18">
        <v>0.28599999999999998</v>
      </c>
      <c r="U6" s="18">
        <v>6.6000000000000003E-2</v>
      </c>
      <c r="V6" s="18">
        <v>0.151</v>
      </c>
      <c r="W6" s="18">
        <v>0.113</v>
      </c>
      <c r="X6" s="18">
        <v>0.39100000000000001</v>
      </c>
      <c r="Y6" s="18">
        <v>0.14799999999999999</v>
      </c>
      <c r="Z6" s="18">
        <v>0.31</v>
      </c>
      <c r="AA6" s="18">
        <v>4.3999999999999997E-2</v>
      </c>
      <c r="AB6" s="18">
        <v>8.4000000000000005E-2</v>
      </c>
      <c r="AC6" s="18">
        <v>9.2999999999999999E-2</v>
      </c>
      <c r="AD6" s="18">
        <v>0.10199999999999999</v>
      </c>
      <c r="AE6" s="18">
        <v>0.159</v>
      </c>
      <c r="AF6" s="18">
        <v>0.20599999999999999</v>
      </c>
      <c r="AG6" s="18">
        <v>0.21199999999999999</v>
      </c>
      <c r="AH6" s="18">
        <v>0.28599999999999998</v>
      </c>
      <c r="AI6" s="18">
        <v>6.0999999999999999E-2</v>
      </c>
      <c r="AJ6" s="18">
        <v>2.5999999999999999E-2</v>
      </c>
      <c r="AK6" s="18">
        <v>0.14000000000000001</v>
      </c>
      <c r="AL6" s="18">
        <v>0.217</v>
      </c>
      <c r="AM6" s="18">
        <v>0.17599999999999999</v>
      </c>
      <c r="AN6" s="18">
        <v>5.6000000000000001E-2</v>
      </c>
      <c r="AO6" s="18">
        <v>0.17100000000000001</v>
      </c>
      <c r="AP6" s="18">
        <v>6.8000000000000005E-2</v>
      </c>
      <c r="AQ6" s="18">
        <v>4.2000000000000003E-2</v>
      </c>
      <c r="AR6" s="18">
        <v>0.46300000000000002</v>
      </c>
      <c r="AS6" s="18">
        <v>6.5000000000000002E-2</v>
      </c>
      <c r="AT6" s="18">
        <v>0.19</v>
      </c>
      <c r="AU6" s="18">
        <v>0.20100000000000001</v>
      </c>
      <c r="AV6" s="18">
        <v>1.65</v>
      </c>
    </row>
    <row r="7" spans="1:48" x14ac:dyDescent="0.25">
      <c r="A7" s="8">
        <v>3</v>
      </c>
      <c r="B7" s="8">
        <v>1</v>
      </c>
      <c r="C7" s="18">
        <v>0.12</v>
      </c>
      <c r="D7" s="18">
        <v>4.3999999999999997E-2</v>
      </c>
      <c r="E7" s="18">
        <v>0.22800000000000001</v>
      </c>
      <c r="F7" s="18">
        <v>0.13700000000000001</v>
      </c>
      <c r="G7" s="18">
        <v>0.32800000000000001</v>
      </c>
      <c r="H7" s="18">
        <v>3.5000000000000003E-2</v>
      </c>
      <c r="I7" s="18">
        <v>0.28899999999999998</v>
      </c>
      <c r="J7" s="18">
        <v>0.16800000000000001</v>
      </c>
      <c r="K7" s="18">
        <v>5.5E-2</v>
      </c>
      <c r="L7" s="18">
        <v>0.20899999999999999</v>
      </c>
      <c r="M7" s="18">
        <v>5.5E-2</v>
      </c>
      <c r="N7" s="18">
        <v>0.21099999999999999</v>
      </c>
      <c r="O7" s="18">
        <v>4.5999999999999999E-2</v>
      </c>
      <c r="P7" s="18">
        <v>0.13500000000000001</v>
      </c>
      <c r="Q7" s="18">
        <v>5.1999999999999998E-2</v>
      </c>
      <c r="R7" s="18">
        <v>0.158</v>
      </c>
      <c r="S7" s="18">
        <v>0.22600000000000001</v>
      </c>
      <c r="T7" s="18">
        <v>0.04</v>
      </c>
      <c r="U7" s="18">
        <v>0.13500000000000001</v>
      </c>
      <c r="V7" s="18">
        <v>0.112</v>
      </c>
      <c r="W7" s="18">
        <v>4.9000000000000002E-2</v>
      </c>
      <c r="X7" s="18">
        <v>5.0999999999999997E-2</v>
      </c>
      <c r="Y7" s="18">
        <v>5.2999999999999999E-2</v>
      </c>
      <c r="Z7" s="18">
        <v>0.14899999999999999</v>
      </c>
      <c r="AA7" s="18">
        <v>0.11</v>
      </c>
      <c r="AB7" s="18">
        <v>0.33200000000000002</v>
      </c>
      <c r="AC7" s="18">
        <v>5.8000000000000003E-2</v>
      </c>
      <c r="AD7" s="18">
        <v>5.6000000000000001E-2</v>
      </c>
      <c r="AE7" s="18">
        <v>0.03</v>
      </c>
      <c r="AF7" s="18">
        <v>5.0999999999999997E-2</v>
      </c>
      <c r="AG7" s="18">
        <v>7.8E-2</v>
      </c>
      <c r="AH7" s="18">
        <v>0.14000000000000001</v>
      </c>
      <c r="AI7" s="18">
        <v>0.155</v>
      </c>
      <c r="AJ7" s="18">
        <v>0.14399999999999999</v>
      </c>
      <c r="AK7" s="18">
        <v>0.40699999999999997</v>
      </c>
      <c r="AL7" s="18">
        <v>4.9000000000000002E-2</v>
      </c>
      <c r="AM7" s="18">
        <v>4.8000000000000001E-2</v>
      </c>
      <c r="AN7" s="18">
        <v>5.6000000000000001E-2</v>
      </c>
      <c r="AO7" s="18">
        <v>4.2999999999999997E-2</v>
      </c>
      <c r="AP7" s="18">
        <v>0.112</v>
      </c>
      <c r="AQ7" s="18">
        <v>0.154</v>
      </c>
      <c r="AR7" s="18">
        <v>7.0000000000000007E-2</v>
      </c>
      <c r="AS7" s="18">
        <v>0.20799999999999999</v>
      </c>
      <c r="AT7" s="18">
        <v>0.157</v>
      </c>
      <c r="AU7" s="18">
        <v>5.5E-2</v>
      </c>
      <c r="AV7" s="18">
        <v>0.372</v>
      </c>
    </row>
    <row r="8" spans="1:48" x14ac:dyDescent="0.25">
      <c r="A8" s="8">
        <v>4</v>
      </c>
      <c r="B8" s="8">
        <v>1.5</v>
      </c>
      <c r="C8" s="18">
        <v>0.17799999999999999</v>
      </c>
      <c r="D8" s="18">
        <v>0.183</v>
      </c>
      <c r="E8" s="18">
        <v>0.05</v>
      </c>
      <c r="F8" s="18">
        <v>5.8000000000000003E-2</v>
      </c>
      <c r="G8" s="18">
        <v>0.23100000000000001</v>
      </c>
      <c r="H8" s="18">
        <v>0.20499999999999999</v>
      </c>
      <c r="I8" s="18">
        <v>0.108</v>
      </c>
      <c r="J8" s="18">
        <v>0.12</v>
      </c>
      <c r="K8" s="18">
        <v>0.16400000000000001</v>
      </c>
      <c r="L8" s="18">
        <v>5.3999999999999999E-2</v>
      </c>
      <c r="M8" s="18">
        <v>5.5E-2</v>
      </c>
      <c r="N8" s="18">
        <v>0.126</v>
      </c>
      <c r="O8" s="18">
        <v>0.128</v>
      </c>
      <c r="P8" s="18">
        <v>0.161</v>
      </c>
      <c r="Q8" s="18">
        <v>5.1999999999999998E-2</v>
      </c>
      <c r="R8" s="18">
        <v>0.14199999999999999</v>
      </c>
      <c r="S8" s="18">
        <v>8.4000000000000005E-2</v>
      </c>
      <c r="T8" s="18">
        <v>0.27300000000000002</v>
      </c>
      <c r="U8" s="18">
        <v>0.15</v>
      </c>
      <c r="V8" s="18">
        <v>0.19</v>
      </c>
      <c r="W8" s="18">
        <v>0.20499999999999999</v>
      </c>
      <c r="X8" s="18">
        <v>0.316</v>
      </c>
      <c r="Y8" s="18">
        <v>0.14799999999999999</v>
      </c>
      <c r="Z8" s="18">
        <v>0.38</v>
      </c>
      <c r="AA8" s="18">
        <v>4.3999999999999997E-2</v>
      </c>
      <c r="AB8" s="18">
        <v>4.9000000000000002E-2</v>
      </c>
      <c r="AC8" s="18">
        <v>8.4000000000000005E-2</v>
      </c>
      <c r="AD8" s="18">
        <v>5.6000000000000001E-2</v>
      </c>
      <c r="AE8" s="18">
        <v>0.11799999999999999</v>
      </c>
      <c r="AF8" s="18">
        <v>0.159</v>
      </c>
      <c r="AG8" s="18">
        <v>0.19500000000000001</v>
      </c>
      <c r="AH8" s="18">
        <v>4.1000000000000002E-2</v>
      </c>
      <c r="AI8" s="18">
        <v>0.17199999999999999</v>
      </c>
      <c r="AJ8" s="18">
        <v>2.5999999999999999E-2</v>
      </c>
      <c r="AK8" s="18">
        <v>0.45300000000000001</v>
      </c>
      <c r="AL8" s="18">
        <v>7.8E-2</v>
      </c>
      <c r="AM8" s="18">
        <v>0.26600000000000001</v>
      </c>
      <c r="AN8" s="18">
        <v>5.6000000000000001E-2</v>
      </c>
      <c r="AO8" s="18">
        <v>4.2999999999999997E-2</v>
      </c>
      <c r="AP8" s="18">
        <v>0.254</v>
      </c>
      <c r="AQ8" s="18">
        <v>0.06</v>
      </c>
      <c r="AR8" s="18">
        <v>0.19400000000000001</v>
      </c>
      <c r="AS8" s="18">
        <v>0.13</v>
      </c>
      <c r="AT8" s="18">
        <v>3.4000000000000002E-2</v>
      </c>
      <c r="AU8" s="18">
        <v>0.20799999999999999</v>
      </c>
      <c r="AV8" s="18">
        <v>0.154</v>
      </c>
    </row>
    <row r="9" spans="1:48" x14ac:dyDescent="0.25">
      <c r="A9" s="8">
        <v>5</v>
      </c>
      <c r="B9" s="8">
        <v>2</v>
      </c>
      <c r="C9" s="18">
        <v>8.6999999999999994E-2</v>
      </c>
      <c r="D9" s="18">
        <v>0.17399999999999999</v>
      </c>
      <c r="E9" s="18">
        <v>0.20300000000000001</v>
      </c>
      <c r="F9" s="18">
        <v>0.252</v>
      </c>
      <c r="G9" s="18">
        <v>5.5E-2</v>
      </c>
      <c r="H9" s="18">
        <v>8.8999999999999996E-2</v>
      </c>
      <c r="I9" s="18">
        <v>0.10199999999999999</v>
      </c>
      <c r="J9" s="18">
        <v>5.6000000000000001E-2</v>
      </c>
      <c r="K9" s="18">
        <v>5.5E-2</v>
      </c>
      <c r="L9" s="18">
        <v>0.13300000000000001</v>
      </c>
      <c r="M9" s="18">
        <v>0.22600000000000001</v>
      </c>
      <c r="N9" s="18">
        <v>0.29199999999999998</v>
      </c>
      <c r="O9" s="18">
        <v>0.23200000000000001</v>
      </c>
      <c r="P9" s="18">
        <v>0.14899999999999999</v>
      </c>
      <c r="Q9" s="18">
        <v>5.1999999999999998E-2</v>
      </c>
      <c r="R9" s="18">
        <v>0.13400000000000001</v>
      </c>
      <c r="S9" s="18">
        <v>0.128</v>
      </c>
      <c r="T9" s="18">
        <v>0.11700000000000001</v>
      </c>
      <c r="U9" s="18">
        <v>8.1000000000000003E-2</v>
      </c>
      <c r="V9" s="18">
        <v>0.10100000000000001</v>
      </c>
      <c r="W9" s="18">
        <v>4.9000000000000002E-2</v>
      </c>
      <c r="X9" s="18">
        <v>5.0999999999999997E-2</v>
      </c>
      <c r="Y9" s="18">
        <v>0.11799999999999999</v>
      </c>
      <c r="Z9" s="18">
        <v>0.155</v>
      </c>
      <c r="AA9" s="18">
        <v>4.3999999999999997E-2</v>
      </c>
      <c r="AB9" s="18">
        <v>0.21299999999999999</v>
      </c>
      <c r="AC9" s="18">
        <v>0.111</v>
      </c>
      <c r="AD9" s="18">
        <v>6.4000000000000001E-2</v>
      </c>
      <c r="AE9" s="18">
        <v>7.0999999999999994E-2</v>
      </c>
      <c r="AF9" s="18">
        <v>0.113</v>
      </c>
      <c r="AG9" s="18">
        <v>0.17100000000000001</v>
      </c>
      <c r="AH9" s="18">
        <v>0.13900000000000001</v>
      </c>
      <c r="AI9" s="18">
        <v>0.151</v>
      </c>
      <c r="AJ9" s="18">
        <v>2.5999999999999999E-2</v>
      </c>
      <c r="AK9" s="18">
        <v>0.33200000000000002</v>
      </c>
      <c r="AL9" s="18">
        <v>0.222</v>
      </c>
      <c r="AM9" s="18">
        <v>4.8000000000000001E-2</v>
      </c>
      <c r="AN9" s="18">
        <v>5.6000000000000001E-2</v>
      </c>
      <c r="AO9" s="18">
        <v>0.17100000000000001</v>
      </c>
      <c r="AP9" s="18">
        <v>0.05</v>
      </c>
      <c r="AQ9" s="18">
        <v>4.2000000000000003E-2</v>
      </c>
      <c r="AR9" s="18">
        <v>7.0999999999999994E-2</v>
      </c>
      <c r="AS9" s="18">
        <v>5.1999999999999998E-2</v>
      </c>
      <c r="AT9" s="18">
        <v>0.26700000000000002</v>
      </c>
      <c r="AU9" s="18">
        <v>0.124</v>
      </c>
      <c r="AV9" s="18">
        <v>7.4999999999999997E-2</v>
      </c>
    </row>
    <row r="10" spans="1:48" x14ac:dyDescent="0.25">
      <c r="A10" s="8">
        <v>6</v>
      </c>
      <c r="B10" s="8">
        <v>2.5</v>
      </c>
      <c r="C10" s="18">
        <v>0.21099999999999999</v>
      </c>
      <c r="D10" s="18">
        <v>4.3999999999999997E-2</v>
      </c>
      <c r="E10" s="18">
        <v>7.3999999999999996E-2</v>
      </c>
      <c r="F10" s="18">
        <v>0.14000000000000001</v>
      </c>
      <c r="G10" s="18">
        <v>5.5E-2</v>
      </c>
      <c r="H10" s="18">
        <v>7.1999999999999995E-2</v>
      </c>
      <c r="I10" s="18">
        <v>0.254</v>
      </c>
      <c r="J10" s="18">
        <v>0.152</v>
      </c>
      <c r="K10" s="18">
        <v>5.5E-2</v>
      </c>
      <c r="L10" s="18">
        <v>0.20899999999999999</v>
      </c>
      <c r="M10" s="18">
        <v>8.2000000000000003E-2</v>
      </c>
      <c r="N10" s="18">
        <v>0.11600000000000001</v>
      </c>
      <c r="O10" s="18">
        <v>4.5999999999999999E-2</v>
      </c>
      <c r="P10" s="18">
        <v>0.22700000000000001</v>
      </c>
      <c r="Q10" s="18">
        <v>5.1999999999999998E-2</v>
      </c>
      <c r="R10" s="18">
        <v>0.17399999999999999</v>
      </c>
      <c r="S10" s="18">
        <v>0.18099999999999999</v>
      </c>
      <c r="T10" s="18">
        <v>7.1999999999999995E-2</v>
      </c>
      <c r="U10" s="18">
        <v>0.20399999999999999</v>
      </c>
      <c r="V10" s="18">
        <v>0.41199999999999998</v>
      </c>
      <c r="W10" s="18">
        <v>0.155</v>
      </c>
      <c r="X10" s="18">
        <v>0.186</v>
      </c>
      <c r="Y10" s="18">
        <v>5.2999999999999999E-2</v>
      </c>
      <c r="Z10" s="18">
        <v>0.105</v>
      </c>
      <c r="AA10" s="18">
        <v>8.7999999999999995E-2</v>
      </c>
      <c r="AB10" s="18">
        <v>7.4999999999999997E-2</v>
      </c>
      <c r="AC10" s="18">
        <v>0.10199999999999999</v>
      </c>
      <c r="AD10" s="18">
        <v>0.215</v>
      </c>
      <c r="AE10" s="18">
        <v>0.03</v>
      </c>
      <c r="AF10" s="18">
        <v>5.0999999999999997E-2</v>
      </c>
      <c r="AG10" s="18">
        <v>0.10199999999999999</v>
      </c>
      <c r="AH10" s="18">
        <v>0.23799999999999999</v>
      </c>
      <c r="AI10" s="18">
        <v>0.19800000000000001</v>
      </c>
      <c r="AJ10" s="18">
        <v>0.115</v>
      </c>
      <c r="AK10" s="18">
        <v>0.50900000000000001</v>
      </c>
      <c r="AL10" s="18">
        <v>0.13900000000000001</v>
      </c>
      <c r="AM10" s="18">
        <v>0.17</v>
      </c>
      <c r="AN10" s="18">
        <v>0.125</v>
      </c>
      <c r="AO10" s="18">
        <v>4.2999999999999997E-2</v>
      </c>
      <c r="AP10" s="18">
        <v>0.28499999999999998</v>
      </c>
      <c r="AQ10" s="18">
        <v>0.13700000000000001</v>
      </c>
      <c r="AR10" s="18">
        <v>4.8000000000000001E-2</v>
      </c>
      <c r="AS10" s="18">
        <v>5.1999999999999998E-2</v>
      </c>
      <c r="AT10" s="18">
        <v>0.08</v>
      </c>
      <c r="AU10" s="18">
        <v>9.7000000000000003E-2</v>
      </c>
      <c r="AV10" s="18">
        <v>0</v>
      </c>
    </row>
    <row r="11" spans="1:48" x14ac:dyDescent="0.25">
      <c r="A11" s="8">
        <v>7</v>
      </c>
      <c r="B11" s="8">
        <v>3</v>
      </c>
      <c r="C11" s="18">
        <v>0.124</v>
      </c>
      <c r="D11" s="18">
        <v>0.23300000000000001</v>
      </c>
      <c r="E11" s="18">
        <v>8.2000000000000003E-2</v>
      </c>
      <c r="F11" s="18">
        <v>5.8000000000000003E-2</v>
      </c>
      <c r="G11" s="18">
        <v>5.5E-2</v>
      </c>
      <c r="H11" s="18">
        <v>0.221</v>
      </c>
      <c r="I11" s="18">
        <v>9.2999999999999999E-2</v>
      </c>
      <c r="J11" s="18">
        <v>0.13600000000000001</v>
      </c>
      <c r="K11" s="18">
        <v>0.125</v>
      </c>
      <c r="L11" s="18">
        <v>0.129</v>
      </c>
      <c r="M11" s="18">
        <v>9.0999999999999998E-2</v>
      </c>
      <c r="N11" s="18">
        <v>6.8000000000000005E-2</v>
      </c>
      <c r="O11" s="18">
        <v>0.129</v>
      </c>
      <c r="P11" s="18">
        <v>6.9000000000000006E-2</v>
      </c>
      <c r="Q11" s="18">
        <v>5.1999999999999998E-2</v>
      </c>
      <c r="R11" s="18">
        <v>0.109</v>
      </c>
      <c r="S11" s="18">
        <v>7.4999999999999997E-2</v>
      </c>
      <c r="T11" s="18">
        <v>0.21199999999999999</v>
      </c>
      <c r="U11" s="18">
        <v>5.8000000000000003E-2</v>
      </c>
      <c r="V11" s="18">
        <v>0.439</v>
      </c>
      <c r="W11" s="18">
        <v>9.9000000000000005E-2</v>
      </c>
      <c r="X11" s="18">
        <v>7.1999999999999995E-2</v>
      </c>
      <c r="Y11" s="18">
        <v>0.11799999999999999</v>
      </c>
      <c r="Z11" s="18">
        <v>0.45100000000000001</v>
      </c>
      <c r="AA11" s="18">
        <v>0.52800000000000002</v>
      </c>
      <c r="AB11" s="18">
        <v>4.9000000000000002E-2</v>
      </c>
      <c r="AC11" s="18">
        <v>9.2999999999999999E-2</v>
      </c>
      <c r="AD11" s="18">
        <v>5.6000000000000001E-2</v>
      </c>
      <c r="AE11" s="18">
        <v>0.159</v>
      </c>
      <c r="AF11" s="18">
        <v>0.221</v>
      </c>
      <c r="AG11" s="18">
        <v>0.193</v>
      </c>
      <c r="AH11" s="18">
        <v>0.12</v>
      </c>
      <c r="AI11" s="18">
        <v>0.16500000000000001</v>
      </c>
      <c r="AJ11" s="18">
        <v>5.6000000000000001E-2</v>
      </c>
      <c r="AK11" s="18">
        <v>0.33800000000000002</v>
      </c>
      <c r="AL11" s="18">
        <v>0.17100000000000001</v>
      </c>
      <c r="AM11" s="18">
        <v>0.14399999999999999</v>
      </c>
      <c r="AN11" s="18">
        <v>0.06</v>
      </c>
      <c r="AO11" s="18">
        <v>0.17100000000000001</v>
      </c>
      <c r="AP11" s="18">
        <v>8.1000000000000003E-2</v>
      </c>
      <c r="AQ11" s="18">
        <v>7.6999999999999999E-2</v>
      </c>
      <c r="AR11" s="18">
        <v>0.10199999999999999</v>
      </c>
      <c r="AS11" s="18">
        <v>0.13800000000000001</v>
      </c>
      <c r="AT11" s="18">
        <v>3.4000000000000002E-2</v>
      </c>
      <c r="AU11" s="18">
        <v>0.23499999999999999</v>
      </c>
      <c r="AV11" s="18">
        <v>0</v>
      </c>
    </row>
    <row r="12" spans="1:48" x14ac:dyDescent="0.25">
      <c r="A12" s="8">
        <v>8</v>
      </c>
      <c r="B12" s="8">
        <v>3.5</v>
      </c>
      <c r="C12" s="18">
        <v>0.14499999999999999</v>
      </c>
      <c r="D12" s="18">
        <v>0.121</v>
      </c>
      <c r="E12" s="18">
        <v>0.192</v>
      </c>
      <c r="F12" s="18">
        <v>0.19</v>
      </c>
      <c r="G12" s="18">
        <v>5.1999999999999998E-2</v>
      </c>
      <c r="H12" s="18">
        <v>3.2000000000000001E-2</v>
      </c>
      <c r="I12" s="18">
        <v>0.152</v>
      </c>
      <c r="J12" s="18">
        <v>5.3999999999999999E-2</v>
      </c>
      <c r="K12" s="18">
        <v>9.1999999999999998E-2</v>
      </c>
      <c r="L12" s="18">
        <v>0.16</v>
      </c>
      <c r="M12" s="18">
        <v>0.214</v>
      </c>
      <c r="N12" s="18">
        <v>0.36199999999999999</v>
      </c>
      <c r="O12" s="18">
        <v>0.23</v>
      </c>
      <c r="P12" s="18">
        <v>0.20699999999999999</v>
      </c>
      <c r="Q12" s="18">
        <v>4.9000000000000002E-2</v>
      </c>
      <c r="R12" s="18">
        <v>0.23899999999999999</v>
      </c>
      <c r="S12" s="18">
        <v>0.23300000000000001</v>
      </c>
      <c r="T12" s="18">
        <v>3.6999999999999998E-2</v>
      </c>
      <c r="U12" s="18">
        <v>0.224</v>
      </c>
      <c r="V12" s="18">
        <v>0.22900000000000001</v>
      </c>
      <c r="W12" s="18">
        <v>4.5999999999999999E-2</v>
      </c>
      <c r="X12" s="18">
        <v>6.4000000000000001E-2</v>
      </c>
      <c r="Y12" s="18">
        <v>0.14399999999999999</v>
      </c>
      <c r="Z12" s="18">
        <v>9.9000000000000005E-2</v>
      </c>
      <c r="AA12" s="18">
        <v>0.25800000000000001</v>
      </c>
      <c r="AB12" s="18">
        <v>0.33900000000000002</v>
      </c>
      <c r="AC12" s="18">
        <v>5.5E-2</v>
      </c>
      <c r="AD12" s="18">
        <v>0.221</v>
      </c>
      <c r="AE12" s="18">
        <v>2.8000000000000001E-2</v>
      </c>
      <c r="AF12" s="18">
        <v>4.8000000000000001E-2</v>
      </c>
      <c r="AG12" s="18">
        <v>0.156</v>
      </c>
      <c r="AH12" s="18">
        <v>3.7999999999999999E-2</v>
      </c>
      <c r="AI12" s="18">
        <v>0.17899999999999999</v>
      </c>
      <c r="AJ12" s="18">
        <v>2.3E-2</v>
      </c>
      <c r="AK12" s="18">
        <v>0</v>
      </c>
      <c r="AL12" s="18">
        <v>0.185</v>
      </c>
      <c r="AM12" s="18">
        <v>5.7000000000000002E-2</v>
      </c>
      <c r="AN12" s="18">
        <v>0.11700000000000001</v>
      </c>
      <c r="AO12" s="18">
        <v>4.2000000000000003E-2</v>
      </c>
      <c r="AP12" s="18">
        <v>8.3000000000000004E-2</v>
      </c>
      <c r="AQ12" s="18">
        <v>3.9E-2</v>
      </c>
      <c r="AR12" s="18">
        <v>0.16</v>
      </c>
      <c r="AS12" s="18">
        <v>0.19600000000000001</v>
      </c>
      <c r="AT12" s="18">
        <v>0.20100000000000001</v>
      </c>
      <c r="AU12" s="18">
        <v>5.1999999999999998E-2</v>
      </c>
      <c r="AV12" s="18">
        <v>0</v>
      </c>
    </row>
    <row r="13" spans="1:48" x14ac:dyDescent="0.25">
      <c r="A13" s="8">
        <v>9</v>
      </c>
      <c r="B13" s="8">
        <v>4</v>
      </c>
      <c r="C13" s="18">
        <v>7.3999999999999996E-2</v>
      </c>
      <c r="D13" s="18">
        <v>0.105</v>
      </c>
      <c r="E13" s="18">
        <v>2.9999999999999997E-4</v>
      </c>
      <c r="F13" s="18">
        <v>0.14899999999999999</v>
      </c>
      <c r="G13" s="18">
        <v>1.7999999999999999E-2</v>
      </c>
      <c r="H13" s="18">
        <v>0</v>
      </c>
      <c r="I13" s="18">
        <v>0.192</v>
      </c>
      <c r="J13" s="18">
        <v>0.13700000000000001</v>
      </c>
      <c r="K13" s="18">
        <v>2.4E-2</v>
      </c>
      <c r="L13" s="18">
        <v>0.111</v>
      </c>
      <c r="M13" s="18">
        <v>1.7999999999999999E-2</v>
      </c>
      <c r="N13" s="18">
        <v>0.01</v>
      </c>
      <c r="O13" s="18">
        <v>2.7E-2</v>
      </c>
      <c r="P13" s="18">
        <v>1.7999999999999999E-2</v>
      </c>
      <c r="Q13" s="18">
        <v>2E-3</v>
      </c>
      <c r="R13" s="18">
        <v>5.8999999999999997E-2</v>
      </c>
      <c r="S13" s="18">
        <v>3.7999999999999999E-2</v>
      </c>
      <c r="T13" s="18">
        <v>8.3000000000000004E-2</v>
      </c>
      <c r="U13" s="18">
        <v>8.0000000000000002E-3</v>
      </c>
      <c r="V13" s="18">
        <v>9.1999999999999998E-2</v>
      </c>
      <c r="W13" s="18">
        <v>0.09</v>
      </c>
      <c r="X13" s="18">
        <v>0.27</v>
      </c>
      <c r="Y13" s="18">
        <v>3.0000000000000001E-3</v>
      </c>
      <c r="Z13" s="18">
        <v>0.246</v>
      </c>
      <c r="AA13" s="18">
        <v>6.3E-2</v>
      </c>
      <c r="AB13" s="18">
        <v>4.3999999999999997E-2</v>
      </c>
      <c r="AC13" s="18">
        <v>8.6999999999999994E-2</v>
      </c>
      <c r="AD13" s="18">
        <v>3.1E-2</v>
      </c>
      <c r="AE13" s="18">
        <v>0.105</v>
      </c>
      <c r="AF13" s="18">
        <v>0.10199999999999999</v>
      </c>
      <c r="AG13" s="18">
        <v>7.6999999999999999E-2</v>
      </c>
      <c r="AH13" s="18">
        <v>0.13600000000000001</v>
      </c>
      <c r="AI13" s="18">
        <v>0.22900000000000001</v>
      </c>
      <c r="AJ13" s="18">
        <v>0</v>
      </c>
      <c r="AK13" s="18">
        <v>0</v>
      </c>
      <c r="AL13" s="18">
        <v>7.9000000000000001E-2</v>
      </c>
      <c r="AM13" s="18">
        <v>0.113</v>
      </c>
      <c r="AN13" s="18">
        <v>1.4E-2</v>
      </c>
      <c r="AO13" s="18">
        <v>2.4E-2</v>
      </c>
      <c r="AP13" s="18">
        <v>0.189</v>
      </c>
      <c r="AQ13" s="18">
        <v>0.122</v>
      </c>
      <c r="AR13" s="18">
        <v>6.0000000000000001E-3</v>
      </c>
      <c r="AS13" s="18">
        <v>2E-3</v>
      </c>
      <c r="AT13" s="18">
        <v>0.113</v>
      </c>
      <c r="AU13" s="18">
        <v>5.0000000000000001E-3</v>
      </c>
      <c r="AV13" s="18">
        <v>0</v>
      </c>
    </row>
    <row r="14" spans="1:48" x14ac:dyDescent="0.25">
      <c r="A14" s="8">
        <v>10</v>
      </c>
      <c r="B14" s="8">
        <v>4.5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1.7999999999999999E-2</v>
      </c>
      <c r="L14" s="18">
        <v>0</v>
      </c>
      <c r="M14" s="18">
        <v>0.108</v>
      </c>
      <c r="N14" s="18">
        <v>0</v>
      </c>
      <c r="O14" s="18">
        <v>0.111</v>
      </c>
      <c r="P14" s="18">
        <v>0</v>
      </c>
      <c r="Q14" s="18">
        <v>0</v>
      </c>
      <c r="R14" s="18">
        <v>0</v>
      </c>
      <c r="S14" s="18">
        <v>0.16500000000000001</v>
      </c>
      <c r="T14" s="18">
        <v>0</v>
      </c>
      <c r="U14" s="18">
        <v>0</v>
      </c>
      <c r="V14" s="18">
        <v>6.2E-2</v>
      </c>
      <c r="W14" s="18">
        <v>0</v>
      </c>
      <c r="X14" s="18">
        <v>0</v>
      </c>
      <c r="Y14" s="18">
        <v>0</v>
      </c>
      <c r="Z14" s="18">
        <v>0.13300000000000001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8.0000000000000002E-3</v>
      </c>
      <c r="AI14" s="18">
        <v>0</v>
      </c>
      <c r="AJ14" s="18">
        <v>0</v>
      </c>
      <c r="AK14" s="18">
        <v>0</v>
      </c>
      <c r="AL14" s="18">
        <v>3.9E-2</v>
      </c>
      <c r="AM14" s="18">
        <v>0</v>
      </c>
      <c r="AN14" s="18">
        <v>0</v>
      </c>
      <c r="AO14" s="18">
        <v>0</v>
      </c>
      <c r="AP14" s="18">
        <v>3.6999999999999998E-2</v>
      </c>
      <c r="AQ14" s="18">
        <v>0</v>
      </c>
      <c r="AR14" s="18">
        <v>0</v>
      </c>
      <c r="AS14" s="18">
        <v>0</v>
      </c>
      <c r="AT14" s="18">
        <v>0</v>
      </c>
      <c r="AU14" s="18">
        <v>4.3999999999999997E-2</v>
      </c>
      <c r="AV14" s="18">
        <v>0</v>
      </c>
    </row>
    <row r="15" spans="1:48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</row>
    <row r="16" spans="1:48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5.5E-2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8.0000000000000002E-3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</row>
    <row r="17" spans="1:48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</row>
    <row r="18" spans="1:48" x14ac:dyDescent="0.25">
      <c r="A18" s="8">
        <v>14</v>
      </c>
      <c r="B18" s="8">
        <v>6.5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0.71099999999999997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1.27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</row>
    <row r="19" spans="1:48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0.20599999999999999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0.90200000000000002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</row>
    <row r="20" spans="1:48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0.69899999999999995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0.71199999999999997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</row>
    <row r="21" spans="1:48" x14ac:dyDescent="0.25">
      <c r="A21" s="8">
        <v>17</v>
      </c>
      <c r="B21" s="8">
        <v>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0.3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</row>
    <row r="22" spans="1:48" x14ac:dyDescent="0.25">
      <c r="A22" s="8">
        <v>18</v>
      </c>
      <c r="B22" s="8">
        <v>8.5</v>
      </c>
      <c r="C22" s="18">
        <v>0.435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0.33300000000000002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</row>
    <row r="23" spans="1:48" x14ac:dyDescent="0.25">
      <c r="A23" s="8">
        <v>19</v>
      </c>
      <c r="B23" s="8">
        <v>9</v>
      </c>
      <c r="C23" s="18">
        <v>0.29899999999999999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8.8999999999999996E-2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0.28499999999999998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</row>
    <row r="24" spans="1:48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0.53300000000000003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</row>
    <row r="25" spans="1:48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1.4379999999999999</v>
      </c>
      <c r="AL25" s="18">
        <v>0</v>
      </c>
      <c r="AM25" s="18">
        <v>0</v>
      </c>
      <c r="AN25" s="18">
        <v>0</v>
      </c>
      <c r="AO25" s="18">
        <v>0</v>
      </c>
      <c r="AP25" s="18">
        <v>0.27800000000000002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</row>
    <row r="26" spans="1:48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0.36299999999999999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</row>
    <row r="27" spans="1:48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</row>
    <row r="28" spans="1:48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0.64500000000000002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</row>
    <row r="29" spans="1:48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</row>
    <row r="30" spans="1:48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</row>
    <row r="31" spans="1:48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</row>
    <row r="32" spans="1:48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</row>
    <row r="33" spans="1:48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</row>
    <row r="34" spans="1:48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0.26200000000000001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</row>
    <row r="35" spans="1:48" x14ac:dyDescent="0.25">
      <c r="A35" s="8">
        <v>31</v>
      </c>
      <c r="B35" s="8">
        <v>15</v>
      </c>
      <c r="C35" s="18">
        <v>0</v>
      </c>
      <c r="D35" s="18">
        <v>0.439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</row>
    <row r="36" spans="1:48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</row>
    <row r="37" spans="1:48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0.311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</row>
    <row r="38" spans="1:48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0.19400000000000001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</row>
    <row r="39" spans="1:48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1.1439999999999999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0.29199999999999998</v>
      </c>
      <c r="AT39" s="18">
        <v>0</v>
      </c>
      <c r="AU39" s="18">
        <v>0</v>
      </c>
      <c r="AV39" s="18">
        <v>0</v>
      </c>
    </row>
    <row r="40" spans="1:48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2.331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0.68400000000000005</v>
      </c>
      <c r="AJ40" s="18">
        <v>2.137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1.264</v>
      </c>
      <c r="AQ40" s="18">
        <v>0</v>
      </c>
      <c r="AR40" s="18">
        <v>7.4999999999999997E-2</v>
      </c>
      <c r="AS40" s="18">
        <v>0</v>
      </c>
      <c r="AT40" s="18">
        <v>0</v>
      </c>
      <c r="AU40" s="18">
        <v>0</v>
      </c>
      <c r="AV40" s="18">
        <v>0</v>
      </c>
    </row>
    <row r="41" spans="1:48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2.0459999999999998</v>
      </c>
      <c r="K41" s="18">
        <v>0</v>
      </c>
      <c r="L41" s="18">
        <v>0</v>
      </c>
      <c r="M41" s="18">
        <v>0.39800000000000002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7.0000000000000007E-2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0.44</v>
      </c>
      <c r="AJ41" s="18">
        <v>3.2709999999999999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1.0449999999999999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</row>
    <row r="42" spans="1:48" x14ac:dyDescent="0.25">
      <c r="A42" s="8">
        <v>38</v>
      </c>
      <c r="B42" s="8">
        <v>18.5</v>
      </c>
      <c r="C42" s="18">
        <v>0</v>
      </c>
      <c r="D42" s="18">
        <v>1.9790000000000001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0.40500000000000003</v>
      </c>
      <c r="T42" s="18">
        <v>0</v>
      </c>
      <c r="U42" s="18">
        <v>0</v>
      </c>
      <c r="V42" s="18">
        <v>0.122</v>
      </c>
      <c r="W42" s="18">
        <v>0</v>
      </c>
      <c r="X42" s="18">
        <v>0</v>
      </c>
      <c r="Y42" s="18">
        <v>0</v>
      </c>
      <c r="Z42" s="18">
        <v>0.23599999999999999</v>
      </c>
      <c r="AA42" s="18">
        <v>0</v>
      </c>
      <c r="AB42" s="18">
        <v>0</v>
      </c>
      <c r="AC42" s="18">
        <v>0.67900000000000005</v>
      </c>
      <c r="AD42" s="18">
        <v>8.0000000000000002E-3</v>
      </c>
      <c r="AE42" s="18">
        <v>0</v>
      </c>
      <c r="AF42" s="18">
        <v>0</v>
      </c>
      <c r="AG42" s="18">
        <v>0</v>
      </c>
      <c r="AH42" s="18">
        <v>5.0999999999999997E-2</v>
      </c>
      <c r="AI42" s="18">
        <v>2.5529999999999999</v>
      </c>
      <c r="AJ42" s="18">
        <v>4.2000000000000003E-2</v>
      </c>
      <c r="AK42" s="18">
        <v>1.804</v>
      </c>
      <c r="AL42" s="18">
        <v>0.152</v>
      </c>
      <c r="AM42" s="18">
        <v>0</v>
      </c>
      <c r="AN42" s="18">
        <v>0</v>
      </c>
      <c r="AO42" s="18">
        <v>0</v>
      </c>
      <c r="AP42" s="18">
        <v>0.42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</row>
    <row r="43" spans="1:48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0.67600000000000005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0.42299999999999999</v>
      </c>
      <c r="P43" s="18">
        <v>0</v>
      </c>
      <c r="Q43" s="18">
        <v>0</v>
      </c>
      <c r="R43" s="18">
        <v>0.46</v>
      </c>
      <c r="S43" s="18">
        <v>0.19700000000000001</v>
      </c>
      <c r="T43" s="18">
        <v>0.17499999999999999</v>
      </c>
      <c r="U43" s="18">
        <v>0</v>
      </c>
      <c r="V43" s="18">
        <v>0</v>
      </c>
      <c r="W43" s="18">
        <v>0</v>
      </c>
      <c r="X43" s="18">
        <v>0.09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0.374</v>
      </c>
      <c r="AG43" s="18">
        <v>0</v>
      </c>
      <c r="AH43" s="18">
        <v>0</v>
      </c>
      <c r="AI43" s="18">
        <v>0.17899999999999999</v>
      </c>
      <c r="AJ43" s="18">
        <v>0</v>
      </c>
      <c r="AK43" s="18">
        <v>1.575</v>
      </c>
      <c r="AL43" s="18">
        <v>0</v>
      </c>
      <c r="AM43" s="18">
        <v>1.6140000000000001</v>
      </c>
      <c r="AN43" s="18">
        <v>0</v>
      </c>
      <c r="AO43" s="18">
        <v>0</v>
      </c>
      <c r="AP43" s="18">
        <v>0.154</v>
      </c>
      <c r="AQ43" s="18">
        <v>0</v>
      </c>
      <c r="AR43" s="18">
        <v>0</v>
      </c>
      <c r="AS43" s="18">
        <v>9.2999999999999999E-2</v>
      </c>
      <c r="AT43" s="18">
        <v>0</v>
      </c>
      <c r="AU43" s="18">
        <v>0</v>
      </c>
      <c r="AV43" s="18">
        <v>1.9E-2</v>
      </c>
    </row>
    <row r="44" spans="1:48" x14ac:dyDescent="0.25">
      <c r="A44" s="8">
        <v>40</v>
      </c>
      <c r="B44" s="8">
        <v>19.5</v>
      </c>
      <c r="C44" s="18">
        <v>0.16800000000000001</v>
      </c>
      <c r="D44" s="18">
        <v>0.36299999999999999</v>
      </c>
      <c r="E44" s="18">
        <v>0.28799999999999998</v>
      </c>
      <c r="F44" s="18">
        <v>0</v>
      </c>
      <c r="G44" s="18">
        <v>0.105</v>
      </c>
      <c r="H44" s="18">
        <v>0.3</v>
      </c>
      <c r="I44" s="18">
        <v>0.252</v>
      </c>
      <c r="J44" s="18">
        <v>0.14899999999999999</v>
      </c>
      <c r="K44" s="18">
        <v>0.46400000000000002</v>
      </c>
      <c r="L44" s="18">
        <v>0</v>
      </c>
      <c r="M44" s="18">
        <v>0.36599999999999999</v>
      </c>
      <c r="N44" s="18">
        <v>5.8000000000000003E-2</v>
      </c>
      <c r="O44" s="18">
        <v>0.26700000000000002</v>
      </c>
      <c r="P44" s="18">
        <v>9.2999999999999999E-2</v>
      </c>
      <c r="Q44" s="18">
        <v>0.35</v>
      </c>
      <c r="R44" s="18">
        <v>0.374</v>
      </c>
      <c r="S44" s="18">
        <v>0.34300000000000003</v>
      </c>
      <c r="T44" s="18">
        <v>0.34699999999999998</v>
      </c>
      <c r="U44" s="18">
        <v>0.23200000000000001</v>
      </c>
      <c r="V44" s="18">
        <v>0.35199999999999998</v>
      </c>
      <c r="W44" s="18">
        <v>0.28199999999999997</v>
      </c>
      <c r="X44" s="18">
        <v>0.185</v>
      </c>
      <c r="Y44" s="18">
        <v>0.57299999999999995</v>
      </c>
      <c r="Z44" s="18">
        <v>0.32800000000000001</v>
      </c>
      <c r="AA44" s="18">
        <v>0</v>
      </c>
      <c r="AB44" s="18">
        <v>1.256</v>
      </c>
      <c r="AC44" s="18">
        <v>0.35399999999999998</v>
      </c>
      <c r="AD44" s="18">
        <v>0.63600000000000001</v>
      </c>
      <c r="AE44" s="18">
        <v>0.52800000000000002</v>
      </c>
      <c r="AF44" s="18">
        <v>0.93600000000000005</v>
      </c>
      <c r="AG44" s="18">
        <v>0.01</v>
      </c>
      <c r="AH44" s="18">
        <v>0.317</v>
      </c>
      <c r="AI44" s="18">
        <v>0.72799999999999998</v>
      </c>
      <c r="AJ44" s="18">
        <v>0.29099999999999998</v>
      </c>
      <c r="AK44" s="18">
        <v>2.226</v>
      </c>
      <c r="AL44" s="18">
        <v>0.16200000000000001</v>
      </c>
      <c r="AM44" s="18">
        <v>0.309</v>
      </c>
      <c r="AN44" s="18">
        <v>0.22500000000000001</v>
      </c>
      <c r="AO44" s="18">
        <v>6.7000000000000004E-2</v>
      </c>
      <c r="AP44" s="18">
        <v>0.55200000000000005</v>
      </c>
      <c r="AQ44" s="18">
        <v>0.17299999999999999</v>
      </c>
      <c r="AR44" s="18">
        <v>0.28199999999999997</v>
      </c>
      <c r="AS44" s="18">
        <v>0.14699999999999999</v>
      </c>
      <c r="AT44" s="18">
        <v>0.44400000000000001</v>
      </c>
      <c r="AU44" s="18">
        <v>0.21199999999999999</v>
      </c>
      <c r="AV44" s="18">
        <v>0</v>
      </c>
    </row>
    <row r="45" spans="1:48" x14ac:dyDescent="0.25">
      <c r="A45" s="8">
        <v>41</v>
      </c>
      <c r="B45" s="8">
        <v>20</v>
      </c>
      <c r="C45" s="18">
        <v>0.28999999999999998</v>
      </c>
      <c r="D45" s="18">
        <v>0.28799999999999998</v>
      </c>
      <c r="E45" s="18">
        <v>0.34899999999999998</v>
      </c>
      <c r="F45" s="18">
        <v>0.42799999999999999</v>
      </c>
      <c r="G45" s="18">
        <v>0.127</v>
      </c>
      <c r="H45" s="18">
        <v>0.33900000000000002</v>
      </c>
      <c r="I45" s="18">
        <v>0.191</v>
      </c>
      <c r="J45" s="18">
        <v>0.99399999999999999</v>
      </c>
      <c r="K45" s="18">
        <v>0.96399999999999997</v>
      </c>
      <c r="L45" s="18">
        <v>0.26700000000000002</v>
      </c>
      <c r="M45" s="18">
        <v>0.70499999999999996</v>
      </c>
      <c r="N45" s="18">
        <v>0.2</v>
      </c>
      <c r="O45" s="18">
        <v>0.38800000000000001</v>
      </c>
      <c r="P45" s="18">
        <v>0.14000000000000001</v>
      </c>
      <c r="Q45" s="18">
        <v>0.58399999999999996</v>
      </c>
      <c r="R45" s="18">
        <v>0.89100000000000001</v>
      </c>
      <c r="S45" s="18">
        <v>0.372</v>
      </c>
      <c r="T45" s="18">
        <v>0.371</v>
      </c>
      <c r="U45" s="18">
        <v>0.73799999999999999</v>
      </c>
      <c r="V45" s="18">
        <v>0.58899999999999997</v>
      </c>
      <c r="W45" s="18">
        <v>0.59599999999999997</v>
      </c>
      <c r="X45" s="18">
        <v>0.19500000000000001</v>
      </c>
      <c r="Y45" s="18">
        <v>0.53100000000000003</v>
      </c>
      <c r="Z45" s="18">
        <v>0.45700000000000002</v>
      </c>
      <c r="AA45" s="18">
        <v>8.5000000000000006E-2</v>
      </c>
      <c r="AB45" s="18">
        <v>0.55000000000000004</v>
      </c>
      <c r="AC45" s="18">
        <v>0.53200000000000003</v>
      </c>
      <c r="AD45" s="18">
        <v>0.66300000000000003</v>
      </c>
      <c r="AE45" s="18">
        <v>0.42099999999999999</v>
      </c>
      <c r="AF45" s="18">
        <v>0.96499999999999997</v>
      </c>
      <c r="AG45" s="18">
        <v>5.6000000000000001E-2</v>
      </c>
      <c r="AH45" s="18">
        <v>0.28000000000000003</v>
      </c>
      <c r="AI45" s="18">
        <v>0.752</v>
      </c>
      <c r="AJ45" s="18">
        <v>0.66600000000000004</v>
      </c>
      <c r="AK45" s="18">
        <v>0.84099999999999997</v>
      </c>
      <c r="AL45" s="18">
        <v>8.8999999999999996E-2</v>
      </c>
      <c r="AM45" s="18">
        <v>0.52400000000000002</v>
      </c>
      <c r="AN45" s="18">
        <v>0.51500000000000001</v>
      </c>
      <c r="AO45" s="18">
        <v>3.5999999999999997E-2</v>
      </c>
      <c r="AP45" s="18">
        <v>0.44600000000000001</v>
      </c>
      <c r="AQ45" s="18">
        <v>0.111</v>
      </c>
      <c r="AR45" s="18">
        <v>0.159</v>
      </c>
      <c r="AS45" s="18">
        <v>0.749</v>
      </c>
      <c r="AT45" s="18">
        <v>0.27400000000000002</v>
      </c>
      <c r="AU45" s="18">
        <v>2.258</v>
      </c>
      <c r="AV45" s="18">
        <v>3.6999999999999998E-2</v>
      </c>
    </row>
    <row r="46" spans="1:48" x14ac:dyDescent="0.25">
      <c r="A46" s="8">
        <v>42</v>
      </c>
      <c r="B46" s="8">
        <v>20.5</v>
      </c>
      <c r="C46" s="18">
        <v>0.30599999999999999</v>
      </c>
      <c r="D46" s="18">
        <v>0.41</v>
      </c>
      <c r="E46" s="18">
        <v>0.57699999999999996</v>
      </c>
      <c r="F46" s="18">
        <v>0.247</v>
      </c>
      <c r="G46" s="18">
        <v>5.5E-2</v>
      </c>
      <c r="H46" s="18">
        <v>0.39100000000000001</v>
      </c>
      <c r="I46" s="18">
        <v>0.13700000000000001</v>
      </c>
      <c r="J46" s="18">
        <v>0.61199999999999999</v>
      </c>
      <c r="K46" s="18">
        <v>0.91400000000000003</v>
      </c>
      <c r="L46" s="18">
        <v>0.43099999999999999</v>
      </c>
      <c r="M46" s="18">
        <v>0.78700000000000003</v>
      </c>
      <c r="N46" s="18">
        <v>9.1999999999999998E-2</v>
      </c>
      <c r="O46" s="18">
        <v>0.45600000000000002</v>
      </c>
      <c r="P46" s="18">
        <v>0.10199999999999999</v>
      </c>
      <c r="Q46" s="18">
        <v>0.47499999999999998</v>
      </c>
      <c r="R46" s="18">
        <v>0.39</v>
      </c>
      <c r="S46" s="18">
        <v>0.69099999999999995</v>
      </c>
      <c r="T46" s="18">
        <v>0.39100000000000001</v>
      </c>
      <c r="U46" s="18">
        <v>0.82199999999999995</v>
      </c>
      <c r="V46" s="18">
        <v>0.94099999999999995</v>
      </c>
      <c r="W46" s="18">
        <v>0.84899999999999998</v>
      </c>
      <c r="X46" s="18">
        <v>0.193</v>
      </c>
      <c r="Y46" s="18">
        <v>0.51900000000000002</v>
      </c>
      <c r="Z46" s="18">
        <v>0.746</v>
      </c>
      <c r="AA46" s="18">
        <v>5.0999999999999997E-2</v>
      </c>
      <c r="AB46" s="18">
        <v>0.442</v>
      </c>
      <c r="AC46" s="18">
        <v>0.27200000000000002</v>
      </c>
      <c r="AD46" s="18">
        <v>0.65100000000000002</v>
      </c>
      <c r="AE46" s="18">
        <v>0.52700000000000002</v>
      </c>
      <c r="AF46" s="18">
        <v>0.45700000000000002</v>
      </c>
      <c r="AG46" s="18">
        <v>0.27700000000000002</v>
      </c>
      <c r="AH46" s="18">
        <v>4.1000000000000002E-2</v>
      </c>
      <c r="AI46" s="18">
        <v>1.0229999999999999</v>
      </c>
      <c r="AJ46" s="18">
        <v>0.505</v>
      </c>
      <c r="AK46" s="18">
        <v>0.72499999999999998</v>
      </c>
      <c r="AL46" s="18">
        <v>0.22900000000000001</v>
      </c>
      <c r="AM46" s="18">
        <v>0.50700000000000001</v>
      </c>
      <c r="AN46" s="18">
        <v>0.78100000000000003</v>
      </c>
      <c r="AO46" s="18">
        <v>4.2999999999999997E-2</v>
      </c>
      <c r="AP46" s="18">
        <v>0.67600000000000005</v>
      </c>
      <c r="AQ46" s="18">
        <v>8.3000000000000004E-2</v>
      </c>
      <c r="AR46" s="18">
        <v>0.52700000000000002</v>
      </c>
      <c r="AS46" s="18">
        <v>0.88400000000000001</v>
      </c>
      <c r="AT46" s="18">
        <v>0.25800000000000001</v>
      </c>
      <c r="AU46" s="18">
        <v>0.47199999999999998</v>
      </c>
      <c r="AV46" s="18">
        <v>0.245</v>
      </c>
    </row>
    <row r="47" spans="1:48" x14ac:dyDescent="0.25">
      <c r="A47" s="8">
        <v>43</v>
      </c>
      <c r="B47" s="8">
        <v>21</v>
      </c>
      <c r="C47" s="18">
        <v>0.18099999999999999</v>
      </c>
      <c r="D47" s="18">
        <v>0.36899999999999999</v>
      </c>
      <c r="E47" s="18">
        <v>0.70399999999999996</v>
      </c>
      <c r="F47" s="18">
        <v>0.63300000000000001</v>
      </c>
      <c r="G47" s="18">
        <v>5.5E-2</v>
      </c>
      <c r="H47" s="18">
        <v>3.5000000000000003E-2</v>
      </c>
      <c r="I47" s="18">
        <v>0.114</v>
      </c>
      <c r="J47" s="18">
        <v>0</v>
      </c>
      <c r="K47" s="18">
        <v>0.78500000000000003</v>
      </c>
      <c r="L47" s="18">
        <v>0.112</v>
      </c>
      <c r="M47" s="18">
        <v>0.78900000000000003</v>
      </c>
      <c r="N47" s="18">
        <v>0.23200000000000001</v>
      </c>
      <c r="O47" s="18">
        <v>0.436</v>
      </c>
      <c r="P47" s="18">
        <v>0.23</v>
      </c>
      <c r="Q47" s="18">
        <v>0.68100000000000005</v>
      </c>
      <c r="R47" s="18">
        <v>0.53100000000000003</v>
      </c>
      <c r="S47" s="18">
        <v>0.41</v>
      </c>
      <c r="T47" s="18">
        <v>0.499</v>
      </c>
      <c r="U47" s="18">
        <v>0.84199999999999997</v>
      </c>
      <c r="V47" s="18">
        <v>1.5349999999999999</v>
      </c>
      <c r="W47" s="18">
        <v>0.79300000000000004</v>
      </c>
      <c r="X47" s="18">
        <v>0.45400000000000001</v>
      </c>
      <c r="Y47" s="18">
        <v>0.56999999999999995</v>
      </c>
      <c r="Z47" s="18">
        <v>0.69799999999999995</v>
      </c>
      <c r="AA47" s="18">
        <v>0.10299999999999999</v>
      </c>
      <c r="AB47" s="18">
        <v>0.4</v>
      </c>
      <c r="AC47" s="18">
        <v>1.35</v>
      </c>
      <c r="AD47" s="18">
        <v>0.72399999999999998</v>
      </c>
      <c r="AE47" s="18">
        <v>0.57499999999999996</v>
      </c>
      <c r="AF47" s="18">
        <v>0.55800000000000005</v>
      </c>
      <c r="AG47" s="18">
        <v>5.3999999999999999E-2</v>
      </c>
      <c r="AH47" s="18">
        <v>0.21199999999999999</v>
      </c>
      <c r="AI47" s="18">
        <v>0.80500000000000005</v>
      </c>
      <c r="AJ47" s="18">
        <v>0.35099999999999998</v>
      </c>
      <c r="AK47" s="18">
        <v>0</v>
      </c>
      <c r="AL47" s="18">
        <v>0.13900000000000001</v>
      </c>
      <c r="AM47" s="18">
        <v>0.57099999999999995</v>
      </c>
      <c r="AN47" s="18">
        <v>0.441</v>
      </c>
      <c r="AO47" s="18">
        <v>0.17100000000000001</v>
      </c>
      <c r="AP47" s="18">
        <v>1.3819999999999999</v>
      </c>
      <c r="AQ47" s="18">
        <v>4.2000000000000003E-2</v>
      </c>
      <c r="AR47" s="18">
        <v>0.31</v>
      </c>
      <c r="AS47" s="18">
        <v>0.75</v>
      </c>
      <c r="AT47" s="18">
        <v>0.10299999999999999</v>
      </c>
      <c r="AU47" s="18">
        <v>0.47899999999999998</v>
      </c>
      <c r="AV47" s="18">
        <v>0.2</v>
      </c>
    </row>
    <row r="48" spans="1:48" x14ac:dyDescent="0.25">
      <c r="A48" s="8">
        <v>44</v>
      </c>
      <c r="B48" s="8">
        <v>21.5</v>
      </c>
      <c r="C48" s="18">
        <v>0.53800000000000003</v>
      </c>
      <c r="D48" s="18">
        <v>0.27100000000000002</v>
      </c>
      <c r="E48" s="18">
        <v>0.378</v>
      </c>
      <c r="F48" s="18">
        <v>0.27300000000000002</v>
      </c>
      <c r="G48" s="18">
        <v>5.5E-2</v>
      </c>
      <c r="H48" s="18">
        <v>0.115</v>
      </c>
      <c r="I48" s="18">
        <v>0.127</v>
      </c>
      <c r="J48" s="18">
        <v>0</v>
      </c>
      <c r="K48" s="18">
        <v>0.77600000000000002</v>
      </c>
      <c r="L48" s="18">
        <v>0.159</v>
      </c>
      <c r="M48" s="18">
        <v>0.874</v>
      </c>
      <c r="N48" s="18">
        <v>0.193</v>
      </c>
      <c r="O48" s="18">
        <v>0.36099999999999999</v>
      </c>
      <c r="P48" s="18">
        <v>7.8E-2</v>
      </c>
      <c r="Q48" s="18">
        <v>0.82899999999999996</v>
      </c>
      <c r="R48" s="18">
        <v>0.59699999999999998</v>
      </c>
      <c r="S48" s="18">
        <v>0.99199999999999999</v>
      </c>
      <c r="T48" s="18">
        <v>0.32800000000000001</v>
      </c>
      <c r="U48" s="18">
        <v>0.82199999999999995</v>
      </c>
      <c r="V48" s="18">
        <v>0.78100000000000003</v>
      </c>
      <c r="W48" s="18">
        <v>0.73199999999999998</v>
      </c>
      <c r="X48" s="18">
        <v>0.183</v>
      </c>
      <c r="Y48" s="18">
        <v>0.377</v>
      </c>
      <c r="Z48" s="18">
        <v>0.373</v>
      </c>
      <c r="AA48" s="18">
        <v>0.128</v>
      </c>
      <c r="AB48" s="18">
        <v>0.85699999999999998</v>
      </c>
      <c r="AC48" s="18">
        <v>0.505</v>
      </c>
      <c r="AD48" s="18">
        <v>0.56599999999999995</v>
      </c>
      <c r="AE48" s="18">
        <v>0.441</v>
      </c>
      <c r="AF48" s="18">
        <v>0.62</v>
      </c>
      <c r="AG48" s="18">
        <v>0.29799999999999999</v>
      </c>
      <c r="AH48" s="18">
        <v>0.24399999999999999</v>
      </c>
      <c r="AI48" s="18">
        <v>0</v>
      </c>
      <c r="AJ48" s="18">
        <v>0</v>
      </c>
      <c r="AK48" s="18">
        <v>0</v>
      </c>
      <c r="AL48" s="18">
        <v>9.6000000000000002E-2</v>
      </c>
      <c r="AM48" s="18">
        <v>0.89200000000000002</v>
      </c>
      <c r="AN48" s="18">
        <v>0.95399999999999996</v>
      </c>
      <c r="AO48" s="18">
        <v>4.2999999999999997E-2</v>
      </c>
      <c r="AP48" s="18">
        <v>0.85399999999999998</v>
      </c>
      <c r="AQ48" s="18">
        <v>0.17199999999999999</v>
      </c>
      <c r="AR48" s="18">
        <v>0.64600000000000002</v>
      </c>
      <c r="AS48" s="18">
        <v>0.85399999999999998</v>
      </c>
      <c r="AT48" s="18">
        <v>0.16500000000000001</v>
      </c>
      <c r="AU48" s="18">
        <v>0.3</v>
      </c>
      <c r="AV48" s="18">
        <v>0.19600000000000001</v>
      </c>
    </row>
    <row r="49" spans="1:48" x14ac:dyDescent="0.25">
      <c r="A49" s="8">
        <v>45</v>
      </c>
      <c r="B49" s="8">
        <v>22</v>
      </c>
      <c r="C49" s="18">
        <v>0.58699999999999997</v>
      </c>
      <c r="D49" s="18">
        <v>0.17899999999999999</v>
      </c>
      <c r="E49" s="18">
        <v>0.57299999999999995</v>
      </c>
      <c r="F49" s="18">
        <v>0.51800000000000002</v>
      </c>
      <c r="G49" s="18">
        <v>5.5E-2</v>
      </c>
      <c r="H49" s="18">
        <v>0.45300000000000001</v>
      </c>
      <c r="I49" s="18">
        <v>0.20799999999999999</v>
      </c>
      <c r="J49" s="18">
        <v>0</v>
      </c>
      <c r="K49" s="18">
        <v>0.79100000000000004</v>
      </c>
      <c r="L49" s="18">
        <v>0.17399999999999999</v>
      </c>
      <c r="M49" s="18">
        <v>0.56799999999999995</v>
      </c>
      <c r="N49" s="18">
        <v>7.5999999999999998E-2</v>
      </c>
      <c r="O49" s="18">
        <v>0.60199999999999998</v>
      </c>
      <c r="P49" s="18">
        <v>0.29199999999999998</v>
      </c>
      <c r="Q49" s="18">
        <v>0.83599999999999997</v>
      </c>
      <c r="R49" s="18">
        <v>0.42599999999999999</v>
      </c>
      <c r="S49" s="18">
        <v>0.55100000000000005</v>
      </c>
      <c r="T49" s="18">
        <v>0.23200000000000001</v>
      </c>
      <c r="U49" s="18">
        <v>0.73</v>
      </c>
      <c r="V49" s="18">
        <v>1.506</v>
      </c>
      <c r="W49" s="18">
        <v>1.5209999999999999</v>
      </c>
      <c r="X49" s="18">
        <v>0.53</v>
      </c>
      <c r="Y49" s="18">
        <v>0.33500000000000002</v>
      </c>
      <c r="Z49" s="18">
        <v>0.57399999999999995</v>
      </c>
      <c r="AA49" s="18">
        <v>4.3999999999999997E-2</v>
      </c>
      <c r="AB49" s="18">
        <v>0.36699999999999999</v>
      </c>
      <c r="AC49" s="18">
        <v>0.59499999999999997</v>
      </c>
      <c r="AD49" s="18">
        <v>0.42799999999999999</v>
      </c>
      <c r="AE49" s="18">
        <v>0.159</v>
      </c>
      <c r="AF49" s="18">
        <v>0.94699999999999995</v>
      </c>
      <c r="AG49" s="18">
        <v>5.3999999999999999E-2</v>
      </c>
      <c r="AH49" s="18">
        <v>0.10199999999999999</v>
      </c>
      <c r="AI49" s="18">
        <v>0</v>
      </c>
      <c r="AJ49" s="18">
        <v>0</v>
      </c>
      <c r="AK49" s="18">
        <v>0</v>
      </c>
      <c r="AL49" s="18">
        <v>0.51200000000000001</v>
      </c>
      <c r="AM49" s="18">
        <v>0.91500000000000004</v>
      </c>
      <c r="AN49" s="18">
        <v>0.51200000000000001</v>
      </c>
      <c r="AO49" s="18">
        <v>4.2999999999999997E-2</v>
      </c>
      <c r="AP49" s="18">
        <v>0.38</v>
      </c>
      <c r="AQ49" s="18">
        <v>4.2000000000000003E-2</v>
      </c>
      <c r="AR49" s="18">
        <v>0.52600000000000002</v>
      </c>
      <c r="AS49" s="18">
        <v>0.68</v>
      </c>
      <c r="AT49" s="18">
        <v>0.112</v>
      </c>
      <c r="AU49" s="18">
        <v>0.54700000000000004</v>
      </c>
      <c r="AV49" s="18">
        <v>0.248</v>
      </c>
    </row>
    <row r="50" spans="1:48" x14ac:dyDescent="0.25">
      <c r="A50" s="8">
        <v>46</v>
      </c>
      <c r="B50" s="8">
        <v>22.5</v>
      </c>
      <c r="C50" s="18">
        <v>0.48599999999999999</v>
      </c>
      <c r="D50" s="18">
        <v>0.42799999999999999</v>
      </c>
      <c r="E50" s="18">
        <v>0.16700000000000001</v>
      </c>
      <c r="F50" s="18">
        <v>0.58199999999999996</v>
      </c>
      <c r="G50" s="18">
        <v>5.5E-2</v>
      </c>
      <c r="H50" s="18">
        <v>0.159</v>
      </c>
      <c r="I50" s="18">
        <v>0.114</v>
      </c>
      <c r="J50" s="18">
        <v>0</v>
      </c>
      <c r="K50" s="18">
        <v>0.68700000000000006</v>
      </c>
      <c r="L50" s="18">
        <v>7.1999999999999995E-2</v>
      </c>
      <c r="M50" s="18">
        <v>0.94199999999999995</v>
      </c>
      <c r="N50" s="18">
        <v>0.28199999999999997</v>
      </c>
      <c r="O50" s="18">
        <v>0.40300000000000002</v>
      </c>
      <c r="P50" s="18">
        <v>0.495</v>
      </c>
      <c r="Q50" s="18">
        <v>0.61799999999999999</v>
      </c>
      <c r="R50" s="18">
        <v>1.099</v>
      </c>
      <c r="S50" s="18">
        <v>0.81799999999999995</v>
      </c>
      <c r="T50" s="18">
        <v>9.7000000000000003E-2</v>
      </c>
      <c r="U50" s="18">
        <v>0.77100000000000002</v>
      </c>
      <c r="V50" s="18">
        <v>0.76200000000000001</v>
      </c>
      <c r="W50" s="18">
        <v>1.5649999999999999</v>
      </c>
      <c r="X50" s="18">
        <v>0.39900000000000002</v>
      </c>
      <c r="Y50" s="18">
        <v>5.2999999999999999E-2</v>
      </c>
      <c r="Z50" s="18">
        <v>9.8000000000000004E-2</v>
      </c>
      <c r="AA50" s="18">
        <v>4.3999999999999997E-2</v>
      </c>
      <c r="AB50" s="18">
        <v>0.222</v>
      </c>
      <c r="AC50" s="18">
        <v>1.548</v>
      </c>
      <c r="AD50" s="18">
        <v>0.39800000000000002</v>
      </c>
      <c r="AE50" s="18">
        <v>0.03</v>
      </c>
      <c r="AF50" s="18">
        <v>0.72</v>
      </c>
      <c r="AG50" s="18">
        <v>0.19</v>
      </c>
      <c r="AH50" s="18">
        <v>7.3999999999999996E-2</v>
      </c>
      <c r="AI50" s="18">
        <v>0</v>
      </c>
      <c r="AJ50" s="18">
        <v>0</v>
      </c>
      <c r="AK50" s="18">
        <v>0</v>
      </c>
      <c r="AL50" s="18">
        <v>1.1950000000000001</v>
      </c>
      <c r="AM50" s="18">
        <v>1.016</v>
      </c>
      <c r="AN50" s="18">
        <v>0.34399999999999997</v>
      </c>
      <c r="AO50" s="18">
        <v>0.17100000000000001</v>
      </c>
      <c r="AP50" s="18">
        <v>0</v>
      </c>
      <c r="AQ50" s="18">
        <v>0.10100000000000001</v>
      </c>
      <c r="AR50" s="18">
        <v>0.69399999999999995</v>
      </c>
      <c r="AS50" s="18">
        <v>0.83899999999999997</v>
      </c>
      <c r="AT50" s="18">
        <v>0.27900000000000003</v>
      </c>
      <c r="AU50" s="18">
        <v>0.81200000000000006</v>
      </c>
      <c r="AV50" s="18">
        <v>0.13100000000000001</v>
      </c>
    </row>
    <row r="51" spans="1:48" x14ac:dyDescent="0.25">
      <c r="A51" s="8">
        <v>47</v>
      </c>
      <c r="B51" s="8">
        <v>23</v>
      </c>
      <c r="C51" s="18">
        <v>0.65300000000000002</v>
      </c>
      <c r="D51" s="18">
        <v>0.38</v>
      </c>
      <c r="E51" s="18">
        <v>0.155</v>
      </c>
      <c r="F51" s="18">
        <v>0.71099999999999997</v>
      </c>
      <c r="G51" s="18">
        <v>5.5E-2</v>
      </c>
      <c r="H51" s="18">
        <v>0.13900000000000001</v>
      </c>
      <c r="I51" s="18">
        <v>0.127</v>
      </c>
      <c r="J51" s="18">
        <v>0</v>
      </c>
      <c r="K51" s="18">
        <v>6.3E-2</v>
      </c>
      <c r="L51" s="18">
        <v>0.24199999999999999</v>
      </c>
      <c r="M51" s="18">
        <v>0.60699999999999998</v>
      </c>
      <c r="N51" s="18">
        <v>0.14199999999999999</v>
      </c>
      <c r="O51" s="18">
        <v>0.22</v>
      </c>
      <c r="P51" s="18">
        <v>9.0999999999999998E-2</v>
      </c>
      <c r="Q51" s="18">
        <v>0.46300000000000002</v>
      </c>
      <c r="R51" s="18">
        <v>0.47199999999999998</v>
      </c>
      <c r="S51" s="18">
        <v>0.66400000000000003</v>
      </c>
      <c r="T51" s="18">
        <v>0.224</v>
      </c>
      <c r="U51" s="18">
        <v>0.92</v>
      </c>
      <c r="V51" s="18">
        <v>0.70599999999999996</v>
      </c>
      <c r="W51" s="18">
        <v>0.83399999999999996</v>
      </c>
      <c r="X51" s="18">
        <v>0.24</v>
      </c>
      <c r="Y51" s="18">
        <v>0.16200000000000001</v>
      </c>
      <c r="Z51" s="18">
        <v>0.307</v>
      </c>
      <c r="AA51" s="18">
        <v>0.127</v>
      </c>
      <c r="AB51" s="18">
        <v>0.19400000000000001</v>
      </c>
      <c r="AC51" s="18">
        <v>0.76100000000000001</v>
      </c>
      <c r="AD51" s="18">
        <v>0.70299999999999996</v>
      </c>
      <c r="AE51" s="18">
        <v>0.159</v>
      </c>
      <c r="AF51" s="18">
        <v>0.56200000000000006</v>
      </c>
      <c r="AG51" s="18">
        <v>0.16200000000000001</v>
      </c>
      <c r="AH51" s="18">
        <v>0.14699999999999999</v>
      </c>
      <c r="AI51" s="18">
        <v>0</v>
      </c>
      <c r="AJ51" s="18">
        <v>0</v>
      </c>
      <c r="AK51" s="18">
        <v>0</v>
      </c>
      <c r="AL51" s="18">
        <v>0.502</v>
      </c>
      <c r="AM51" s="18">
        <v>0.189</v>
      </c>
      <c r="AN51" s="18">
        <v>0.504</v>
      </c>
      <c r="AO51" s="18">
        <v>4.2999999999999997E-2</v>
      </c>
      <c r="AP51" s="18">
        <v>0</v>
      </c>
      <c r="AQ51" s="18">
        <v>0.113</v>
      </c>
      <c r="AR51" s="18">
        <v>0.17100000000000001</v>
      </c>
      <c r="AS51" s="18">
        <v>0.39200000000000002</v>
      </c>
      <c r="AT51" s="18">
        <v>0.19900000000000001</v>
      </c>
      <c r="AU51" s="18">
        <v>0.96299999999999997</v>
      </c>
      <c r="AV51" s="18">
        <v>0.314</v>
      </c>
    </row>
    <row r="52" spans="1:48" x14ac:dyDescent="0.25">
      <c r="A52" s="8">
        <v>48</v>
      </c>
      <c r="B52" s="8">
        <v>23.5</v>
      </c>
      <c r="C52" s="18">
        <v>4.9000000000000002E-2</v>
      </c>
      <c r="D52" s="18">
        <v>0.187</v>
      </c>
      <c r="E52" s="18">
        <v>0.123</v>
      </c>
      <c r="F52" s="18">
        <v>0.54900000000000004</v>
      </c>
      <c r="G52" s="18">
        <v>5.5E-2</v>
      </c>
      <c r="H52" s="18">
        <v>0.155</v>
      </c>
      <c r="I52" s="18">
        <v>0.17899999999999999</v>
      </c>
      <c r="J52" s="18">
        <v>0</v>
      </c>
      <c r="K52" s="18">
        <v>0.156</v>
      </c>
      <c r="L52" s="18">
        <v>8.2000000000000003E-2</v>
      </c>
      <c r="M52" s="18">
        <v>0.11799999999999999</v>
      </c>
      <c r="N52" s="18">
        <v>0.24399999999999999</v>
      </c>
      <c r="O52" s="18">
        <v>0.46</v>
      </c>
      <c r="P52" s="18">
        <v>5.1999999999999998E-2</v>
      </c>
      <c r="Q52" s="18">
        <v>0.47699999999999998</v>
      </c>
      <c r="R52" s="18">
        <v>0.78400000000000003</v>
      </c>
      <c r="S52" s="18">
        <v>0.30599999999999999</v>
      </c>
      <c r="T52" s="18">
        <v>0.16</v>
      </c>
      <c r="U52" s="18">
        <v>0.78300000000000003</v>
      </c>
      <c r="V52" s="18">
        <v>0</v>
      </c>
      <c r="W52" s="18">
        <v>0</v>
      </c>
      <c r="X52" s="18">
        <v>0.38200000000000001</v>
      </c>
      <c r="Y52" s="18">
        <v>0.104</v>
      </c>
      <c r="Z52" s="18">
        <v>0.223</v>
      </c>
      <c r="AA52" s="18">
        <v>0.26400000000000001</v>
      </c>
      <c r="AB52" s="18">
        <v>0.11</v>
      </c>
      <c r="AC52" s="18">
        <v>0.78500000000000003</v>
      </c>
      <c r="AD52" s="18">
        <v>0.72</v>
      </c>
      <c r="AE52" s="18">
        <v>0.03</v>
      </c>
      <c r="AF52" s="18">
        <v>0.40500000000000003</v>
      </c>
      <c r="AG52" s="18">
        <v>0.104</v>
      </c>
      <c r="AH52" s="18">
        <v>0.29299999999999998</v>
      </c>
      <c r="AI52" s="18">
        <v>0</v>
      </c>
      <c r="AJ52" s="18">
        <v>0</v>
      </c>
      <c r="AK52" s="18">
        <v>0</v>
      </c>
      <c r="AL52" s="18">
        <v>0.57899999999999996</v>
      </c>
      <c r="AM52" s="18">
        <v>0.125</v>
      </c>
      <c r="AN52" s="18">
        <v>0.42199999999999999</v>
      </c>
      <c r="AO52" s="18">
        <v>4.2999999999999997E-2</v>
      </c>
      <c r="AP52" s="18">
        <v>0</v>
      </c>
      <c r="AQ52" s="18">
        <v>4.2000000000000003E-2</v>
      </c>
      <c r="AR52" s="18">
        <v>4.8000000000000001E-2</v>
      </c>
      <c r="AS52" s="18">
        <v>8.6999999999999994E-2</v>
      </c>
      <c r="AT52" s="18">
        <v>0.51</v>
      </c>
      <c r="AU52" s="18">
        <v>7.0000000000000007E-2</v>
      </c>
      <c r="AV52" s="18">
        <v>5.7000000000000002E-2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.7109375" customWidth="1"/>
    <col min="2" max="2" width="9.140625" bestFit="1" customWidth="1"/>
    <col min="3" max="3" width="9" customWidth="1"/>
    <col min="4" max="6" width="11" customWidth="1"/>
    <col min="7" max="7" width="14.7109375" customWidth="1"/>
    <col min="8" max="13" width="11" customWidth="1"/>
  </cols>
  <sheetData>
    <row r="1" spans="1:13" ht="19.5" x14ac:dyDescent="0.3">
      <c r="A1" s="1" t="s">
        <v>311</v>
      </c>
    </row>
    <row r="2" spans="1:13" x14ac:dyDescent="0.25">
      <c r="A2" s="29" t="s">
        <v>312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261</v>
      </c>
      <c r="B4" s="5" t="s">
        <v>313</v>
      </c>
      <c r="C4" s="5" t="s">
        <v>314</v>
      </c>
      <c r="D4" s="5" t="s">
        <v>315</v>
      </c>
      <c r="E4" s="5" t="s">
        <v>316</v>
      </c>
      <c r="F4" s="5" t="s">
        <v>317</v>
      </c>
      <c r="G4" s="5" t="s">
        <v>318</v>
      </c>
      <c r="H4" s="5" t="s">
        <v>319</v>
      </c>
      <c r="I4" s="5" t="s">
        <v>320</v>
      </c>
      <c r="J4" s="5" t="s">
        <v>321</v>
      </c>
      <c r="K4" s="5" t="s">
        <v>322</v>
      </c>
      <c r="L4" s="5" t="s">
        <v>323</v>
      </c>
      <c r="M4" s="5" t="s">
        <v>324</v>
      </c>
    </row>
    <row r="5" spans="1:13" x14ac:dyDescent="0.25">
      <c r="A5" s="8">
        <v>1</v>
      </c>
      <c r="B5" s="19">
        <v>0</v>
      </c>
      <c r="C5" s="20">
        <f>SUM('3. Raw PV per load'!C5:C79)</f>
        <v>0</v>
      </c>
      <c r="D5" s="20">
        <f>SUMIF('4. Raw load per load'!$B$5:$B$79,"prosumer",'4. Raw load per load'!C5:C79)</f>
        <v>9.8667999999999978</v>
      </c>
      <c r="E5" s="20">
        <f>SUMIF('4. Raw load per load'!$B$5:$B$79,"customer",'4. Raw load per load'!C5:C79)</f>
        <v>9.7085999999999988</v>
      </c>
      <c r="F5" s="20">
        <f>SUM('5. Raw batt charge'!C5:AV5)</f>
        <v>0</v>
      </c>
      <c r="G5" s="20">
        <f>SUM('6. Raw batt discharge'!C5:AV5)</f>
        <v>9.8679999999999986</v>
      </c>
      <c r="H5" s="21">
        <f t="shared" ref="H5:H52" si="0">F5-G5</f>
        <v>-9.8679999999999986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9.7085999999999988</v>
      </c>
    </row>
    <row r="6" spans="1:13" x14ac:dyDescent="0.25">
      <c r="A6" s="8">
        <v>2</v>
      </c>
      <c r="B6" s="19">
        <v>0.5</v>
      </c>
      <c r="C6" s="20">
        <f>SUM('3. Raw PV per load'!D5:D79)</f>
        <v>0</v>
      </c>
      <c r="D6" s="20">
        <f>SUMIF('4. Raw load per load'!$B$5:$B$79,"prosumer",'4. Raw load per load'!D5:D79)</f>
        <v>8.8743999999999978</v>
      </c>
      <c r="E6" s="20">
        <f>SUMIF('4. Raw load per load'!$B$5:$B$79,"customer",'4. Raw load per load'!D5:D79)</f>
        <v>7.6682000000000006</v>
      </c>
      <c r="F6" s="20">
        <f>SUM('5. Raw batt charge'!C6:AV6)</f>
        <v>0</v>
      </c>
      <c r="G6" s="20">
        <f>SUM('6. Raw batt discharge'!C6:AV6)</f>
        <v>8.8759999999999994</v>
      </c>
      <c r="H6" s="21">
        <f t="shared" si="0"/>
        <v>-8.8759999999999994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7.6682000000000006</v>
      </c>
    </row>
    <row r="7" spans="1:13" x14ac:dyDescent="0.25">
      <c r="A7" s="8">
        <v>3</v>
      </c>
      <c r="B7" s="19">
        <v>1</v>
      </c>
      <c r="C7" s="20">
        <f>SUM('3. Raw PV per load'!E5:E79)</f>
        <v>0</v>
      </c>
      <c r="D7" s="20">
        <f>SUMIF('4. Raw load per load'!$B$5:$B$79,"prosumer",'4. Raw load per load'!E5:E79)</f>
        <v>5.9693000000000005</v>
      </c>
      <c r="E7" s="20">
        <f>SUMIF('4. Raw load per load'!$B$5:$B$79,"customer",'4. Raw load per load'!E5:E79)</f>
        <v>7.1911999999999976</v>
      </c>
      <c r="F7" s="20">
        <f>SUM('5. Raw batt charge'!C7:AV7)</f>
        <v>0</v>
      </c>
      <c r="G7" s="20">
        <f>SUM('6. Raw batt discharge'!C7:AV7)</f>
        <v>5.9700000000000006</v>
      </c>
      <c r="H7" s="21">
        <f t="shared" si="0"/>
        <v>-5.9700000000000006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7.1911999999999976</v>
      </c>
    </row>
    <row r="8" spans="1:13" x14ac:dyDescent="0.25">
      <c r="A8" s="8">
        <v>4</v>
      </c>
      <c r="B8" s="19">
        <v>1.5</v>
      </c>
      <c r="C8" s="20">
        <f>SUM('3. Raw PV per load'!F5:F79)</f>
        <v>0</v>
      </c>
      <c r="D8" s="20">
        <f>SUMIF('4. Raw load per load'!$B$5:$B$79,"prosumer",'4. Raw load per load'!F5:F79)</f>
        <v>6.6328000000000005</v>
      </c>
      <c r="E8" s="20">
        <f>SUMIF('4. Raw load per load'!$B$5:$B$79,"customer",'4. Raw load per load'!F5:F79)</f>
        <v>4.9474000000000009</v>
      </c>
      <c r="F8" s="20">
        <f>SUM('5. Raw batt charge'!C8:AV8)</f>
        <v>0</v>
      </c>
      <c r="G8" s="20">
        <f>SUM('6. Raw batt discharge'!C8:AV8)</f>
        <v>6.6349999999999998</v>
      </c>
      <c r="H8" s="21">
        <f t="shared" si="0"/>
        <v>-6.6349999999999998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4.9474000000000009</v>
      </c>
    </row>
    <row r="9" spans="1:13" x14ac:dyDescent="0.25">
      <c r="A9" s="8">
        <v>5</v>
      </c>
      <c r="B9" s="19">
        <v>2</v>
      </c>
      <c r="C9" s="20">
        <f>SUM('3. Raw PV per load'!G5:G79)</f>
        <v>0</v>
      </c>
      <c r="D9" s="20">
        <f>SUMIF('4. Raw load per load'!$B$5:$B$79,"prosumer",'4. Raw load per load'!G5:G79)</f>
        <v>5.984</v>
      </c>
      <c r="E9" s="20">
        <f>SUMIF('4. Raw load per load'!$B$5:$B$79,"customer",'4. Raw load per load'!G5:G79)</f>
        <v>4.9659999999999993</v>
      </c>
      <c r="F9" s="20">
        <f>SUM('5. Raw batt charge'!C9:AV9)</f>
        <v>0</v>
      </c>
      <c r="G9" s="20">
        <f>SUM('6. Raw batt discharge'!C9:AV9)</f>
        <v>5.7039999999999997</v>
      </c>
      <c r="H9" s="21">
        <f t="shared" si="0"/>
        <v>-5.7039999999999997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4.9659999999999993</v>
      </c>
    </row>
    <row r="10" spans="1:13" x14ac:dyDescent="0.25">
      <c r="A10" s="8">
        <v>6</v>
      </c>
      <c r="B10" s="19">
        <v>2.5</v>
      </c>
      <c r="C10" s="20">
        <f>SUM('3. Raw PV per load'!H5:H79)</f>
        <v>0</v>
      </c>
      <c r="D10" s="20">
        <f>SUMIF('4. Raw load per load'!$B$5:$B$79,"prosumer",'4. Raw load per load'!H5:H79)</f>
        <v>6.2932999999999977</v>
      </c>
      <c r="E10" s="20">
        <f>SUMIF('4. Raw load per load'!$B$5:$B$79,"customer",'4. Raw load per load'!H5:H79)</f>
        <v>4.4229000000000003</v>
      </c>
      <c r="F10" s="20">
        <f>SUM('5. Raw batt charge'!C10:AV10)</f>
        <v>0</v>
      </c>
      <c r="G10" s="20">
        <f>SUM('6. Raw batt discharge'!C10:AV10)</f>
        <v>6.2300000000000013</v>
      </c>
      <c r="H10" s="21">
        <f t="shared" si="0"/>
        <v>-6.2300000000000013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4.4229000000000003</v>
      </c>
    </row>
    <row r="11" spans="1:13" x14ac:dyDescent="0.25">
      <c r="A11" s="8">
        <v>7</v>
      </c>
      <c r="B11" s="19">
        <v>3</v>
      </c>
      <c r="C11" s="20">
        <f>SUM('3. Raw PV per load'!I5:I79)</f>
        <v>0</v>
      </c>
      <c r="D11" s="20">
        <f>SUMIF('4. Raw load per load'!$B$5:$B$79,"prosumer",'4. Raw load per load'!I5:I79)</f>
        <v>6.7169999999999979</v>
      </c>
      <c r="E11" s="20">
        <f>SUMIF('4. Raw load per load'!$B$5:$B$79,"customer",'4. Raw load per load'!I5:I79)</f>
        <v>3.7799999999999994</v>
      </c>
      <c r="F11" s="20">
        <f>SUM('5. Raw batt charge'!C11:AV11)</f>
        <v>0</v>
      </c>
      <c r="G11" s="20">
        <f>SUM('6. Raw batt discharge'!C11:AV11)</f>
        <v>6.4890000000000008</v>
      </c>
      <c r="H11" s="21">
        <f t="shared" si="0"/>
        <v>-6.4890000000000008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3.7799999999999994</v>
      </c>
    </row>
    <row r="12" spans="1:13" x14ac:dyDescent="0.25">
      <c r="A12" s="8">
        <v>8</v>
      </c>
      <c r="B12" s="19">
        <v>3.5</v>
      </c>
      <c r="C12" s="20">
        <f>SUM('3. Raw PV per load'!J5:J79)</f>
        <v>0.12349999999999996</v>
      </c>
      <c r="D12" s="20">
        <f>SUMIF('4. Raw load per load'!$B$5:$B$79,"prosumer",'4. Raw load per load'!J5:J79)</f>
        <v>6.8527000000000005</v>
      </c>
      <c r="E12" s="20">
        <f>SUMIF('4. Raw load per load'!$B$5:$B$79,"customer",'4. Raw load per load'!J5:J79)</f>
        <v>3.7683999999999989</v>
      </c>
      <c r="F12" s="20">
        <f>SUM('5. Raw batt charge'!C12:AV12)</f>
        <v>0</v>
      </c>
      <c r="G12" s="20">
        <f>SUM('6. Raw batt discharge'!C12:AV12)</f>
        <v>6.0439999999999987</v>
      </c>
      <c r="H12" s="21">
        <f t="shared" si="0"/>
        <v>-6.0439999999999987</v>
      </c>
      <c r="I12" s="21">
        <f t="shared" si="1"/>
        <v>0.12349999999999996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3.7683999999999989</v>
      </c>
    </row>
    <row r="13" spans="1:13" x14ac:dyDescent="0.25">
      <c r="A13" s="8">
        <v>9</v>
      </c>
      <c r="B13" s="19">
        <v>4</v>
      </c>
      <c r="C13" s="20">
        <f>SUM('3. Raw PV per load'!K5:K79)</f>
        <v>1.7902000000000005</v>
      </c>
      <c r="D13" s="20">
        <f>SUMIF('4. Raw load per load'!$B$5:$B$79,"prosumer",'4. Raw load per load'!K5:K79)</f>
        <v>5.1848000000000001</v>
      </c>
      <c r="E13" s="20">
        <f>SUMIF('4. Raw load per load'!$B$5:$B$79,"customer",'4. Raw load per load'!K5:K79)</f>
        <v>3.3263000000000003</v>
      </c>
      <c r="F13" s="20">
        <f>SUM('5. Raw batt charge'!C13:AV13)</f>
        <v>2.5999999999999999E-2</v>
      </c>
      <c r="G13" s="20">
        <f>SUM('6. Raw batt discharge'!C13:AV13)</f>
        <v>3.3152999999999997</v>
      </c>
      <c r="H13" s="21">
        <f t="shared" si="0"/>
        <v>-3.2892999999999999</v>
      </c>
      <c r="I13" s="21">
        <f t="shared" si="1"/>
        <v>1.7902000000000005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3.3263000000000003</v>
      </c>
    </row>
    <row r="14" spans="1:13" x14ac:dyDescent="0.25">
      <c r="A14" s="8">
        <v>10</v>
      </c>
      <c r="B14" s="19">
        <v>4.5</v>
      </c>
      <c r="C14" s="20">
        <f>SUM('3. Raw PV per load'!L5:L79)</f>
        <v>8.3734000000000002</v>
      </c>
      <c r="D14" s="20">
        <f>SUMIF('4. Raw load per load'!$B$5:$B$79,"prosumer",'4. Raw load per load'!L5:L79)</f>
        <v>5.9863999999999988</v>
      </c>
      <c r="E14" s="20">
        <f>SUMIF('4. Raw load per load'!$B$5:$B$79,"customer",'4. Raw load per load'!L5:L79)</f>
        <v>3.2775999999999996</v>
      </c>
      <c r="F14" s="20">
        <f>SUM('5. Raw batt charge'!C14:AV14)</f>
        <v>3.27</v>
      </c>
      <c r="G14" s="20">
        <f>SUM('6. Raw batt discharge'!C14:AV14)</f>
        <v>0.72500000000000009</v>
      </c>
      <c r="H14" s="21">
        <f t="shared" si="0"/>
        <v>2.5449999999999999</v>
      </c>
      <c r="I14" s="21">
        <f t="shared" si="1"/>
        <v>5.9863999999999988</v>
      </c>
      <c r="J14" s="21">
        <f t="shared" si="2"/>
        <v>2.3870000000000013</v>
      </c>
      <c r="K14" s="21">
        <f t="shared" si="3"/>
        <v>0</v>
      </c>
      <c r="L14" s="21">
        <f t="shared" si="4"/>
        <v>0</v>
      </c>
      <c r="M14" s="21">
        <f t="shared" si="5"/>
        <v>3.2775999999999996</v>
      </c>
    </row>
    <row r="15" spans="1:13" x14ac:dyDescent="0.25">
      <c r="A15" s="8">
        <v>11</v>
      </c>
      <c r="B15" s="19">
        <v>5</v>
      </c>
      <c r="C15" s="20">
        <f>SUM('3. Raw PV per load'!M5:M79)</f>
        <v>16.607299999999999</v>
      </c>
      <c r="D15" s="20">
        <f>SUMIF('4. Raw load per load'!$B$5:$B$79,"prosumer",'4. Raw load per load'!M5:M79)</f>
        <v>5.7679999999999998</v>
      </c>
      <c r="E15" s="20">
        <f>SUMIF('4. Raw load per load'!$B$5:$B$79,"customer",'4. Raw load per load'!M5:M79)</f>
        <v>3.9028999999999998</v>
      </c>
      <c r="F15" s="20">
        <f>SUM('5. Raw batt charge'!C15:AV15)</f>
        <v>10.837</v>
      </c>
      <c r="G15" s="20">
        <f>SUM('6. Raw batt discharge'!C15:AV15)</f>
        <v>0</v>
      </c>
      <c r="H15" s="21">
        <f t="shared" si="0"/>
        <v>10.837</v>
      </c>
      <c r="I15" s="21">
        <f t="shared" si="1"/>
        <v>5.7679999999999998</v>
      </c>
      <c r="J15" s="21">
        <f t="shared" si="2"/>
        <v>10.837</v>
      </c>
      <c r="K15" s="21">
        <f t="shared" si="3"/>
        <v>2.2999999999981924E-3</v>
      </c>
      <c r="L15" s="21">
        <f t="shared" si="4"/>
        <v>0</v>
      </c>
      <c r="M15" s="21">
        <f t="shared" si="5"/>
        <v>3.9006000000000016</v>
      </c>
    </row>
    <row r="16" spans="1:13" x14ac:dyDescent="0.25">
      <c r="A16" s="8">
        <v>12</v>
      </c>
      <c r="B16" s="19">
        <v>5.5</v>
      </c>
      <c r="C16" s="20">
        <f>SUM('3. Raw PV per load'!N5:N79)</f>
        <v>26.707900000000006</v>
      </c>
      <c r="D16" s="20">
        <f>SUMIF('4. Raw load per load'!$B$5:$B$79,"prosumer",'4. Raw load per load'!N5:N79)</f>
        <v>6.5866000000000016</v>
      </c>
      <c r="E16" s="20">
        <f>SUMIF('4. Raw load per load'!$B$5:$B$79,"customer",'4. Raw load per load'!N5:N79)</f>
        <v>3.3171000000000004</v>
      </c>
      <c r="F16" s="20">
        <f>SUM('5. Raw batt charge'!C16:AV16)</f>
        <v>20.183000000000007</v>
      </c>
      <c r="G16" s="20">
        <f>SUM('6. Raw batt discharge'!C16:AV16)</f>
        <v>6.3E-2</v>
      </c>
      <c r="H16" s="21">
        <f t="shared" si="0"/>
        <v>20.120000000000008</v>
      </c>
      <c r="I16" s="21">
        <f t="shared" si="1"/>
        <v>6.5866000000000016</v>
      </c>
      <c r="J16" s="21">
        <f t="shared" si="2"/>
        <v>20.120000000000008</v>
      </c>
      <c r="K16" s="21">
        <f t="shared" si="3"/>
        <v>1.2999999999969702E-3</v>
      </c>
      <c r="L16" s="21">
        <f t="shared" si="4"/>
        <v>0</v>
      </c>
      <c r="M16" s="21">
        <f t="shared" si="5"/>
        <v>3.3158000000000034</v>
      </c>
    </row>
    <row r="17" spans="1:13" x14ac:dyDescent="0.25">
      <c r="A17" s="8">
        <v>13</v>
      </c>
      <c r="B17" s="19">
        <v>6</v>
      </c>
      <c r="C17" s="20">
        <f>SUM('3. Raw PV per load'!O5:O79)</f>
        <v>37.724299999999999</v>
      </c>
      <c r="D17" s="20">
        <f>SUMIF('4. Raw load per load'!$B$5:$B$79,"prosumer",'4. Raw load per load'!O5:O79)</f>
        <v>7.3661999999999992</v>
      </c>
      <c r="E17" s="20">
        <f>SUMIF('4. Raw load per load'!$B$5:$B$79,"customer",'4. Raw load per load'!O5:O79)</f>
        <v>4.0636999999999999</v>
      </c>
      <c r="F17" s="20">
        <f>SUM('5. Raw batt charge'!C17:AV17)</f>
        <v>30.36</v>
      </c>
      <c r="G17" s="20">
        <f>SUM('6. Raw batt discharge'!C17:AV17)</f>
        <v>0</v>
      </c>
      <c r="H17" s="21">
        <f t="shared" si="0"/>
        <v>30.36</v>
      </c>
      <c r="I17" s="21">
        <f t="shared" si="1"/>
        <v>7.3661999999999992</v>
      </c>
      <c r="J17" s="21">
        <f t="shared" si="2"/>
        <v>30.3581</v>
      </c>
      <c r="K17" s="21">
        <f t="shared" si="3"/>
        <v>0</v>
      </c>
      <c r="L17" s="21">
        <f t="shared" si="4"/>
        <v>0</v>
      </c>
      <c r="M17" s="21">
        <f t="shared" si="5"/>
        <v>4.0636999999999999</v>
      </c>
    </row>
    <row r="18" spans="1:13" x14ac:dyDescent="0.25">
      <c r="A18" s="8">
        <v>14</v>
      </c>
      <c r="B18" s="19">
        <v>6.5</v>
      </c>
      <c r="C18" s="20">
        <f>SUM('3. Raw PV per load'!P5:P79)</f>
        <v>48.878200000000007</v>
      </c>
      <c r="D18" s="20">
        <f>SUMIF('4. Raw load per load'!$B$5:$B$79,"prosumer",'4. Raw load per load'!P5:P79)</f>
        <v>10.088700000000001</v>
      </c>
      <c r="E18" s="20">
        <f>SUMIF('4. Raw load per load'!$B$5:$B$79,"customer",'4. Raw load per load'!P5:P79)</f>
        <v>3.9115999999999995</v>
      </c>
      <c r="F18" s="20">
        <f>SUM('5. Raw batt charge'!C18:AV18)</f>
        <v>40.771000000000008</v>
      </c>
      <c r="G18" s="20">
        <f>SUM('6. Raw batt discharge'!C18:AV18)</f>
        <v>1.9809999999999999</v>
      </c>
      <c r="H18" s="21">
        <f t="shared" si="0"/>
        <v>38.790000000000006</v>
      </c>
      <c r="I18" s="21">
        <f t="shared" si="1"/>
        <v>10.088700000000001</v>
      </c>
      <c r="J18" s="21">
        <f t="shared" si="2"/>
        <v>38.789500000000004</v>
      </c>
      <c r="K18" s="21">
        <f t="shared" si="3"/>
        <v>0</v>
      </c>
      <c r="L18" s="21">
        <f t="shared" si="4"/>
        <v>0</v>
      </c>
      <c r="M18" s="21">
        <f t="shared" si="5"/>
        <v>3.9115999999999995</v>
      </c>
    </row>
    <row r="19" spans="1:13" x14ac:dyDescent="0.25">
      <c r="A19" s="8">
        <v>15</v>
      </c>
      <c r="B19" s="19">
        <v>7</v>
      </c>
      <c r="C19" s="20">
        <f>SUM('3. Raw PV per load'!Q5:Q79)</f>
        <v>59.975099999999955</v>
      </c>
      <c r="D19" s="20">
        <f>SUMIF('4. Raw load per load'!$B$5:$B$79,"prosumer",'4. Raw load per load'!Q5:Q79)</f>
        <v>13.141900000000001</v>
      </c>
      <c r="E19" s="20">
        <f>SUMIF('4. Raw load per load'!$B$5:$B$79,"customer",'4. Raw load per load'!Q5:Q79)</f>
        <v>5.1564999999999994</v>
      </c>
      <c r="F19" s="20">
        <f>SUM('5. Raw batt charge'!C19:AV19)</f>
        <v>47.938000000000002</v>
      </c>
      <c r="G19" s="20">
        <f>SUM('6. Raw batt discharge'!C19:AV19)</f>
        <v>1.1080000000000001</v>
      </c>
      <c r="H19" s="21">
        <f t="shared" si="0"/>
        <v>46.830000000000005</v>
      </c>
      <c r="I19" s="21">
        <f t="shared" si="1"/>
        <v>13.141900000000001</v>
      </c>
      <c r="J19" s="21">
        <f t="shared" si="2"/>
        <v>46.830000000000005</v>
      </c>
      <c r="K19" s="21">
        <f t="shared" si="3"/>
        <v>3.1999999999499096E-3</v>
      </c>
      <c r="L19" s="21">
        <f t="shared" si="4"/>
        <v>0</v>
      </c>
      <c r="M19" s="21">
        <f t="shared" si="5"/>
        <v>5.1533000000000495</v>
      </c>
    </row>
    <row r="20" spans="1:13" x14ac:dyDescent="0.25">
      <c r="A20" s="8">
        <v>16</v>
      </c>
      <c r="B20" s="19">
        <v>7.5</v>
      </c>
      <c r="C20" s="20">
        <f>SUM('3. Raw PV per load'!R5:R79)</f>
        <v>71.085799999999992</v>
      </c>
      <c r="D20" s="20">
        <f>SUMIF('4. Raw load per load'!$B$5:$B$79,"prosumer",'4. Raw load per load'!R5:R79)</f>
        <v>12.777399999999998</v>
      </c>
      <c r="E20" s="20">
        <f>SUMIF('4. Raw load per load'!$B$5:$B$79,"customer",'4. Raw load per load'!R5:R79)</f>
        <v>7.261099999999999</v>
      </c>
      <c r="F20" s="20">
        <f>SUM('5. Raw batt charge'!C20:AV20)</f>
        <v>56.932000000000002</v>
      </c>
      <c r="G20" s="20">
        <f>SUM('6. Raw batt discharge'!C20:AV20)</f>
        <v>1.411</v>
      </c>
      <c r="H20" s="21">
        <f t="shared" si="0"/>
        <v>55.521000000000001</v>
      </c>
      <c r="I20" s="21">
        <f t="shared" si="1"/>
        <v>12.777399999999998</v>
      </c>
      <c r="J20" s="21">
        <f t="shared" si="2"/>
        <v>55.521000000000001</v>
      </c>
      <c r="K20" s="21">
        <f t="shared" si="3"/>
        <v>2.787399999999991</v>
      </c>
      <c r="L20" s="21">
        <f t="shared" si="4"/>
        <v>0</v>
      </c>
      <c r="M20" s="21">
        <f t="shared" si="5"/>
        <v>4.473700000000008</v>
      </c>
    </row>
    <row r="21" spans="1:13" x14ac:dyDescent="0.25">
      <c r="A21" s="8">
        <v>17</v>
      </c>
      <c r="B21" s="19">
        <v>8</v>
      </c>
      <c r="C21" s="20">
        <f>SUM('3. Raw PV per load'!S5:S79)</f>
        <v>81.515100000000004</v>
      </c>
      <c r="D21" s="20">
        <f>SUMIF('4. Raw load per load'!$B$5:$B$79,"prosumer",'4. Raw load per load'!S5:S79)</f>
        <v>12.408300000000001</v>
      </c>
      <c r="E21" s="20">
        <f>SUMIF('4. Raw load per load'!$B$5:$B$79,"customer",'4. Raw load per load'!S5:S79)</f>
        <v>5.7465000000000002</v>
      </c>
      <c r="F21" s="20">
        <f>SUM('5. Raw batt charge'!C21:AV21)</f>
        <v>38.009</v>
      </c>
      <c r="G21" s="20">
        <f>SUM('6. Raw batt discharge'!C21:AV21)</f>
        <v>0.3</v>
      </c>
      <c r="H21" s="21">
        <f t="shared" si="0"/>
        <v>37.709000000000003</v>
      </c>
      <c r="I21" s="21">
        <f t="shared" si="1"/>
        <v>12.408300000000001</v>
      </c>
      <c r="J21" s="21">
        <f t="shared" si="2"/>
        <v>37.709000000000003</v>
      </c>
      <c r="K21" s="21">
        <f t="shared" si="3"/>
        <v>5.7465000000000002</v>
      </c>
      <c r="L21" s="21">
        <f t="shared" si="4"/>
        <v>25.651300000000003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load'!T5:T79)</f>
        <v>91.320199999999971</v>
      </c>
      <c r="D22" s="20">
        <f>SUMIF('4. Raw load per load'!$B$5:$B$79,"prosumer",'4. Raw load per load'!T5:T79)</f>
        <v>16.098600000000001</v>
      </c>
      <c r="E22" s="20">
        <f>SUMIF('4. Raw load per load'!$B$5:$B$79,"customer",'4. Raw load per load'!T5:T79)</f>
        <v>9.1174999999999997</v>
      </c>
      <c r="F22" s="20">
        <f>SUM('5. Raw batt charge'!C22:AV22)</f>
        <v>25.925000000000001</v>
      </c>
      <c r="G22" s="20">
        <f>SUM('6. Raw batt discharge'!C22:AV22)</f>
        <v>0.76800000000000002</v>
      </c>
      <c r="H22" s="21">
        <f t="shared" si="0"/>
        <v>25.157</v>
      </c>
      <c r="I22" s="21">
        <f t="shared" si="1"/>
        <v>16.098600000000001</v>
      </c>
      <c r="J22" s="21">
        <f t="shared" si="2"/>
        <v>25.157</v>
      </c>
      <c r="K22" s="21">
        <f t="shared" si="3"/>
        <v>9.1174999999999997</v>
      </c>
      <c r="L22" s="21">
        <f t="shared" si="4"/>
        <v>40.947099999999971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load'!U5:U79)</f>
        <v>99.669400000000081</v>
      </c>
      <c r="D23" s="20">
        <f>SUMIF('4. Raw load per load'!$B$5:$B$79,"prosumer",'4. Raw load per load'!U5:U79)</f>
        <v>16.783999999999999</v>
      </c>
      <c r="E23" s="20">
        <f>SUMIF('4. Raw load per load'!$B$5:$B$79,"customer",'4. Raw load per load'!U5:U79)</f>
        <v>8.3508999999999993</v>
      </c>
      <c r="F23" s="20">
        <f>SUM('5. Raw batt charge'!C23:AV23)</f>
        <v>13.708999999999998</v>
      </c>
      <c r="G23" s="20">
        <f>SUM('6. Raw batt discharge'!C23:AV23)</f>
        <v>0.67300000000000004</v>
      </c>
      <c r="H23" s="21">
        <f t="shared" si="0"/>
        <v>13.035999999999998</v>
      </c>
      <c r="I23" s="21">
        <f t="shared" si="1"/>
        <v>16.783999999999999</v>
      </c>
      <c r="J23" s="21">
        <f t="shared" si="2"/>
        <v>13.035999999999998</v>
      </c>
      <c r="K23" s="21">
        <f t="shared" si="3"/>
        <v>8.3508999999999993</v>
      </c>
      <c r="L23" s="21">
        <f t="shared" si="4"/>
        <v>61.498500000000092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load'!V5:V79)</f>
        <v>106.79039999999995</v>
      </c>
      <c r="D24" s="20">
        <f>SUMIF('4. Raw load per load'!$B$5:$B$79,"prosumer",'4. Raw load per load'!V5:V79)</f>
        <v>14.3857</v>
      </c>
      <c r="E24" s="20">
        <f>SUMIF('4. Raw load per load'!$B$5:$B$79,"customer",'4. Raw load per load'!V5:V79)</f>
        <v>11.938199999999998</v>
      </c>
      <c r="F24" s="20">
        <f>SUM('5. Raw batt charge'!C24:AV24)</f>
        <v>9.0739999999999998</v>
      </c>
      <c r="G24" s="20">
        <f>SUM('6. Raw batt discharge'!C24:AV24)</f>
        <v>0.53300000000000003</v>
      </c>
      <c r="H24" s="21">
        <f t="shared" si="0"/>
        <v>8.5410000000000004</v>
      </c>
      <c r="I24" s="21">
        <f t="shared" si="1"/>
        <v>14.3857</v>
      </c>
      <c r="J24" s="21">
        <f t="shared" si="2"/>
        <v>8.5410000000000004</v>
      </c>
      <c r="K24" s="21">
        <f t="shared" si="3"/>
        <v>11.938199999999998</v>
      </c>
      <c r="L24" s="21">
        <f t="shared" si="4"/>
        <v>71.925499999999957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load'!W5:W79)</f>
        <v>113.03999999999999</v>
      </c>
      <c r="D25" s="20">
        <f>SUMIF('4. Raw load per load'!$B$5:$B$79,"prosumer",'4. Raw load per load'!W5:W79)</f>
        <v>18.024199999999997</v>
      </c>
      <c r="E25" s="20">
        <f>SUMIF('4. Raw load per load'!$B$5:$B$79,"customer",'4. Raw load per load'!W5:W79)</f>
        <v>10.5084</v>
      </c>
      <c r="F25" s="20">
        <f>SUM('5. Raw batt charge'!C25:AV25)</f>
        <v>4.4400000000000004</v>
      </c>
      <c r="G25" s="20">
        <f>SUM('6. Raw batt discharge'!C25:AV25)</f>
        <v>1.716</v>
      </c>
      <c r="H25" s="21">
        <f t="shared" si="0"/>
        <v>2.7240000000000002</v>
      </c>
      <c r="I25" s="21">
        <f t="shared" si="1"/>
        <v>18.024199999999997</v>
      </c>
      <c r="J25" s="21">
        <f t="shared" si="2"/>
        <v>2.7240000000000002</v>
      </c>
      <c r="K25" s="21">
        <f t="shared" si="3"/>
        <v>10.5084</v>
      </c>
      <c r="L25" s="21">
        <f t="shared" si="4"/>
        <v>81.7834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load'!X5:X79)</f>
        <v>118.19929999999997</v>
      </c>
      <c r="D26" s="20">
        <f>SUMIF('4. Raw load per load'!$B$5:$B$79,"prosumer",'4. Raw load per load'!X5:X79)</f>
        <v>12.410500000000001</v>
      </c>
      <c r="E26" s="20">
        <f>SUMIF('4. Raw load per load'!$B$5:$B$79,"customer",'4. Raw load per load'!X5:X79)</f>
        <v>10.020499999999998</v>
      </c>
      <c r="F26" s="20">
        <f>SUM('5. Raw batt charge'!C26:AV26)</f>
        <v>6.4690000000000003</v>
      </c>
      <c r="G26" s="20">
        <f>SUM('6. Raw batt discharge'!C26:AV26)</f>
        <v>0.36299999999999999</v>
      </c>
      <c r="H26" s="21">
        <f t="shared" si="0"/>
        <v>6.1059999999999999</v>
      </c>
      <c r="I26" s="21">
        <f t="shared" si="1"/>
        <v>12.410500000000001</v>
      </c>
      <c r="J26" s="21">
        <f t="shared" si="2"/>
        <v>6.1059999999999999</v>
      </c>
      <c r="K26" s="21">
        <f t="shared" si="3"/>
        <v>10.020499999999998</v>
      </c>
      <c r="L26" s="21">
        <f t="shared" si="4"/>
        <v>89.662299999999973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load'!Y5:Y79)</f>
        <v>121.85980000000004</v>
      </c>
      <c r="D27" s="20">
        <f>SUMIF('4. Raw load per load'!$B$5:$B$79,"prosumer",'4. Raw load per load'!Y5:Y79)</f>
        <v>16.772200000000002</v>
      </c>
      <c r="E27" s="20">
        <f>SUMIF('4. Raw load per load'!$B$5:$B$79,"customer",'4. Raw load per load'!Y5:Y79)</f>
        <v>7.7386999999999997</v>
      </c>
      <c r="F27" s="20">
        <f>SUM('5. Raw batt charge'!C27:AV27)</f>
        <v>5.5269999999999992</v>
      </c>
      <c r="G27" s="20">
        <f>SUM('6. Raw batt discharge'!C27:AV27)</f>
        <v>0</v>
      </c>
      <c r="H27" s="21">
        <f t="shared" si="0"/>
        <v>5.5269999999999992</v>
      </c>
      <c r="I27" s="21">
        <f t="shared" si="1"/>
        <v>16.772200000000002</v>
      </c>
      <c r="J27" s="21">
        <f t="shared" si="2"/>
        <v>5.5269999999999992</v>
      </c>
      <c r="K27" s="21">
        <f t="shared" si="3"/>
        <v>7.7386999999999997</v>
      </c>
      <c r="L27" s="21">
        <f t="shared" si="4"/>
        <v>91.821900000000042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load'!Z5:Z79)</f>
        <v>123.46559999999995</v>
      </c>
      <c r="D28" s="20">
        <f>SUMIF('4. Raw load per load'!$B$5:$B$79,"prosumer",'4. Raw load per load'!Z5:Z79)</f>
        <v>19.123900000000003</v>
      </c>
      <c r="E28" s="20">
        <f>SUMIF('4. Raw load per load'!$B$5:$B$79,"customer",'4. Raw load per load'!Z5:Z79)</f>
        <v>7.7669999999999995</v>
      </c>
      <c r="F28" s="20">
        <f>SUM('5. Raw batt charge'!C28:AV28)</f>
        <v>3.1079999999999997</v>
      </c>
      <c r="G28" s="20">
        <f>SUM('6. Raw batt discharge'!C28:AV28)</f>
        <v>0.64500000000000002</v>
      </c>
      <c r="H28" s="21">
        <f t="shared" si="0"/>
        <v>2.4629999999999996</v>
      </c>
      <c r="I28" s="21">
        <f t="shared" si="1"/>
        <v>19.123900000000003</v>
      </c>
      <c r="J28" s="21">
        <f t="shared" si="2"/>
        <v>2.4629999999999996</v>
      </c>
      <c r="K28" s="21">
        <f t="shared" si="3"/>
        <v>7.7669999999999995</v>
      </c>
      <c r="L28" s="21">
        <f t="shared" si="4"/>
        <v>94.111699999999956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load'!AA5:AA79)</f>
        <v>123.93009999999994</v>
      </c>
      <c r="D29" s="20">
        <f>SUMIF('4. Raw load per load'!$B$5:$B$79,"prosumer",'4. Raw load per load'!AA5:AA79)</f>
        <v>11.440900000000003</v>
      </c>
      <c r="E29" s="20">
        <f>SUMIF('4. Raw load per load'!$B$5:$B$79,"customer",'4. Raw load per load'!AA5:AA79)</f>
        <v>8.7308000000000003</v>
      </c>
      <c r="F29" s="20">
        <f>SUM('5. Raw batt charge'!C29:AV29)</f>
        <v>3.0540000000000003</v>
      </c>
      <c r="G29" s="20">
        <f>SUM('6. Raw batt discharge'!C29:AV29)</f>
        <v>0</v>
      </c>
      <c r="H29" s="21">
        <f t="shared" si="0"/>
        <v>3.0540000000000003</v>
      </c>
      <c r="I29" s="21">
        <f t="shared" si="1"/>
        <v>11.440900000000003</v>
      </c>
      <c r="J29" s="21">
        <f t="shared" si="2"/>
        <v>3.0540000000000003</v>
      </c>
      <c r="K29" s="21">
        <f t="shared" si="3"/>
        <v>8.7308000000000003</v>
      </c>
      <c r="L29" s="21">
        <f t="shared" si="4"/>
        <v>100.70439999999994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load'!AB5:AB79)</f>
        <v>123.05959999999999</v>
      </c>
      <c r="D30" s="20">
        <f>SUMIF('4. Raw load per load'!$B$5:$B$79,"prosumer",'4. Raw load per load'!AB5:AB79)</f>
        <v>13.714500000000001</v>
      </c>
      <c r="E30" s="20">
        <f>SUMIF('4. Raw load per load'!$B$5:$B$79,"customer",'4. Raw load per load'!AB5:AB79)</f>
        <v>9.0764000000000014</v>
      </c>
      <c r="F30" s="20">
        <f>SUM('5. Raw batt charge'!C30:AV30)</f>
        <v>1.294</v>
      </c>
      <c r="G30" s="20">
        <f>SUM('6. Raw batt discharge'!C30:AV30)</f>
        <v>0</v>
      </c>
      <c r="H30" s="21">
        <f t="shared" si="0"/>
        <v>1.294</v>
      </c>
      <c r="I30" s="21">
        <f t="shared" si="1"/>
        <v>13.714500000000001</v>
      </c>
      <c r="J30" s="21">
        <f t="shared" si="2"/>
        <v>1.294</v>
      </c>
      <c r="K30" s="21">
        <f t="shared" si="3"/>
        <v>9.0764000000000014</v>
      </c>
      <c r="L30" s="21">
        <f t="shared" si="4"/>
        <v>98.974699999999984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load'!AC5:AC79)</f>
        <v>120.13829999999999</v>
      </c>
      <c r="D31" s="20">
        <f>SUMIF('4. Raw load per load'!$B$5:$B$79,"prosumer",'4. Raw load per load'!AC5:AC79)</f>
        <v>15.925999999999995</v>
      </c>
      <c r="E31" s="20">
        <f>SUMIF('4. Raw load per load'!$B$5:$B$79,"customer",'4. Raw load per load'!AC5:AC79)</f>
        <v>7.5347999999999988</v>
      </c>
      <c r="F31" s="20">
        <f>SUM('5. Raw batt charge'!C31:AV31)</f>
        <v>0.56599999999999995</v>
      </c>
      <c r="G31" s="20">
        <f>SUM('6. Raw batt discharge'!C31:AV31)</f>
        <v>0</v>
      </c>
      <c r="H31" s="21">
        <f t="shared" si="0"/>
        <v>0.56599999999999995</v>
      </c>
      <c r="I31" s="21">
        <f t="shared" si="1"/>
        <v>15.925999999999995</v>
      </c>
      <c r="J31" s="21">
        <f t="shared" si="2"/>
        <v>0.56599999999999995</v>
      </c>
      <c r="K31" s="21">
        <f t="shared" si="3"/>
        <v>7.5347999999999988</v>
      </c>
      <c r="L31" s="21">
        <f t="shared" si="4"/>
        <v>96.111499999999992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load'!AD5:AD79)</f>
        <v>115.67930000000004</v>
      </c>
      <c r="D32" s="20">
        <f>SUMIF('4. Raw load per load'!$B$5:$B$79,"prosumer",'4. Raw load per load'!AD5:AD79)</f>
        <v>17.847300000000004</v>
      </c>
      <c r="E32" s="20">
        <f>SUMIF('4. Raw load per load'!$B$5:$B$79,"customer",'4. Raw load per load'!AD5:AD79)</f>
        <v>12.122100000000001</v>
      </c>
      <c r="F32" s="20">
        <f>SUM('5. Raw batt charge'!C32:AV32)</f>
        <v>0</v>
      </c>
      <c r="G32" s="20">
        <f>SUM('6. Raw batt discharge'!C32:AV32)</f>
        <v>0</v>
      </c>
      <c r="H32" s="21">
        <f t="shared" si="0"/>
        <v>0</v>
      </c>
      <c r="I32" s="21">
        <f t="shared" si="1"/>
        <v>17.847300000000004</v>
      </c>
      <c r="J32" s="21">
        <f t="shared" si="2"/>
        <v>0</v>
      </c>
      <c r="K32" s="21">
        <f t="shared" si="3"/>
        <v>12.122100000000001</v>
      </c>
      <c r="L32" s="21">
        <f t="shared" si="4"/>
        <v>85.709900000000033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load'!AE5:AE79)</f>
        <v>110.35789999999999</v>
      </c>
      <c r="D33" s="20">
        <f>SUMIF('4. Raw load per load'!$B$5:$B$79,"prosumer",'4. Raw load per load'!AE5:AE79)</f>
        <v>14.654900000000001</v>
      </c>
      <c r="E33" s="20">
        <f>SUMIF('4. Raw load per load'!$B$5:$B$79,"customer",'4. Raw load per load'!AE5:AE79)</f>
        <v>9.2959999999999994</v>
      </c>
      <c r="F33" s="20">
        <f>SUM('5. Raw batt charge'!C33:AV33)</f>
        <v>0</v>
      </c>
      <c r="G33" s="20">
        <f>SUM('6. Raw batt discharge'!C33:AV33)</f>
        <v>0</v>
      </c>
      <c r="H33" s="21">
        <f t="shared" si="0"/>
        <v>0</v>
      </c>
      <c r="I33" s="21">
        <f t="shared" si="1"/>
        <v>14.654900000000001</v>
      </c>
      <c r="J33" s="21">
        <f t="shared" si="2"/>
        <v>0</v>
      </c>
      <c r="K33" s="21">
        <f t="shared" si="3"/>
        <v>9.2959999999999994</v>
      </c>
      <c r="L33" s="21">
        <f t="shared" si="4"/>
        <v>86.406999999999982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load'!AF5:AF79)</f>
        <v>103.61500000000008</v>
      </c>
      <c r="D34" s="20">
        <f>SUMIF('4. Raw load per load'!$B$5:$B$79,"prosumer",'4. Raw load per load'!AF5:AF79)</f>
        <v>14.302100000000001</v>
      </c>
      <c r="E34" s="20">
        <f>SUMIF('4. Raw load per load'!$B$5:$B$79,"customer",'4. Raw load per load'!AF5:AF79)</f>
        <v>7.2098999999999993</v>
      </c>
      <c r="F34" s="20">
        <f>SUM('5. Raw batt charge'!C34:AV34)</f>
        <v>0</v>
      </c>
      <c r="G34" s="20">
        <f>SUM('6. Raw batt discharge'!C34:AV34)</f>
        <v>0.26200000000000001</v>
      </c>
      <c r="H34" s="21">
        <f t="shared" si="0"/>
        <v>-0.26200000000000001</v>
      </c>
      <c r="I34" s="21">
        <f t="shared" si="1"/>
        <v>14.302100000000001</v>
      </c>
      <c r="J34" s="21">
        <f t="shared" si="2"/>
        <v>0</v>
      </c>
      <c r="K34" s="21">
        <f t="shared" si="3"/>
        <v>7.2098999999999993</v>
      </c>
      <c r="L34" s="21">
        <f t="shared" si="4"/>
        <v>82.10300000000008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load'!AG5:AG79)</f>
        <v>96.448400000000049</v>
      </c>
      <c r="D35" s="20">
        <f>SUMIF('4. Raw load per load'!$B$5:$B$79,"prosumer",'4. Raw load per load'!AG5:AG79)</f>
        <v>15.745899999999999</v>
      </c>
      <c r="E35" s="20">
        <f>SUMIF('4. Raw load per load'!$B$5:$B$79,"customer",'4. Raw load per load'!AG5:AG79)</f>
        <v>8.0962999999999976</v>
      </c>
      <c r="F35" s="20">
        <f>SUM('5. Raw batt charge'!C35:AV35)</f>
        <v>0.29099999999999998</v>
      </c>
      <c r="G35" s="20">
        <f>SUM('6. Raw batt discharge'!C35:AV35)</f>
        <v>0.439</v>
      </c>
      <c r="H35" s="21">
        <f t="shared" si="0"/>
        <v>-0.14800000000000002</v>
      </c>
      <c r="I35" s="21">
        <f t="shared" si="1"/>
        <v>15.745899999999999</v>
      </c>
      <c r="J35" s="21">
        <f t="shared" si="2"/>
        <v>0</v>
      </c>
      <c r="K35" s="21">
        <f t="shared" si="3"/>
        <v>8.0962999999999976</v>
      </c>
      <c r="L35" s="21">
        <f t="shared" si="4"/>
        <v>72.606200000000044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load'!AH5:AH79)</f>
        <v>87.824699999999993</v>
      </c>
      <c r="D36" s="20">
        <f>SUMIF('4. Raw load per load'!$B$5:$B$79,"prosumer",'4. Raw load per load'!AH5:AH79)</f>
        <v>14.158600000000003</v>
      </c>
      <c r="E36" s="20">
        <f>SUMIF('4. Raw load per load'!$B$5:$B$79,"customer",'4. Raw load per load'!AH5:AH79)</f>
        <v>8.4068999999999985</v>
      </c>
      <c r="F36" s="20">
        <f>SUM('5. Raw batt charge'!C36:AV36)</f>
        <v>0.48799999999999999</v>
      </c>
      <c r="G36" s="20">
        <f>SUM('6. Raw batt discharge'!C36:AV36)</f>
        <v>0</v>
      </c>
      <c r="H36" s="21">
        <f t="shared" si="0"/>
        <v>0.48799999999999999</v>
      </c>
      <c r="I36" s="21">
        <f t="shared" si="1"/>
        <v>14.158600000000003</v>
      </c>
      <c r="J36" s="21">
        <f t="shared" si="2"/>
        <v>0.48799999999999999</v>
      </c>
      <c r="K36" s="21">
        <f t="shared" si="3"/>
        <v>8.4068999999999985</v>
      </c>
      <c r="L36" s="21">
        <f t="shared" si="4"/>
        <v>64.771199999999993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load'!AI5:AI79)</f>
        <v>78.112999999999971</v>
      </c>
      <c r="D37" s="20">
        <f>SUMIF('4. Raw load per load'!$B$5:$B$79,"prosumer",'4. Raw load per load'!AI5:AI79)</f>
        <v>16.922799999999995</v>
      </c>
      <c r="E37" s="20">
        <f>SUMIF('4. Raw load per load'!$B$5:$B$79,"customer",'4. Raw load per load'!AI5:AI79)</f>
        <v>9.6716999999999995</v>
      </c>
      <c r="F37" s="20">
        <f>SUM('5. Raw batt charge'!C37:AV37)</f>
        <v>0</v>
      </c>
      <c r="G37" s="20">
        <f>SUM('6. Raw batt discharge'!C37:AV37)</f>
        <v>0.311</v>
      </c>
      <c r="H37" s="21">
        <f t="shared" si="0"/>
        <v>-0.311</v>
      </c>
      <c r="I37" s="21">
        <f t="shared" si="1"/>
        <v>16.922799999999995</v>
      </c>
      <c r="J37" s="21">
        <f t="shared" si="2"/>
        <v>0</v>
      </c>
      <c r="K37" s="21">
        <f t="shared" si="3"/>
        <v>9.6716999999999995</v>
      </c>
      <c r="L37" s="21">
        <f t="shared" si="4"/>
        <v>51.518499999999975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load'!AJ5:AJ79)</f>
        <v>66.38679999999998</v>
      </c>
      <c r="D38" s="20">
        <f>SUMIF('4. Raw load per load'!$B$5:$B$79,"prosumer",'4. Raw load per load'!AJ5:AJ79)</f>
        <v>16.186</v>
      </c>
      <c r="E38" s="20">
        <f>SUMIF('4. Raw load per load'!$B$5:$B$79,"customer",'4. Raw load per load'!AJ5:AJ79)</f>
        <v>12.533799999999999</v>
      </c>
      <c r="F38" s="20">
        <f>SUM('5. Raw batt charge'!C38:AV38)</f>
        <v>0.111</v>
      </c>
      <c r="G38" s="20">
        <f>SUM('6. Raw batt discharge'!C38:AV38)</f>
        <v>0.19400000000000001</v>
      </c>
      <c r="H38" s="21">
        <f t="shared" si="0"/>
        <v>-8.3000000000000004E-2</v>
      </c>
      <c r="I38" s="21">
        <f t="shared" si="1"/>
        <v>16.186</v>
      </c>
      <c r="J38" s="21">
        <f t="shared" si="2"/>
        <v>0</v>
      </c>
      <c r="K38" s="21">
        <f t="shared" si="3"/>
        <v>12.533799999999999</v>
      </c>
      <c r="L38" s="21">
        <f t="shared" si="4"/>
        <v>37.66699999999998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load'!AK5:AK79)</f>
        <v>55.411200000000008</v>
      </c>
      <c r="D39" s="20">
        <f>SUMIF('4. Raw load per load'!$B$5:$B$79,"prosumer",'4. Raw load per load'!AK5:AK79)</f>
        <v>17.741699999999998</v>
      </c>
      <c r="E39" s="20">
        <f>SUMIF('4. Raw load per load'!$B$5:$B$79,"customer",'4. Raw load per load'!AK5:AK79)</f>
        <v>8.742799999999999</v>
      </c>
      <c r="F39" s="20">
        <f>SUM('5. Raw batt charge'!C39:AV39)</f>
        <v>0.439</v>
      </c>
      <c r="G39" s="20">
        <f>SUM('6. Raw batt discharge'!C39:AV39)</f>
        <v>1.4359999999999999</v>
      </c>
      <c r="H39" s="21">
        <f t="shared" si="0"/>
        <v>-0.99699999999999989</v>
      </c>
      <c r="I39" s="21">
        <f t="shared" si="1"/>
        <v>17.741699999999998</v>
      </c>
      <c r="J39" s="21">
        <f t="shared" si="2"/>
        <v>0</v>
      </c>
      <c r="K39" s="21">
        <f t="shared" si="3"/>
        <v>8.742799999999999</v>
      </c>
      <c r="L39" s="21">
        <f t="shared" si="4"/>
        <v>28.926700000000015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load'!AL5:AL79)</f>
        <v>44.13310000000002</v>
      </c>
      <c r="D40" s="20">
        <f>SUMIF('4. Raw load per load'!$B$5:$B$79,"prosumer",'4. Raw load per load'!AL5:AL79)</f>
        <v>19.917300000000001</v>
      </c>
      <c r="E40" s="20">
        <f>SUMIF('4. Raw load per load'!$B$5:$B$79,"customer",'4. Raw load per load'!AL5:AL79)</f>
        <v>15.136099999999995</v>
      </c>
      <c r="F40" s="20">
        <f>SUM('5. Raw batt charge'!C40:AV40)</f>
        <v>0.32500000000000001</v>
      </c>
      <c r="G40" s="20">
        <f>SUM('6. Raw batt discharge'!C40:AV40)</f>
        <v>6.4910000000000005</v>
      </c>
      <c r="H40" s="21">
        <f t="shared" si="0"/>
        <v>-6.1660000000000004</v>
      </c>
      <c r="I40" s="21">
        <f t="shared" si="1"/>
        <v>19.917300000000001</v>
      </c>
      <c r="J40" s="21">
        <f t="shared" si="2"/>
        <v>0</v>
      </c>
      <c r="K40" s="21">
        <f t="shared" si="3"/>
        <v>15.136099999999995</v>
      </c>
      <c r="L40" s="21">
        <f t="shared" si="4"/>
        <v>9.0797000000000239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load'!AM5:AM79)</f>
        <v>33.224899999999984</v>
      </c>
      <c r="D41" s="20">
        <f>SUMIF('4. Raw load per load'!$B$5:$B$79,"prosumer",'4. Raw load per load'!AM5:AM79)</f>
        <v>20.275299999999998</v>
      </c>
      <c r="E41" s="20">
        <f>SUMIF('4. Raw load per load'!$B$5:$B$79,"customer",'4. Raw load per load'!AM5:AM79)</f>
        <v>9.0074999999999985</v>
      </c>
      <c r="F41" s="20">
        <f>SUM('5. Raw batt charge'!C41:AV41)</f>
        <v>8.3000000000000004E-2</v>
      </c>
      <c r="G41" s="20">
        <f>SUM('6. Raw batt discharge'!C41:AV41)</f>
        <v>7.27</v>
      </c>
      <c r="H41" s="21">
        <f t="shared" si="0"/>
        <v>-7.1869999999999994</v>
      </c>
      <c r="I41" s="21">
        <f t="shared" si="1"/>
        <v>20.275299999999998</v>
      </c>
      <c r="J41" s="21">
        <f t="shared" si="2"/>
        <v>0</v>
      </c>
      <c r="K41" s="21">
        <f t="shared" si="3"/>
        <v>9.0074999999999985</v>
      </c>
      <c r="L41" s="21">
        <f t="shared" si="4"/>
        <v>3.9420999999999875</v>
      </c>
      <c r="M41" s="21">
        <f t="shared" si="5"/>
        <v>0</v>
      </c>
    </row>
    <row r="42" spans="1:13" x14ac:dyDescent="0.25">
      <c r="A42" s="8">
        <v>38</v>
      </c>
      <c r="B42" s="19">
        <v>18.5</v>
      </c>
      <c r="C42" s="20">
        <f>SUM('3. Raw PV per load'!AN5:AN79)</f>
        <v>22.707900000000006</v>
      </c>
      <c r="D42" s="20">
        <f>SUMIF('4. Raw load per load'!$B$5:$B$79,"prosumer",'4. Raw load per load'!AN5:AN79)</f>
        <v>20.723999999999997</v>
      </c>
      <c r="E42" s="20">
        <f>SUMIF('4. Raw load per load'!$B$5:$B$79,"customer",'4. Raw load per load'!AN5:AN79)</f>
        <v>10.353300000000003</v>
      </c>
      <c r="F42" s="20">
        <f>SUM('5. Raw batt charge'!C42:AV42)</f>
        <v>0.44700000000000001</v>
      </c>
      <c r="G42" s="20">
        <f>SUM('6. Raw batt discharge'!C42:AV42)</f>
        <v>8.4510000000000005</v>
      </c>
      <c r="H42" s="21">
        <f t="shared" si="0"/>
        <v>-8.0040000000000013</v>
      </c>
      <c r="I42" s="21">
        <f t="shared" si="1"/>
        <v>20.723999999999997</v>
      </c>
      <c r="J42" s="21">
        <f t="shared" si="2"/>
        <v>0</v>
      </c>
      <c r="K42" s="21">
        <f t="shared" si="3"/>
        <v>1.9839000000000091</v>
      </c>
      <c r="L42" s="21">
        <f t="shared" si="4"/>
        <v>0</v>
      </c>
      <c r="M42" s="21">
        <f t="shared" si="5"/>
        <v>8.3693999999999935</v>
      </c>
    </row>
    <row r="43" spans="1:13" x14ac:dyDescent="0.25">
      <c r="A43" s="8">
        <v>39</v>
      </c>
      <c r="B43" s="19">
        <v>19</v>
      </c>
      <c r="C43" s="20">
        <f>SUM('3. Raw PV per load'!AO5:AO79)</f>
        <v>13.259099999999995</v>
      </c>
      <c r="D43" s="20">
        <f>SUMIF('4. Raw load per load'!$B$5:$B$79,"prosumer",'4. Raw load per load'!AO5:AO79)</f>
        <v>15.335699999999996</v>
      </c>
      <c r="E43" s="20">
        <f>SUMIF('4. Raw load per load'!$B$5:$B$79,"customer",'4. Raw load per load'!AO5:AO79)</f>
        <v>9.6004999999999985</v>
      </c>
      <c r="F43" s="20">
        <f>SUM('5. Raw batt charge'!C43:AV43)</f>
        <v>0.87800000000000011</v>
      </c>
      <c r="G43" s="20">
        <f>SUM('6. Raw batt discharge'!C43:AV43)</f>
        <v>6.0289999999999999</v>
      </c>
      <c r="H43" s="21">
        <f t="shared" si="0"/>
        <v>-5.1509999999999998</v>
      </c>
      <c r="I43" s="21">
        <f t="shared" si="1"/>
        <v>13.259099999999995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9.6004999999999985</v>
      </c>
    </row>
    <row r="44" spans="1:13" x14ac:dyDescent="0.25">
      <c r="A44" s="8">
        <v>40</v>
      </c>
      <c r="B44" s="19">
        <v>19.5</v>
      </c>
      <c r="C44" s="20">
        <f>SUM('3. Raw PV per load'!AP5:AP79)</f>
        <v>3.8592000000000017</v>
      </c>
      <c r="D44" s="20">
        <f>SUMIF('4. Raw load per load'!$B$5:$B$79,"prosumer",'4. Raw load per load'!AP5:AP79)</f>
        <v>19.8078</v>
      </c>
      <c r="E44" s="20">
        <f>SUMIF('4. Raw load per load'!$B$5:$B$79,"customer",'4. Raw load per load'!AP5:AP79)</f>
        <v>13.855799999999995</v>
      </c>
      <c r="F44" s="20">
        <f>SUM('5. Raw batt charge'!C44:AV44)</f>
        <v>2.1000000000000001E-2</v>
      </c>
      <c r="G44" s="20">
        <f>SUM('6. Raw batt discharge'!C44:AV44)</f>
        <v>16.094000000000001</v>
      </c>
      <c r="H44" s="21">
        <f t="shared" si="0"/>
        <v>-16.073</v>
      </c>
      <c r="I44" s="21">
        <f t="shared" si="1"/>
        <v>3.8592000000000017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13.855799999999995</v>
      </c>
    </row>
    <row r="45" spans="1:13" x14ac:dyDescent="0.25">
      <c r="A45" s="8">
        <v>41</v>
      </c>
      <c r="B45" s="19">
        <v>20</v>
      </c>
      <c r="C45" s="20">
        <f>SUM('3. Raw PV per load'!AQ5:AQ79)</f>
        <v>0.71260000000000023</v>
      </c>
      <c r="D45" s="20">
        <f>SUMIF('4. Raw load per load'!$B$5:$B$79,"prosumer",'4. Raw load per load'!AQ5:AQ79)</f>
        <v>22.717899999999997</v>
      </c>
      <c r="E45" s="20">
        <f>SUMIF('4. Raw load per load'!$B$5:$B$79,"customer",'4. Raw load per load'!AQ5:AQ79)</f>
        <v>12.428400000000002</v>
      </c>
      <c r="F45" s="20">
        <f>SUM('5. Raw batt charge'!C45:AV45)</f>
        <v>0</v>
      </c>
      <c r="G45" s="20">
        <f>SUM('6. Raw batt discharge'!C45:AV45)</f>
        <v>22.003000000000004</v>
      </c>
      <c r="H45" s="21">
        <f t="shared" si="0"/>
        <v>-22.003000000000004</v>
      </c>
      <c r="I45" s="21">
        <f t="shared" si="1"/>
        <v>0.71260000000000023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12.428400000000002</v>
      </c>
    </row>
    <row r="46" spans="1:13" x14ac:dyDescent="0.25">
      <c r="A46" s="8">
        <v>42</v>
      </c>
      <c r="B46" s="19">
        <v>20.5</v>
      </c>
      <c r="C46" s="20">
        <f>SUM('3. Raw PV per load'!AR5:AR79)</f>
        <v>0</v>
      </c>
      <c r="D46" s="20">
        <f>SUMIF('4. Raw load per load'!$B$5:$B$79,"prosumer",'4. Raw load per load'!AR5:AR79)</f>
        <v>23.712</v>
      </c>
      <c r="E46" s="20">
        <f>SUMIF('4. Raw load per load'!$B$5:$B$79,"customer",'4. Raw load per load'!AR5:AR79)</f>
        <v>11.370599999999998</v>
      </c>
      <c r="F46" s="20">
        <f>SUM('5. Raw batt charge'!C46:AV46)</f>
        <v>0</v>
      </c>
      <c r="G46" s="20">
        <f>SUM('6. Raw batt discharge'!C46:AV46)</f>
        <v>21.21</v>
      </c>
      <c r="H46" s="21">
        <f t="shared" si="0"/>
        <v>-21.21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11.370599999999998</v>
      </c>
    </row>
    <row r="47" spans="1:13" x14ac:dyDescent="0.25">
      <c r="A47" s="8">
        <v>43</v>
      </c>
      <c r="B47" s="19">
        <v>21</v>
      </c>
      <c r="C47" s="20">
        <f>SUM('3. Raw PV per load'!AS5:AS79)</f>
        <v>0</v>
      </c>
      <c r="D47" s="20">
        <f>SUMIF('4. Raw load per load'!$B$5:$B$79,"prosumer",'4. Raw load per load'!AS5:AS79)</f>
        <v>25.374999999999986</v>
      </c>
      <c r="E47" s="20">
        <f>SUMIF('4. Raw load per load'!$B$5:$B$79,"customer",'4. Raw load per load'!AS5:AS79)</f>
        <v>12.856400000000001</v>
      </c>
      <c r="F47" s="20">
        <f>SUM('5. Raw batt charge'!C47:AV47)</f>
        <v>0</v>
      </c>
      <c r="G47" s="20">
        <f>SUM('6. Raw batt discharge'!C47:AV47)</f>
        <v>21.408000000000001</v>
      </c>
      <c r="H47" s="21">
        <f t="shared" si="0"/>
        <v>-21.408000000000001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12.856400000000001</v>
      </c>
    </row>
    <row r="48" spans="1:13" x14ac:dyDescent="0.25">
      <c r="A48" s="8">
        <v>44</v>
      </c>
      <c r="B48" s="19">
        <v>21.5</v>
      </c>
      <c r="C48" s="20">
        <f>SUM('3. Raw PV per load'!AT5:AT79)</f>
        <v>0</v>
      </c>
      <c r="D48" s="20">
        <f>SUMIF('4. Raw load per load'!$B$5:$B$79,"prosumer",'4. Raw load per load'!AT5:AT79)</f>
        <v>21.354300000000002</v>
      </c>
      <c r="E48" s="20">
        <f>SUMIF('4. Raw load per load'!$B$5:$B$79,"customer",'4. Raw load per load'!AT5:AT79)</f>
        <v>13.824400000000002</v>
      </c>
      <c r="F48" s="20">
        <f>SUM('5. Raw batt charge'!C48:AV48)</f>
        <v>0</v>
      </c>
      <c r="G48" s="20">
        <f>SUM('6. Raw batt discharge'!C48:AV48)</f>
        <v>19.043000000000003</v>
      </c>
      <c r="H48" s="21">
        <f t="shared" si="0"/>
        <v>-19.043000000000003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13.824400000000002</v>
      </c>
    </row>
    <row r="49" spans="1:13" x14ac:dyDescent="0.25">
      <c r="A49" s="8">
        <v>45</v>
      </c>
      <c r="B49" s="19">
        <v>22</v>
      </c>
      <c r="C49" s="20">
        <f>SUM('3. Raw PV per load'!AU5:AU79)</f>
        <v>0</v>
      </c>
      <c r="D49" s="20">
        <f>SUMIF('4. Raw load per load'!$B$5:$B$79,"prosumer",'4. Raw load per load'!AU5:AU79)</f>
        <v>22.466700000000003</v>
      </c>
      <c r="E49" s="20">
        <f>SUMIF('4. Raw load per load'!$B$5:$B$79,"customer",'4. Raw load per load'!AU5:AU79)</f>
        <v>12.329900000000002</v>
      </c>
      <c r="F49" s="20">
        <f>SUM('5. Raw batt charge'!C49:AV49)</f>
        <v>0</v>
      </c>
      <c r="G49" s="20">
        <f>SUM('6. Raw batt discharge'!C49:AV49)</f>
        <v>19.530000000000005</v>
      </c>
      <c r="H49" s="21">
        <f t="shared" si="0"/>
        <v>-19.530000000000005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12.329900000000002</v>
      </c>
    </row>
    <row r="50" spans="1:13" x14ac:dyDescent="0.25">
      <c r="A50" s="8">
        <v>46</v>
      </c>
      <c r="B50" s="19">
        <v>22.5</v>
      </c>
      <c r="C50" s="20">
        <f>SUM('3. Raw PV per load'!AV5:AV79)</f>
        <v>0</v>
      </c>
      <c r="D50" s="20">
        <f>SUMIF('4. Raw load per load'!$B$5:$B$79,"prosumer",'4. Raw load per load'!AV5:AV79)</f>
        <v>22.271100000000001</v>
      </c>
      <c r="E50" s="20">
        <f>SUMIF('4. Raw load per load'!$B$5:$B$79,"customer",'4. Raw load per load'!AV5:AV79)</f>
        <v>12.190799999999999</v>
      </c>
      <c r="F50" s="20">
        <f>SUM('5. Raw batt charge'!C50:AV50)</f>
        <v>0</v>
      </c>
      <c r="G50" s="20">
        <f>SUM('6. Raw batt discharge'!C50:AV50)</f>
        <v>19.96</v>
      </c>
      <c r="H50" s="21">
        <f t="shared" si="0"/>
        <v>-19.96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12.190799999999999</v>
      </c>
    </row>
    <row r="51" spans="1:13" x14ac:dyDescent="0.25">
      <c r="A51" s="8">
        <v>47</v>
      </c>
      <c r="B51" s="19">
        <v>23</v>
      </c>
      <c r="C51" s="20">
        <f>SUM('3. Raw PV per load'!AW5:AW79)</f>
        <v>0</v>
      </c>
      <c r="D51" s="20">
        <f>SUMIF('4. Raw load per load'!$B$5:$B$79,"prosumer",'4. Raw load per load'!AW5:AW79)</f>
        <v>20.369300000000003</v>
      </c>
      <c r="E51" s="20">
        <f>SUMIF('4. Raw load per load'!$B$5:$B$79,"customer",'4. Raw load per load'!AW5:AW79)</f>
        <v>10.5107</v>
      </c>
      <c r="F51" s="20">
        <f>SUM('5. Raw batt charge'!C51:AV51)</f>
        <v>0</v>
      </c>
      <c r="G51" s="20">
        <f>SUM('6. Raw batt discharge'!C51:AV51)</f>
        <v>14.781999999999998</v>
      </c>
      <c r="H51" s="21">
        <f t="shared" si="0"/>
        <v>-14.781999999999998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10.5107</v>
      </c>
    </row>
    <row r="52" spans="1:13" x14ac:dyDescent="0.25">
      <c r="A52" s="8">
        <v>48</v>
      </c>
      <c r="B52" s="19">
        <v>23.5</v>
      </c>
      <c r="C52" s="20">
        <f>SUM('3. Raw PV per load'!AX5:AX79)</f>
        <v>0</v>
      </c>
      <c r="D52" s="20">
        <f>SUMIF('4. Raw load per load'!$B$5:$B$79,"prosumer",'4. Raw load per load'!AX5:AX79)</f>
        <v>13.759400000000001</v>
      </c>
      <c r="E52" s="20">
        <f>SUMIF('4. Raw load per load'!$B$5:$B$79,"customer",'4. Raw load per load'!AX5:AX79)</f>
        <v>8.7428999999999988</v>
      </c>
      <c r="F52" s="20">
        <f>SUM('5. Raw batt charge'!C52:AV52)</f>
        <v>0</v>
      </c>
      <c r="G52" s="20">
        <f>SUM('6. Raw batt discharge'!C52:AV52)</f>
        <v>10.322000000000001</v>
      </c>
      <c r="H52" s="21">
        <f t="shared" si="0"/>
        <v>-10.322000000000001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8.7428999999999988</v>
      </c>
    </row>
    <row r="53" spans="1:13" x14ac:dyDescent="0.25">
      <c r="A53" s="22" t="s">
        <v>325</v>
      </c>
      <c r="B53" s="22" t="s">
        <v>31</v>
      </c>
      <c r="C53" s="23">
        <f t="shared" ref="C53:M53" si="6">SUM(C5:C52)*0.5</f>
        <v>1162.9932999999999</v>
      </c>
      <c r="D53" s="23">
        <f t="shared" si="6"/>
        <v>343.41209999999995</v>
      </c>
      <c r="E53" s="23">
        <f t="shared" si="6"/>
        <v>202.74299999999999</v>
      </c>
      <c r="F53" s="23">
        <f t="shared" si="6"/>
        <v>162.28749999999999</v>
      </c>
      <c r="G53" s="23">
        <f t="shared" si="6"/>
        <v>132.32615000000001</v>
      </c>
      <c r="H53" s="23">
        <f t="shared" si="6"/>
        <v>29.961349999999975</v>
      </c>
      <c r="I53" s="23">
        <f t="shared" si="6"/>
        <v>218.51224999999997</v>
      </c>
      <c r="J53" s="23">
        <f t="shared" si="6"/>
        <v>155.75379999999996</v>
      </c>
      <c r="K53" s="23">
        <f t="shared" si="6"/>
        <v>100.76544999999996</v>
      </c>
      <c r="L53" s="23">
        <f t="shared" si="6"/>
        <v>687.96179999999981</v>
      </c>
      <c r="M53" s="23">
        <f t="shared" si="6"/>
        <v>101.97755000000002</v>
      </c>
    </row>
    <row r="55" spans="1:13" x14ac:dyDescent="0.25">
      <c r="A55" s="15" t="s">
        <v>326</v>
      </c>
    </row>
    <row r="56" spans="1:13" x14ac:dyDescent="0.25">
      <c r="A56" s="15" t="s">
        <v>327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tabSelected="1" workbookViewId="0">
      <selection activeCell="K20" sqref="K20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328</v>
      </c>
    </row>
    <row r="3" spans="1:7" x14ac:dyDescent="0.25">
      <c r="A3" s="2" t="s">
        <v>329</v>
      </c>
      <c r="E3" s="2" t="s">
        <v>330</v>
      </c>
    </row>
    <row r="4" spans="1:7" x14ac:dyDescent="0.25">
      <c r="A4" s="5" t="s">
        <v>331</v>
      </c>
      <c r="B4" s="5" t="s">
        <v>31</v>
      </c>
      <c r="C4" s="5" t="s">
        <v>37</v>
      </c>
      <c r="E4" s="5" t="s">
        <v>332</v>
      </c>
      <c r="F4" s="5" t="s">
        <v>31</v>
      </c>
      <c r="G4" s="5" t="s">
        <v>333</v>
      </c>
    </row>
    <row r="5" spans="1:7" x14ac:dyDescent="0.25">
      <c r="A5" s="8" t="s">
        <v>334</v>
      </c>
      <c r="B5" s="21">
        <f>'7. PV allocation (per period)'!I53</f>
        <v>218.51224999999997</v>
      </c>
      <c r="C5" s="24">
        <f>'7. PV allocation (per period)'!I53/'7. PV allocation (per period)'!C53</f>
        <v>0.18788779780588588</v>
      </c>
      <c r="E5" s="8" t="s">
        <v>335</v>
      </c>
      <c r="F5" s="21">
        <f>'7. PV allocation (per period)'!K53</f>
        <v>100.76544999999996</v>
      </c>
      <c r="G5" s="24">
        <f>'7. PV allocation (per period)'!K53/'7. PV allocation (per period)'!E53</f>
        <v>0.49701074759671093</v>
      </c>
    </row>
    <row r="6" spans="1:7" x14ac:dyDescent="0.25">
      <c r="A6" s="8" t="s">
        <v>33</v>
      </c>
      <c r="B6" s="21">
        <f>'7. PV allocation (per period)'!J53</f>
        <v>155.75379999999996</v>
      </c>
      <c r="C6" s="24">
        <f>'7. PV allocation (per period)'!J53/'7. PV allocation (per period)'!C53</f>
        <v>0.13392493318749127</v>
      </c>
      <c r="E6" s="8" t="s">
        <v>336</v>
      </c>
      <c r="F6" s="21">
        <f>'7. PV allocation (per period)'!M53</f>
        <v>101.97755000000002</v>
      </c>
      <c r="G6" s="24">
        <f>'7. PV allocation (per period)'!M53/'7. PV allocation (per period)'!E53</f>
        <v>0.50298925240328907</v>
      </c>
    </row>
    <row r="7" spans="1:7" x14ac:dyDescent="0.25">
      <c r="A7" s="8" t="s">
        <v>34</v>
      </c>
      <c r="B7" s="21">
        <f>'7. PV allocation (per period)'!K53</f>
        <v>100.76544999999996</v>
      </c>
      <c r="C7" s="24">
        <f>'7. PV allocation (per period)'!K53/'7. PV allocation (per period)'!C53</f>
        <v>8.664319046377994E-2</v>
      </c>
      <c r="E7" s="22" t="s">
        <v>337</v>
      </c>
      <c r="F7" s="23">
        <f>'7. PV allocation (per period)'!E53</f>
        <v>202.74299999999999</v>
      </c>
      <c r="G7" s="25">
        <v>1</v>
      </c>
    </row>
    <row r="8" spans="1:7" x14ac:dyDescent="0.25">
      <c r="A8" s="8" t="s">
        <v>35</v>
      </c>
      <c r="B8" s="21">
        <f>'7. PV allocation (per period)'!L53</f>
        <v>687.96179999999981</v>
      </c>
      <c r="C8" s="24">
        <f>'7. PV allocation (per period)'!L53/'7. PV allocation (per period)'!C53</f>
        <v>0.59154407854284274</v>
      </c>
    </row>
    <row r="9" spans="1:7" x14ac:dyDescent="0.25">
      <c r="A9" s="22" t="s">
        <v>338</v>
      </c>
      <c r="B9" s="23">
        <f>'7. PV allocation (per period)'!C53</f>
        <v>1162.9932999999999</v>
      </c>
      <c r="C9" s="25">
        <v>1</v>
      </c>
    </row>
    <row r="55" spans="1:1" x14ac:dyDescent="0.25">
      <c r="A55" s="15" t="s">
        <v>339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2026-07-24T17:59:40Z</dcterms:created>
  <dcterms:modified xsi:type="dcterms:W3CDTF">2026-07-24T18:07:21Z</dcterms:modified>
</cp:coreProperties>
</file>