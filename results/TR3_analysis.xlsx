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c22\projects\UAI-SFU-colab\results\TR3_analysis\"/>
    </mc:Choice>
  </mc:AlternateContent>
  <xr:revisionPtr revIDLastSave="0" documentId="8_{4E0960AF-980D-437F-A392-88A7547CD001}" xr6:coauthVersionLast="47" xr6:coauthVersionMax="47" xr10:uidLastSave="{00000000-0000-0000-0000-000000000000}"/>
  <bookViews>
    <workbookView xWindow="-120" yWindow="-120" windowWidth="38640" windowHeight="21120" firstSheet="13" activeTab="15" xr2:uid="{00000000-000D-0000-FFFF-FFFF00000000}"/>
  </bookViews>
  <sheets>
    <sheet name="ReadMe" sheetId="1" r:id="rId1"/>
    <sheet name="Summary" sheetId="2" r:id="rId2"/>
    <sheet name="FleetAverage" sheetId="3" r:id="rId3"/>
    <sheet name="SOC_pct" sheetId="4" r:id="rId4"/>
    <sheet name="Demand_kW" sheetId="5" r:id="rId5"/>
    <sheet name="PV_kW" sheetId="6" r:id="rId6"/>
    <sheet name="Charge_kW" sheetId="7" r:id="rId7"/>
    <sheet name="Discharge_kW" sheetId="8" r:id="rId8"/>
    <sheet name="Net_kW" sheetId="9" r:id="rId9"/>
    <sheet name="ProsumerMetrics" sheetId="10" r:id="rId10"/>
    <sheet name="Dashboard" sheetId="11" r:id="rId11"/>
    <sheet name="ChartData" sheetId="12" r:id="rId12"/>
    <sheet name="Fleet Avg Figure" sheetId="13" r:id="rId13"/>
    <sheet name="Self Consumption Figure" sheetId="14" r:id="rId14"/>
    <sheet name="Net Per Prosumer Figure" sheetId="15" r:id="rId15"/>
    <sheet name="Demand PV Dispatch Figur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1" i="16" l="1"/>
  <c r="A81" i="16"/>
  <c r="D79" i="16"/>
  <c r="E75" i="16"/>
  <c r="C75" i="16"/>
  <c r="B75" i="16"/>
  <c r="E73" i="16"/>
  <c r="D73" i="16"/>
  <c r="C73" i="16"/>
  <c r="B73" i="16"/>
  <c r="D70" i="16"/>
  <c r="C70" i="16"/>
  <c r="A69" i="16"/>
  <c r="E67" i="16"/>
  <c r="D67" i="16"/>
  <c r="C67" i="16"/>
  <c r="E62" i="16"/>
  <c r="D62" i="16"/>
  <c r="E61" i="16"/>
  <c r="C61" i="16"/>
  <c r="B61" i="16"/>
  <c r="E57" i="16"/>
  <c r="C57" i="16"/>
  <c r="D52" i="16"/>
  <c r="D51" i="16"/>
  <c r="C51" i="16"/>
  <c r="E50" i="16"/>
  <c r="D49" i="16"/>
  <c r="E47" i="16"/>
  <c r="D47" i="16"/>
  <c r="B46" i="16"/>
  <c r="E45" i="16"/>
  <c r="A44" i="16"/>
  <c r="B42" i="16"/>
  <c r="A42" i="16"/>
  <c r="B41" i="16"/>
  <c r="E39" i="16"/>
  <c r="C38" i="16"/>
  <c r="B38" i="16"/>
  <c r="A74" i="15"/>
  <c r="B73" i="15"/>
  <c r="B71" i="15"/>
  <c r="B67" i="15"/>
  <c r="B65" i="15"/>
  <c r="A65" i="15"/>
  <c r="B63" i="15"/>
  <c r="B62" i="15"/>
  <c r="A62" i="15"/>
  <c r="B61" i="15"/>
  <c r="B60" i="15"/>
  <c r="B59" i="15"/>
  <c r="A56" i="15"/>
  <c r="B55" i="15"/>
  <c r="B51" i="15"/>
  <c r="B50" i="15"/>
  <c r="B49" i="15"/>
  <c r="B48" i="15"/>
  <c r="B45" i="15"/>
  <c r="B43" i="15"/>
  <c r="A42" i="15"/>
  <c r="B41" i="15"/>
  <c r="B39" i="15"/>
  <c r="B35" i="15"/>
  <c r="B33" i="15"/>
  <c r="A33" i="15"/>
  <c r="B31" i="15"/>
  <c r="C30" i="15"/>
  <c r="B30" i="15"/>
  <c r="A30" i="15"/>
  <c r="B28" i="15"/>
  <c r="C27" i="15"/>
  <c r="B27" i="15"/>
  <c r="A84" i="14"/>
  <c r="F83" i="14"/>
  <c r="B83" i="14"/>
  <c r="F82" i="14"/>
  <c r="B82" i="14"/>
  <c r="F81" i="14"/>
  <c r="B81" i="14"/>
  <c r="B79" i="14"/>
  <c r="F78" i="14"/>
  <c r="F77" i="14"/>
  <c r="B77" i="14"/>
  <c r="A75" i="14"/>
  <c r="F74" i="14"/>
  <c r="B74" i="14"/>
  <c r="A74" i="14"/>
  <c r="B73" i="14"/>
  <c r="A72" i="14"/>
  <c r="F71" i="14"/>
  <c r="B69" i="14"/>
  <c r="B67" i="14"/>
  <c r="G66" i="14"/>
  <c r="F66" i="14"/>
  <c r="F65" i="14"/>
  <c r="B65" i="14"/>
  <c r="G63" i="14"/>
  <c r="F63" i="14"/>
  <c r="B63" i="14"/>
  <c r="F62" i="14"/>
  <c r="B62" i="14"/>
  <c r="B61" i="14"/>
  <c r="G60" i="14"/>
  <c r="B60" i="14"/>
  <c r="B59" i="14"/>
  <c r="G58" i="14"/>
  <c r="F58" i="14"/>
  <c r="B58" i="14"/>
  <c r="F54" i="14"/>
  <c r="B54" i="14"/>
  <c r="A54" i="14"/>
  <c r="G53" i="14"/>
  <c r="B53" i="14"/>
  <c r="A52" i="14"/>
  <c r="B51" i="14"/>
  <c r="G50" i="14"/>
  <c r="F50" i="14"/>
  <c r="B50" i="14"/>
  <c r="G49" i="14"/>
  <c r="F49" i="14"/>
  <c r="B49" i="14"/>
  <c r="B47" i="14"/>
  <c r="F46" i="14"/>
  <c r="B46" i="14"/>
  <c r="C45" i="14"/>
  <c r="B45" i="14"/>
  <c r="B44" i="14"/>
  <c r="F40" i="14"/>
  <c r="E40" i="14"/>
  <c r="D40" i="14"/>
  <c r="C40" i="14"/>
  <c r="B40" i="14"/>
  <c r="A40" i="14"/>
  <c r="F39" i="14"/>
  <c r="A37" i="14"/>
  <c r="C74" i="13"/>
  <c r="A74" i="13"/>
  <c r="B71" i="13"/>
  <c r="B70" i="13"/>
  <c r="A70" i="13"/>
  <c r="B69" i="13"/>
  <c r="D68" i="13"/>
  <c r="D67" i="13"/>
  <c r="C67" i="13"/>
  <c r="B67" i="13"/>
  <c r="F62" i="13"/>
  <c r="E62" i="13"/>
  <c r="D62" i="13"/>
  <c r="C62" i="13"/>
  <c r="B62" i="13"/>
  <c r="A62" i="13"/>
  <c r="C59" i="13"/>
  <c r="A58" i="13"/>
  <c r="E53" i="13"/>
  <c r="A53" i="13"/>
  <c r="C52" i="13"/>
  <c r="D51" i="13"/>
  <c r="A50" i="13"/>
  <c r="D49" i="13"/>
  <c r="C47" i="13"/>
  <c r="A47" i="13"/>
  <c r="E46" i="13"/>
  <c r="C42" i="13"/>
  <c r="A42" i="13"/>
  <c r="E41" i="13"/>
  <c r="D41" i="13"/>
  <c r="C38" i="13"/>
  <c r="B38" i="13"/>
  <c r="E37" i="13"/>
  <c r="E36" i="13"/>
  <c r="D36" i="13"/>
  <c r="C36" i="13"/>
  <c r="B36" i="13"/>
  <c r="C35" i="13"/>
  <c r="B35" i="13"/>
  <c r="F33" i="13"/>
  <c r="D33" i="13"/>
  <c r="A33" i="13"/>
  <c r="F30" i="13"/>
  <c r="B30" i="13"/>
  <c r="A30" i="13"/>
  <c r="C27" i="13"/>
  <c r="B27" i="13"/>
  <c r="M50" i="12"/>
  <c r="L50" i="12"/>
  <c r="K50" i="12"/>
  <c r="AF49" i="12"/>
  <c r="F84" i="14" s="1"/>
  <c r="AB49" i="12"/>
  <c r="AA49" i="12"/>
  <c r="T49" i="12"/>
  <c r="A85" i="16" s="1"/>
  <c r="M49" i="12"/>
  <c r="L49" i="12"/>
  <c r="K49" i="12"/>
  <c r="F49" i="12"/>
  <c r="C49" i="12"/>
  <c r="AG48" i="12"/>
  <c r="G83" i="14" s="1"/>
  <c r="AF48" i="12"/>
  <c r="AB48" i="12"/>
  <c r="X48" i="12"/>
  <c r="E84" i="16" s="1"/>
  <c r="W48" i="12"/>
  <c r="D84" i="16" s="1"/>
  <c r="V48" i="12"/>
  <c r="C84" i="16" s="1"/>
  <c r="U48" i="12"/>
  <c r="B84" i="16" s="1"/>
  <c r="T48" i="12"/>
  <c r="A84" i="16" s="1"/>
  <c r="M48" i="12"/>
  <c r="L48" i="12"/>
  <c r="K48" i="12"/>
  <c r="H48" i="12"/>
  <c r="G48" i="12"/>
  <c r="F48" i="12"/>
  <c r="D48" i="12"/>
  <c r="B48" i="12"/>
  <c r="AF47" i="12"/>
  <c r="AB47" i="12"/>
  <c r="B72" i="15" s="1"/>
  <c r="U47" i="12"/>
  <c r="M47" i="12"/>
  <c r="L47" i="12"/>
  <c r="K47" i="12"/>
  <c r="I47" i="12"/>
  <c r="H47" i="12"/>
  <c r="G47" i="12"/>
  <c r="C47" i="12"/>
  <c r="B47" i="12"/>
  <c r="A47" i="12"/>
  <c r="AF46" i="12"/>
  <c r="AB46" i="12"/>
  <c r="U46" i="12"/>
  <c r="B82" i="16" s="1"/>
  <c r="M46" i="12"/>
  <c r="L46" i="12"/>
  <c r="K46" i="12"/>
  <c r="F46" i="12"/>
  <c r="A46" i="12"/>
  <c r="AF45" i="12"/>
  <c r="F80" i="14" s="1"/>
  <c r="AB45" i="12"/>
  <c r="AA45" i="12"/>
  <c r="X45" i="12"/>
  <c r="E70" i="13" s="1"/>
  <c r="W45" i="12"/>
  <c r="D70" i="13" s="1"/>
  <c r="V45" i="12"/>
  <c r="C81" i="16" s="1"/>
  <c r="U45" i="12"/>
  <c r="T45" i="12"/>
  <c r="M45" i="12"/>
  <c r="L45" i="12"/>
  <c r="K45" i="12"/>
  <c r="G45" i="12"/>
  <c r="F45" i="12"/>
  <c r="C45" i="12"/>
  <c r="AG44" i="12"/>
  <c r="G79" i="14" s="1"/>
  <c r="AF44" i="12"/>
  <c r="F79" i="14" s="1"/>
  <c r="AB44" i="12"/>
  <c r="B69" i="15" s="1"/>
  <c r="M44" i="12"/>
  <c r="L44" i="12"/>
  <c r="K44" i="12"/>
  <c r="H44" i="12"/>
  <c r="G44" i="12"/>
  <c r="B44" i="12"/>
  <c r="AF43" i="12"/>
  <c r="AB43" i="12"/>
  <c r="B68" i="15" s="1"/>
  <c r="W43" i="12"/>
  <c r="V43" i="12"/>
  <c r="C79" i="16" s="1"/>
  <c r="U43" i="12"/>
  <c r="T43" i="12"/>
  <c r="M43" i="12"/>
  <c r="L43" i="12"/>
  <c r="K43" i="12"/>
  <c r="G43" i="12"/>
  <c r="F43" i="12"/>
  <c r="D43" i="12"/>
  <c r="C43" i="12"/>
  <c r="B43" i="12"/>
  <c r="A43" i="12"/>
  <c r="AG42" i="12"/>
  <c r="G77" i="14" s="1"/>
  <c r="AF42" i="12"/>
  <c r="AB42" i="12"/>
  <c r="U42" i="12"/>
  <c r="B78" i="16" s="1"/>
  <c r="M42" i="12"/>
  <c r="L42" i="12"/>
  <c r="K42" i="12"/>
  <c r="I42" i="12"/>
  <c r="H42" i="12"/>
  <c r="G42" i="12"/>
  <c r="F42" i="12"/>
  <c r="A42" i="12"/>
  <c r="AF41" i="12"/>
  <c r="F76" i="14" s="1"/>
  <c r="AB41" i="12"/>
  <c r="B66" i="15" s="1"/>
  <c r="W41" i="12"/>
  <c r="V41" i="12"/>
  <c r="U41" i="12"/>
  <c r="T41" i="12"/>
  <c r="M41" i="12"/>
  <c r="L41" i="12"/>
  <c r="K41" i="12"/>
  <c r="C41" i="12"/>
  <c r="AF40" i="12"/>
  <c r="F75" i="14" s="1"/>
  <c r="AB40" i="12"/>
  <c r="B75" i="14" s="1"/>
  <c r="AA40" i="12"/>
  <c r="W40" i="12"/>
  <c r="D76" i="16" s="1"/>
  <c r="V40" i="12"/>
  <c r="C65" i="13" s="1"/>
  <c r="U40" i="12"/>
  <c r="T40" i="12"/>
  <c r="A76" i="16" s="1"/>
  <c r="M40" i="12"/>
  <c r="L40" i="12"/>
  <c r="K40" i="12"/>
  <c r="G40" i="12"/>
  <c r="F40" i="12"/>
  <c r="AF39" i="12"/>
  <c r="AB39" i="12"/>
  <c r="B64" i="15" s="1"/>
  <c r="X39" i="12"/>
  <c r="E64" i="13" s="1"/>
  <c r="V39" i="12"/>
  <c r="C64" i="13" s="1"/>
  <c r="U39" i="12"/>
  <c r="B64" i="13" s="1"/>
  <c r="T39" i="12"/>
  <c r="M39" i="12"/>
  <c r="L39" i="12"/>
  <c r="K39" i="12"/>
  <c r="H39" i="12"/>
  <c r="F39" i="12"/>
  <c r="B39" i="12"/>
  <c r="A39" i="12"/>
  <c r="AG38" i="12"/>
  <c r="G73" i="14" s="1"/>
  <c r="AF38" i="12"/>
  <c r="F73" i="14" s="1"/>
  <c r="AB38" i="12"/>
  <c r="M38" i="12"/>
  <c r="L38" i="12"/>
  <c r="K38" i="12"/>
  <c r="I38" i="12"/>
  <c r="A38" i="12"/>
  <c r="AG37" i="12"/>
  <c r="G72" i="14" s="1"/>
  <c r="AF37" i="12"/>
  <c r="F72" i="14" s="1"/>
  <c r="AB37" i="12"/>
  <c r="B72" i="14" s="1"/>
  <c r="AA37" i="12"/>
  <c r="X37" i="12"/>
  <c r="W37" i="12"/>
  <c r="V37" i="12"/>
  <c r="U37" i="12"/>
  <c r="T37" i="12"/>
  <c r="A73" i="16" s="1"/>
  <c r="M37" i="12"/>
  <c r="L37" i="12"/>
  <c r="K37" i="12"/>
  <c r="G37" i="12"/>
  <c r="F37" i="12"/>
  <c r="C37" i="12"/>
  <c r="A37" i="12"/>
  <c r="AG36" i="12"/>
  <c r="G71" i="14" s="1"/>
  <c r="AF36" i="12"/>
  <c r="AB36" i="12"/>
  <c r="B71" i="14" s="1"/>
  <c r="AA36" i="12"/>
  <c r="U36" i="12"/>
  <c r="T36" i="12"/>
  <c r="M36" i="12"/>
  <c r="L36" i="12"/>
  <c r="K36" i="12"/>
  <c r="I36" i="12"/>
  <c r="H36" i="12"/>
  <c r="AF35" i="12"/>
  <c r="F70" i="14" s="1"/>
  <c r="AB35" i="12"/>
  <c r="B70" i="14" s="1"/>
  <c r="V35" i="12"/>
  <c r="C60" i="13" s="1"/>
  <c r="M35" i="12"/>
  <c r="L35" i="12"/>
  <c r="K35" i="12"/>
  <c r="I35" i="12"/>
  <c r="C35" i="12"/>
  <c r="B35" i="12"/>
  <c r="AF34" i="12"/>
  <c r="F69" i="14" s="1"/>
  <c r="AC34" i="12"/>
  <c r="C59" i="15" s="1"/>
  <c r="AB34" i="12"/>
  <c r="V34" i="12"/>
  <c r="U34" i="12"/>
  <c r="B59" i="13" s="1"/>
  <c r="M34" i="12"/>
  <c r="L34" i="12"/>
  <c r="K34" i="12"/>
  <c r="H34" i="12"/>
  <c r="G34" i="12"/>
  <c r="B34" i="12"/>
  <c r="A34" i="12"/>
  <c r="AG33" i="12"/>
  <c r="G68" i="14" s="1"/>
  <c r="AF33" i="12"/>
  <c r="F68" i="14" s="1"/>
  <c r="AB33" i="12"/>
  <c r="B58" i="15" s="1"/>
  <c r="AA33" i="12"/>
  <c r="A58" i="15" s="1"/>
  <c r="V33" i="12"/>
  <c r="C69" i="16" s="1"/>
  <c r="T33" i="12"/>
  <c r="M33" i="12"/>
  <c r="L33" i="12"/>
  <c r="K33" i="12"/>
  <c r="F33" i="12"/>
  <c r="C33" i="12"/>
  <c r="AG32" i="12"/>
  <c r="G67" i="14" s="1"/>
  <c r="AF32" i="12"/>
  <c r="F67" i="14" s="1"/>
  <c r="AB32" i="12"/>
  <c r="B57" i="15" s="1"/>
  <c r="M32" i="12"/>
  <c r="L32" i="12"/>
  <c r="K32" i="12"/>
  <c r="I32" i="12"/>
  <c r="H32" i="12"/>
  <c r="F32" i="12"/>
  <c r="AF31" i="12"/>
  <c r="AB31" i="12"/>
  <c r="X31" i="12"/>
  <c r="E56" i="13" s="1"/>
  <c r="W31" i="12"/>
  <c r="D56" i="13" s="1"/>
  <c r="V31" i="12"/>
  <c r="C56" i="13" s="1"/>
  <c r="M31" i="12"/>
  <c r="L31" i="12"/>
  <c r="K31" i="12"/>
  <c r="I31" i="12"/>
  <c r="H31" i="12"/>
  <c r="G31" i="12"/>
  <c r="F31" i="12"/>
  <c r="AF30" i="12"/>
  <c r="AB30" i="12"/>
  <c r="U30" i="12"/>
  <c r="M30" i="12"/>
  <c r="L30" i="12"/>
  <c r="K30" i="12"/>
  <c r="G30" i="12"/>
  <c r="F30" i="12"/>
  <c r="B30" i="12"/>
  <c r="A30" i="12"/>
  <c r="AG29" i="12"/>
  <c r="G64" i="14" s="1"/>
  <c r="AF29" i="12"/>
  <c r="F64" i="14" s="1"/>
  <c r="AB29" i="12"/>
  <c r="B64" i="14" s="1"/>
  <c r="X29" i="12"/>
  <c r="M29" i="12"/>
  <c r="L29" i="12"/>
  <c r="K29" i="12"/>
  <c r="AG28" i="12"/>
  <c r="AF28" i="12"/>
  <c r="AB28" i="12"/>
  <c r="B53" i="15" s="1"/>
  <c r="AA28" i="12"/>
  <c r="X28" i="12"/>
  <c r="E64" i="16" s="1"/>
  <c r="W28" i="12"/>
  <c r="T28" i="12"/>
  <c r="A64" i="16" s="1"/>
  <c r="M28" i="12"/>
  <c r="L28" i="12"/>
  <c r="K28" i="12"/>
  <c r="I28" i="12"/>
  <c r="H28" i="12"/>
  <c r="G28" i="12"/>
  <c r="F28" i="12"/>
  <c r="B28" i="12"/>
  <c r="AF27" i="12"/>
  <c r="AB27" i="12"/>
  <c r="B52" i="15" s="1"/>
  <c r="V27" i="12"/>
  <c r="C63" i="16" s="1"/>
  <c r="M27" i="12"/>
  <c r="L27" i="12"/>
  <c r="K27" i="12"/>
  <c r="F27" i="12"/>
  <c r="D27" i="12"/>
  <c r="C27" i="12"/>
  <c r="B27" i="12"/>
  <c r="A27" i="12"/>
  <c r="AG26" i="12"/>
  <c r="G61" i="14" s="1"/>
  <c r="AF26" i="12"/>
  <c r="F61" i="14" s="1"/>
  <c r="AB26" i="12"/>
  <c r="M26" i="12"/>
  <c r="L26" i="12"/>
  <c r="K26" i="12"/>
  <c r="I26" i="12"/>
  <c r="H26" i="12"/>
  <c r="G26" i="12"/>
  <c r="D26" i="12"/>
  <c r="B26" i="12"/>
  <c r="AG25" i="12"/>
  <c r="AF25" i="12"/>
  <c r="F60" i="14" s="1"/>
  <c r="AB25" i="12"/>
  <c r="X25" i="12"/>
  <c r="E50" i="13" s="1"/>
  <c r="W25" i="12"/>
  <c r="D50" i="13" s="1"/>
  <c r="V25" i="12"/>
  <c r="C50" i="13" s="1"/>
  <c r="U25" i="12"/>
  <c r="B50" i="13" s="1"/>
  <c r="T25" i="12"/>
  <c r="A61" i="16" s="1"/>
  <c r="M25" i="12"/>
  <c r="L25" i="12"/>
  <c r="K25" i="12"/>
  <c r="F25" i="12"/>
  <c r="C25" i="12"/>
  <c r="AF24" i="12"/>
  <c r="F59" i="14" s="1"/>
  <c r="AB24" i="12"/>
  <c r="X24" i="12"/>
  <c r="W24" i="12"/>
  <c r="D60" i="16" s="1"/>
  <c r="M24" i="12"/>
  <c r="L24" i="12"/>
  <c r="K24" i="12"/>
  <c r="G24" i="12"/>
  <c r="AF23" i="12"/>
  <c r="AB23" i="12"/>
  <c r="X23" i="12"/>
  <c r="W23" i="12"/>
  <c r="V23" i="12"/>
  <c r="U23" i="12"/>
  <c r="T23" i="12"/>
  <c r="A48" i="13" s="1"/>
  <c r="M23" i="12"/>
  <c r="L23" i="12"/>
  <c r="K23" i="12"/>
  <c r="I23" i="12"/>
  <c r="H23" i="12"/>
  <c r="G23" i="12"/>
  <c r="D23" i="12"/>
  <c r="C23" i="12"/>
  <c r="B23" i="12"/>
  <c r="AG22" i="12"/>
  <c r="G57" i="14" s="1"/>
  <c r="AF22" i="12"/>
  <c r="F57" i="14" s="1"/>
  <c r="AB22" i="12"/>
  <c r="B47" i="15" s="1"/>
  <c r="AA22" i="12"/>
  <c r="A47" i="15" s="1"/>
  <c r="V22" i="12"/>
  <c r="C58" i="16" s="1"/>
  <c r="M22" i="12"/>
  <c r="L22" i="12"/>
  <c r="K22" i="12"/>
  <c r="I22" i="12"/>
  <c r="F22" i="12"/>
  <c r="B22" i="12"/>
  <c r="A22" i="12"/>
  <c r="AG21" i="12"/>
  <c r="G56" i="14" s="1"/>
  <c r="AF21" i="12"/>
  <c r="F56" i="14" s="1"/>
  <c r="AB21" i="12"/>
  <c r="AA21" i="12"/>
  <c r="A56" i="14" s="1"/>
  <c r="X21" i="12"/>
  <c r="M21" i="12"/>
  <c r="L21" i="12"/>
  <c r="K21" i="12"/>
  <c r="C21" i="12"/>
  <c r="AF20" i="12"/>
  <c r="F55" i="14" s="1"/>
  <c r="AB20" i="12"/>
  <c r="B55" i="14" s="1"/>
  <c r="X20" i="12"/>
  <c r="W20" i="12"/>
  <c r="D45" i="13" s="1"/>
  <c r="V20" i="12"/>
  <c r="C45" i="13" s="1"/>
  <c r="U20" i="12"/>
  <c r="B45" i="13" s="1"/>
  <c r="T20" i="12"/>
  <c r="A45" i="13" s="1"/>
  <c r="M20" i="12"/>
  <c r="L20" i="12"/>
  <c r="K20" i="12"/>
  <c r="I20" i="12"/>
  <c r="H20" i="12"/>
  <c r="G20" i="12"/>
  <c r="AF19" i="12"/>
  <c r="AB19" i="12"/>
  <c r="B44" i="15" s="1"/>
  <c r="W19" i="12"/>
  <c r="D55" i="16" s="1"/>
  <c r="V19" i="12"/>
  <c r="U19" i="12"/>
  <c r="B55" i="16" s="1"/>
  <c r="T19" i="12"/>
  <c r="M19" i="12"/>
  <c r="L19" i="12"/>
  <c r="K19" i="12"/>
  <c r="I19" i="12"/>
  <c r="G19" i="12"/>
  <c r="F19" i="12"/>
  <c r="D19" i="12"/>
  <c r="C19" i="12"/>
  <c r="B19" i="12"/>
  <c r="A19" i="12"/>
  <c r="AG18" i="12"/>
  <c r="AF18" i="12"/>
  <c r="F53" i="14" s="1"/>
  <c r="AB18" i="12"/>
  <c r="V18" i="12"/>
  <c r="M18" i="12"/>
  <c r="L18" i="12"/>
  <c r="K18" i="12"/>
  <c r="I18" i="12"/>
  <c r="B18" i="12"/>
  <c r="AG17" i="12"/>
  <c r="G52" i="14" s="1"/>
  <c r="AF17" i="12"/>
  <c r="F52" i="14" s="1"/>
  <c r="AB17" i="12"/>
  <c r="AA17" i="12"/>
  <c r="T17" i="12"/>
  <c r="A53" i="16" s="1"/>
  <c r="M17" i="12"/>
  <c r="L17" i="12"/>
  <c r="K17" i="12"/>
  <c r="G17" i="12"/>
  <c r="F17" i="12"/>
  <c r="C17" i="12"/>
  <c r="AF16" i="12"/>
  <c r="F51" i="14" s="1"/>
  <c r="AB16" i="12"/>
  <c r="X16" i="12"/>
  <c r="E52" i="16" s="1"/>
  <c r="W16" i="12"/>
  <c r="V16" i="12"/>
  <c r="C52" i="16" s="1"/>
  <c r="U16" i="12"/>
  <c r="B41" i="13" s="1"/>
  <c r="M16" i="12"/>
  <c r="L16" i="12"/>
  <c r="K16" i="12"/>
  <c r="H16" i="12"/>
  <c r="D16" i="12"/>
  <c r="B16" i="12"/>
  <c r="AF15" i="12"/>
  <c r="AB15" i="12"/>
  <c r="B40" i="15" s="1"/>
  <c r="X15" i="12"/>
  <c r="W15" i="12"/>
  <c r="D40" i="13" s="1"/>
  <c r="V15" i="12"/>
  <c r="C40" i="13" s="1"/>
  <c r="M15" i="12"/>
  <c r="L15" i="12"/>
  <c r="K15" i="12"/>
  <c r="I15" i="12"/>
  <c r="G15" i="12"/>
  <c r="F15" i="12"/>
  <c r="D15" i="12"/>
  <c r="AG14" i="12"/>
  <c r="AF14" i="12"/>
  <c r="AB14" i="12"/>
  <c r="V14" i="12"/>
  <c r="U14" i="12"/>
  <c r="M14" i="12"/>
  <c r="L14" i="12"/>
  <c r="K14" i="12"/>
  <c r="F14" i="12"/>
  <c r="D14" i="12"/>
  <c r="B14" i="12"/>
  <c r="A14" i="12"/>
  <c r="AF13" i="12"/>
  <c r="F48" i="14" s="1"/>
  <c r="AB13" i="12"/>
  <c r="W13" i="12"/>
  <c r="D38" i="13" s="1"/>
  <c r="V13" i="12"/>
  <c r="C49" i="16" s="1"/>
  <c r="M13" i="12"/>
  <c r="L13" i="12"/>
  <c r="K13" i="12"/>
  <c r="G13" i="12"/>
  <c r="C13" i="12"/>
  <c r="AG12" i="12"/>
  <c r="G47" i="14" s="1"/>
  <c r="AF12" i="12"/>
  <c r="F47" i="14" s="1"/>
  <c r="AB12" i="12"/>
  <c r="B37" i="15" s="1"/>
  <c r="U12" i="12"/>
  <c r="B48" i="16" s="1"/>
  <c r="T12" i="12"/>
  <c r="A48" i="16" s="1"/>
  <c r="M12" i="12"/>
  <c r="L12" i="12"/>
  <c r="K12" i="12"/>
  <c r="I12" i="12"/>
  <c r="H12" i="12"/>
  <c r="G12" i="12"/>
  <c r="B12" i="12"/>
  <c r="AF11" i="12"/>
  <c r="AB11" i="12"/>
  <c r="B36" i="15" s="1"/>
  <c r="X11" i="12"/>
  <c r="W11" i="12"/>
  <c r="V11" i="12"/>
  <c r="C47" i="16" s="1"/>
  <c r="U11" i="12"/>
  <c r="B47" i="16" s="1"/>
  <c r="T11" i="12"/>
  <c r="Q11" i="12"/>
  <c r="P11" i="12" s="1"/>
  <c r="R11" i="12" s="1"/>
  <c r="M11" i="12"/>
  <c r="L11" i="12"/>
  <c r="K11" i="12"/>
  <c r="F11" i="12"/>
  <c r="C11" i="12"/>
  <c r="B11" i="12"/>
  <c r="A11" i="12"/>
  <c r="AG10" i="12"/>
  <c r="G45" i="14" s="1"/>
  <c r="AF10" i="12"/>
  <c r="F45" i="14" s="1"/>
  <c r="AB10" i="12"/>
  <c r="X10" i="12"/>
  <c r="V10" i="12"/>
  <c r="C46" i="16" s="1"/>
  <c r="R10" i="12"/>
  <c r="Q10" i="12"/>
  <c r="P10" i="12"/>
  <c r="M10" i="12"/>
  <c r="L10" i="12"/>
  <c r="K10" i="12"/>
  <c r="I10" i="12"/>
  <c r="H10" i="12"/>
  <c r="G10" i="12"/>
  <c r="D10" i="12"/>
  <c r="C10" i="12"/>
  <c r="AG9" i="12"/>
  <c r="G44" i="14" s="1"/>
  <c r="AF9" i="12"/>
  <c r="F44" i="14" s="1"/>
  <c r="AB9" i="12"/>
  <c r="B34" i="15" s="1"/>
  <c r="Q9" i="12"/>
  <c r="P9" i="12"/>
  <c r="R9" i="12" s="1"/>
  <c r="M9" i="12"/>
  <c r="L9" i="12"/>
  <c r="K9" i="12"/>
  <c r="I9" i="12"/>
  <c r="H9" i="12"/>
  <c r="G9" i="12"/>
  <c r="F9" i="12"/>
  <c r="C9" i="12"/>
  <c r="AG8" i="12"/>
  <c r="G43" i="14" s="1"/>
  <c r="AF8" i="12"/>
  <c r="F43" i="14" s="1"/>
  <c r="AB8" i="12"/>
  <c r="B43" i="14" s="1"/>
  <c r="AA8" i="12"/>
  <c r="A43" i="14" s="1"/>
  <c r="Y8" i="12"/>
  <c r="X8" i="12"/>
  <c r="W8" i="12"/>
  <c r="D44" i="16" s="1"/>
  <c r="V8" i="12"/>
  <c r="U8" i="12"/>
  <c r="T8" i="12"/>
  <c r="Q8" i="12"/>
  <c r="P8" i="12" s="1"/>
  <c r="R8" i="12" s="1"/>
  <c r="M8" i="12"/>
  <c r="L8" i="12"/>
  <c r="K8" i="12"/>
  <c r="F8" i="12"/>
  <c r="C8" i="12"/>
  <c r="B8" i="12"/>
  <c r="A8" i="12"/>
  <c r="AF7" i="12"/>
  <c r="F42" i="14" s="1"/>
  <c r="AB7" i="12"/>
  <c r="B42" i="14" s="1"/>
  <c r="X7" i="12"/>
  <c r="E32" i="13" s="1"/>
  <c r="W7" i="12"/>
  <c r="V7" i="12"/>
  <c r="C32" i="13" s="1"/>
  <c r="U7" i="12"/>
  <c r="B32" i="13" s="1"/>
  <c r="Q7" i="12"/>
  <c r="P7" i="12"/>
  <c r="R7" i="12" s="1"/>
  <c r="M7" i="12"/>
  <c r="L7" i="12"/>
  <c r="K7" i="12"/>
  <c r="B7" i="12"/>
  <c r="AF6" i="12"/>
  <c r="F41" i="14" s="1"/>
  <c r="AB6" i="12"/>
  <c r="B41" i="14" s="1"/>
  <c r="U6" i="12"/>
  <c r="B31" i="13" s="1"/>
  <c r="T6" i="12"/>
  <c r="A31" i="13" s="1"/>
  <c r="Q6" i="12"/>
  <c r="P6" i="12"/>
  <c r="R6" i="12" s="1"/>
  <c r="M6" i="12"/>
  <c r="L6" i="12"/>
  <c r="K6" i="12"/>
  <c r="AG5" i="12"/>
  <c r="G40" i="14" s="1"/>
  <c r="AF5" i="12"/>
  <c r="AD5" i="12"/>
  <c r="AB5" i="12"/>
  <c r="AA5" i="12"/>
  <c r="Y5" i="12"/>
  <c r="X5" i="12"/>
  <c r="E41" i="16" s="1"/>
  <c r="W5" i="12"/>
  <c r="D41" i="16" s="1"/>
  <c r="V5" i="12"/>
  <c r="C41" i="16" s="1"/>
  <c r="T5" i="12"/>
  <c r="A41" i="16" s="1"/>
  <c r="Q5" i="12"/>
  <c r="P5" i="12"/>
  <c r="R5" i="12" s="1"/>
  <c r="M5" i="12"/>
  <c r="L5" i="12"/>
  <c r="K5" i="12"/>
  <c r="I5" i="12"/>
  <c r="H5" i="12"/>
  <c r="G5" i="12"/>
  <c r="F5" i="12"/>
  <c r="C5" i="12"/>
  <c r="B5" i="12"/>
  <c r="A5" i="12"/>
  <c r="AF4" i="12"/>
  <c r="AB4" i="12"/>
  <c r="AA4" i="12"/>
  <c r="X4" i="12"/>
  <c r="U4" i="12"/>
  <c r="Q4" i="12"/>
  <c r="P4" i="12"/>
  <c r="R4" i="12" s="1"/>
  <c r="M4" i="12"/>
  <c r="L4" i="12"/>
  <c r="K4" i="12"/>
  <c r="I4" i="12"/>
  <c r="F4" i="12"/>
  <c r="C4" i="12"/>
  <c r="A4" i="12"/>
  <c r="AG3" i="12"/>
  <c r="G38" i="14" s="1"/>
  <c r="AF3" i="12"/>
  <c r="F38" i="14" s="1"/>
  <c r="AB3" i="12"/>
  <c r="B38" i="14" s="1"/>
  <c r="Q3" i="12"/>
  <c r="P3" i="12" s="1"/>
  <c r="R3" i="12" s="1"/>
  <c r="M3" i="12"/>
  <c r="L3" i="12"/>
  <c r="K3" i="12"/>
  <c r="I3" i="12"/>
  <c r="H3" i="12"/>
  <c r="F3" i="12"/>
  <c r="B3" i="12"/>
  <c r="A3" i="12"/>
  <c r="AG2" i="12"/>
  <c r="G37" i="14" s="1"/>
  <c r="AF2" i="12"/>
  <c r="F37" i="14" s="1"/>
  <c r="AC2" i="12"/>
  <c r="AE2" i="12" s="1"/>
  <c r="E37" i="14" s="1"/>
  <c r="AB2" i="12"/>
  <c r="B37" i="14" s="1"/>
  <c r="AA2" i="12"/>
  <c r="A27" i="15" s="1"/>
  <c r="Y2" i="12"/>
  <c r="F27" i="13" s="1"/>
  <c r="X2" i="12"/>
  <c r="E38" i="16" s="1"/>
  <c r="W2" i="12"/>
  <c r="D38" i="16" s="1"/>
  <c r="V2" i="12"/>
  <c r="U2" i="12"/>
  <c r="Q2" i="12"/>
  <c r="P2" i="12"/>
  <c r="R2" i="12" s="1"/>
  <c r="M2" i="12"/>
  <c r="L2" i="12"/>
  <c r="K2" i="12"/>
  <c r="G2" i="12"/>
  <c r="B2" i="12"/>
  <c r="P5" i="11"/>
  <c r="M5" i="11"/>
  <c r="J5" i="11"/>
  <c r="G5" i="11"/>
  <c r="D5" i="11"/>
  <c r="A5" i="11"/>
  <c r="K49" i="3"/>
  <c r="D49" i="12" s="1"/>
  <c r="J49" i="3"/>
  <c r="I49" i="3"/>
  <c r="B49" i="12" s="1"/>
  <c r="H49" i="3"/>
  <c r="I49" i="12" s="1"/>
  <c r="G49" i="3"/>
  <c r="Y49" i="12" s="1"/>
  <c r="F74" i="13" s="1"/>
  <c r="F49" i="3"/>
  <c r="E49" i="3"/>
  <c r="G49" i="12" s="1"/>
  <c r="D49" i="3"/>
  <c r="V49" i="12" s="1"/>
  <c r="C85" i="16" s="1"/>
  <c r="C49" i="3"/>
  <c r="U49" i="12" s="1"/>
  <c r="B85" i="16" s="1"/>
  <c r="B49" i="3"/>
  <c r="A49" i="12" s="1"/>
  <c r="A49" i="3"/>
  <c r="K48" i="3"/>
  <c r="J48" i="3"/>
  <c r="C48" i="12" s="1"/>
  <c r="I48" i="3"/>
  <c r="H48" i="3"/>
  <c r="I48" i="12" s="1"/>
  <c r="G48" i="3"/>
  <c r="AC48" i="12" s="1"/>
  <c r="C73" i="15" s="1"/>
  <c r="F48" i="3"/>
  <c r="E48" i="3"/>
  <c r="D48" i="3"/>
  <c r="C48" i="3"/>
  <c r="B48" i="3"/>
  <c r="A48" i="3"/>
  <c r="J47" i="3"/>
  <c r="I47" i="3"/>
  <c r="K47" i="3" s="1"/>
  <c r="D47" i="12" s="1"/>
  <c r="H47" i="3"/>
  <c r="AG47" i="12" s="1"/>
  <c r="G82" i="14" s="1"/>
  <c r="F47" i="3"/>
  <c r="X47" i="12" s="1"/>
  <c r="E47" i="3"/>
  <c r="W47" i="12" s="1"/>
  <c r="D47" i="3"/>
  <c r="V47" i="12" s="1"/>
  <c r="C47" i="3"/>
  <c r="B47" i="3"/>
  <c r="T47" i="12" s="1"/>
  <c r="A47" i="3"/>
  <c r="J46" i="3"/>
  <c r="C46" i="12" s="1"/>
  <c r="I46" i="3"/>
  <c r="H46" i="3"/>
  <c r="AG46" i="12" s="1"/>
  <c r="G81" i="14" s="1"/>
  <c r="G46" i="3"/>
  <c r="Y46" i="12" s="1"/>
  <c r="F71" i="13" s="1"/>
  <c r="F46" i="3"/>
  <c r="X46" i="12" s="1"/>
  <c r="E71" i="13" s="1"/>
  <c r="E46" i="3"/>
  <c r="W46" i="12" s="1"/>
  <c r="D46" i="3"/>
  <c r="V46" i="12" s="1"/>
  <c r="C46" i="3"/>
  <c r="B46" i="3"/>
  <c r="AA46" i="12" s="1"/>
  <c r="A71" i="15" s="1"/>
  <c r="A46" i="3"/>
  <c r="J45" i="3"/>
  <c r="I45" i="3"/>
  <c r="H45" i="3"/>
  <c r="F45" i="3"/>
  <c r="H45" i="12" s="1"/>
  <c r="E45" i="3"/>
  <c r="D45" i="3"/>
  <c r="C45" i="3"/>
  <c r="B45" i="3"/>
  <c r="A45" i="12" s="1"/>
  <c r="A45" i="3"/>
  <c r="J44" i="3"/>
  <c r="C44" i="12" s="1"/>
  <c r="I44" i="3"/>
  <c r="H44" i="3"/>
  <c r="I44" i="12" s="1"/>
  <c r="F44" i="3"/>
  <c r="X44" i="12" s="1"/>
  <c r="E44" i="3"/>
  <c r="W44" i="12" s="1"/>
  <c r="D69" i="13" s="1"/>
  <c r="D44" i="3"/>
  <c r="V44" i="12" s="1"/>
  <c r="C44" i="3"/>
  <c r="U44" i="12" s="1"/>
  <c r="B80" i="16" s="1"/>
  <c r="B44" i="3"/>
  <c r="F44" i="12" s="1"/>
  <c r="A44" i="3"/>
  <c r="K43" i="3"/>
  <c r="J43" i="3"/>
  <c r="I43" i="3"/>
  <c r="H43" i="3"/>
  <c r="F43" i="3"/>
  <c r="X43" i="12" s="1"/>
  <c r="E79" i="16" s="1"/>
  <c r="E43" i="3"/>
  <c r="D43" i="3"/>
  <c r="C43" i="3"/>
  <c r="B43" i="3"/>
  <c r="AA43" i="12" s="1"/>
  <c r="A43" i="3"/>
  <c r="J42" i="3"/>
  <c r="C42" i="12" s="1"/>
  <c r="I42" i="3"/>
  <c r="H42" i="3"/>
  <c r="G42" i="3"/>
  <c r="F42" i="3"/>
  <c r="X42" i="12" s="1"/>
  <c r="E42" i="3"/>
  <c r="W42" i="12" s="1"/>
  <c r="D78" i="16" s="1"/>
  <c r="D42" i="3"/>
  <c r="V42" i="12" s="1"/>
  <c r="C78" i="16" s="1"/>
  <c r="C42" i="3"/>
  <c r="B42" i="3"/>
  <c r="A42" i="3"/>
  <c r="J41" i="3"/>
  <c r="I41" i="3"/>
  <c r="B41" i="12" s="1"/>
  <c r="H41" i="3"/>
  <c r="I41" i="12" s="1"/>
  <c r="F41" i="3"/>
  <c r="E41" i="3"/>
  <c r="G41" i="12" s="1"/>
  <c r="D41" i="3"/>
  <c r="C41" i="3"/>
  <c r="G41" i="3" s="1"/>
  <c r="B41" i="3"/>
  <c r="A41" i="3"/>
  <c r="K40" i="3"/>
  <c r="D40" i="12" s="1"/>
  <c r="J40" i="3"/>
  <c r="C40" i="12" s="1"/>
  <c r="I40" i="3"/>
  <c r="B40" i="12" s="1"/>
  <c r="H40" i="3"/>
  <c r="AG40" i="12" s="1"/>
  <c r="G75" i="14" s="1"/>
  <c r="F40" i="3"/>
  <c r="G40" i="3" s="1"/>
  <c r="E40" i="3"/>
  <c r="D40" i="3"/>
  <c r="C40" i="3"/>
  <c r="B40" i="3"/>
  <c r="A40" i="12" s="1"/>
  <c r="A40" i="3"/>
  <c r="K39" i="3"/>
  <c r="D39" i="12" s="1"/>
  <c r="J39" i="3"/>
  <c r="C39" i="12" s="1"/>
  <c r="I39" i="3"/>
  <c r="H39" i="3"/>
  <c r="F39" i="3"/>
  <c r="E39" i="3"/>
  <c r="G39" i="12" s="1"/>
  <c r="D39" i="3"/>
  <c r="C39" i="3"/>
  <c r="B39" i="3"/>
  <c r="AA39" i="12" s="1"/>
  <c r="A64" i="15" s="1"/>
  <c r="A39" i="3"/>
  <c r="J38" i="3"/>
  <c r="C38" i="12" s="1"/>
  <c r="I38" i="3"/>
  <c r="H38" i="3"/>
  <c r="F38" i="3"/>
  <c r="E38" i="3"/>
  <c r="D38" i="3"/>
  <c r="V38" i="12" s="1"/>
  <c r="C38" i="3"/>
  <c r="B38" i="3"/>
  <c r="A38" i="3"/>
  <c r="J37" i="3"/>
  <c r="K37" i="3" s="1"/>
  <c r="D37" i="12" s="1"/>
  <c r="I37" i="3"/>
  <c r="B37" i="12" s="1"/>
  <c r="H37" i="3"/>
  <c r="I37" i="12" s="1"/>
  <c r="G37" i="3"/>
  <c r="Y37" i="12" s="1"/>
  <c r="F37" i="3"/>
  <c r="H37" i="12" s="1"/>
  <c r="E37" i="3"/>
  <c r="D37" i="3"/>
  <c r="C37" i="3"/>
  <c r="B37" i="3"/>
  <c r="A37" i="3"/>
  <c r="J36" i="3"/>
  <c r="C36" i="12" s="1"/>
  <c r="I36" i="3"/>
  <c r="B36" i="12" s="1"/>
  <c r="H36" i="3"/>
  <c r="F36" i="3"/>
  <c r="X36" i="12" s="1"/>
  <c r="E36" i="3"/>
  <c r="D36" i="3"/>
  <c r="V36" i="12" s="1"/>
  <c r="C36" i="3"/>
  <c r="B36" i="3"/>
  <c r="A36" i="12" s="1"/>
  <c r="A36" i="3"/>
  <c r="J35" i="3"/>
  <c r="I35" i="3"/>
  <c r="K35" i="3" s="1"/>
  <c r="D35" i="12" s="1"/>
  <c r="H35" i="3"/>
  <c r="AG35" i="12" s="1"/>
  <c r="G70" i="14" s="1"/>
  <c r="F35" i="3"/>
  <c r="X35" i="12" s="1"/>
  <c r="E60" i="13" s="1"/>
  <c r="E35" i="3"/>
  <c r="D35" i="3"/>
  <c r="C35" i="3"/>
  <c r="B35" i="3"/>
  <c r="A35" i="3"/>
  <c r="J34" i="3"/>
  <c r="C34" i="12" s="1"/>
  <c r="I34" i="3"/>
  <c r="H34" i="3"/>
  <c r="I34" i="12" s="1"/>
  <c r="F34" i="3"/>
  <c r="G34" i="3" s="1"/>
  <c r="Y34" i="12" s="1"/>
  <c r="F59" i="13" s="1"/>
  <c r="E34" i="3"/>
  <c r="W34" i="12" s="1"/>
  <c r="D59" i="13" s="1"/>
  <c r="D34" i="3"/>
  <c r="C34" i="3"/>
  <c r="B34" i="3"/>
  <c r="A34" i="3"/>
  <c r="J33" i="3"/>
  <c r="I33" i="3"/>
  <c r="K33" i="3" s="1"/>
  <c r="D33" i="12" s="1"/>
  <c r="H33" i="3"/>
  <c r="I33" i="12" s="1"/>
  <c r="F33" i="3"/>
  <c r="E33" i="3"/>
  <c r="D33" i="3"/>
  <c r="C33" i="3"/>
  <c r="U33" i="12" s="1"/>
  <c r="B33" i="3"/>
  <c r="A33" i="12" s="1"/>
  <c r="A33" i="3"/>
  <c r="J32" i="3"/>
  <c r="C32" i="12" s="1"/>
  <c r="I32" i="3"/>
  <c r="B32" i="12" s="1"/>
  <c r="H32" i="3"/>
  <c r="F32" i="3"/>
  <c r="X32" i="12" s="1"/>
  <c r="E57" i="13" s="1"/>
  <c r="E32" i="3"/>
  <c r="W32" i="12" s="1"/>
  <c r="D68" i="16" s="1"/>
  <c r="D32" i="3"/>
  <c r="V32" i="12" s="1"/>
  <c r="C32" i="3"/>
  <c r="B32" i="3"/>
  <c r="A32" i="3"/>
  <c r="J31" i="3"/>
  <c r="C31" i="12" s="1"/>
  <c r="I31" i="3"/>
  <c r="B31" i="12" s="1"/>
  <c r="H31" i="3"/>
  <c r="AG31" i="12" s="1"/>
  <c r="F31" i="3"/>
  <c r="E31" i="3"/>
  <c r="D31" i="3"/>
  <c r="C31" i="3"/>
  <c r="B31" i="3"/>
  <c r="AA31" i="12" s="1"/>
  <c r="A66" i="14" s="1"/>
  <c r="A31" i="3"/>
  <c r="K30" i="3"/>
  <c r="D30" i="12" s="1"/>
  <c r="J30" i="3"/>
  <c r="C30" i="12" s="1"/>
  <c r="I30" i="3"/>
  <c r="H30" i="3"/>
  <c r="AG30" i="12" s="1"/>
  <c r="G65" i="14" s="1"/>
  <c r="F30" i="3"/>
  <c r="X30" i="12" s="1"/>
  <c r="E55" i="13" s="1"/>
  <c r="E30" i="3"/>
  <c r="W30" i="12" s="1"/>
  <c r="D30" i="3"/>
  <c r="V30" i="12" s="1"/>
  <c r="C30" i="3"/>
  <c r="B30" i="3"/>
  <c r="A30" i="3"/>
  <c r="J29" i="3"/>
  <c r="C29" i="12" s="1"/>
  <c r="I29" i="3"/>
  <c r="B29" i="12" s="1"/>
  <c r="H29" i="3"/>
  <c r="I29" i="12" s="1"/>
  <c r="F29" i="3"/>
  <c r="H29" i="12" s="1"/>
  <c r="E29" i="3"/>
  <c r="G29" i="12" s="1"/>
  <c r="D29" i="3"/>
  <c r="V29" i="12" s="1"/>
  <c r="C29" i="3"/>
  <c r="G29" i="3" s="1"/>
  <c r="AC29" i="12" s="1"/>
  <c r="B29" i="3"/>
  <c r="AA29" i="12" s="1"/>
  <c r="A29" i="3"/>
  <c r="J28" i="3"/>
  <c r="C28" i="12" s="1"/>
  <c r="I28" i="3"/>
  <c r="H28" i="3"/>
  <c r="F28" i="3"/>
  <c r="E28" i="3"/>
  <c r="D28" i="3"/>
  <c r="V28" i="12" s="1"/>
  <c r="C28" i="3"/>
  <c r="B28" i="3"/>
  <c r="A28" i="12" s="1"/>
  <c r="A28" i="3"/>
  <c r="J27" i="3"/>
  <c r="I27" i="3"/>
  <c r="K27" i="3" s="1"/>
  <c r="H27" i="3"/>
  <c r="F27" i="3"/>
  <c r="H27" i="12" s="1"/>
  <c r="E27" i="3"/>
  <c r="W27" i="12" s="1"/>
  <c r="D27" i="3"/>
  <c r="C27" i="3"/>
  <c r="U27" i="12" s="1"/>
  <c r="B63" i="16" s="1"/>
  <c r="B27" i="3"/>
  <c r="A27" i="3"/>
  <c r="J26" i="3"/>
  <c r="C26" i="12" s="1"/>
  <c r="I26" i="3"/>
  <c r="K26" i="3" s="1"/>
  <c r="H26" i="3"/>
  <c r="F26" i="3"/>
  <c r="X26" i="12" s="1"/>
  <c r="E51" i="13" s="1"/>
  <c r="E26" i="3"/>
  <c r="W26" i="12" s="1"/>
  <c r="D26" i="3"/>
  <c r="V26" i="12" s="1"/>
  <c r="C62" i="16" s="1"/>
  <c r="C26" i="3"/>
  <c r="G26" i="3" s="1"/>
  <c r="Y26" i="12" s="1"/>
  <c r="F51" i="13" s="1"/>
  <c r="B26" i="3"/>
  <c r="A26" i="3"/>
  <c r="K25" i="3"/>
  <c r="D25" i="12" s="1"/>
  <c r="J25" i="3"/>
  <c r="I25" i="3"/>
  <c r="B25" i="12" s="1"/>
  <c r="H25" i="3"/>
  <c r="I25" i="12" s="1"/>
  <c r="F25" i="3"/>
  <c r="H25" i="12" s="1"/>
  <c r="E25" i="3"/>
  <c r="G25" i="12" s="1"/>
  <c r="D25" i="3"/>
  <c r="C25" i="3"/>
  <c r="G25" i="3" s="1"/>
  <c r="B25" i="3"/>
  <c r="A25" i="3"/>
  <c r="J24" i="3"/>
  <c r="C24" i="12" s="1"/>
  <c r="I24" i="3"/>
  <c r="H24" i="3"/>
  <c r="I24" i="12" s="1"/>
  <c r="F24" i="3"/>
  <c r="H24" i="12" s="1"/>
  <c r="E24" i="3"/>
  <c r="D24" i="3"/>
  <c r="V24" i="12" s="1"/>
  <c r="C24" i="3"/>
  <c r="U24" i="12" s="1"/>
  <c r="B24" i="3"/>
  <c r="A24" i="3"/>
  <c r="K23" i="3"/>
  <c r="J23" i="3"/>
  <c r="I23" i="3"/>
  <c r="H23" i="3"/>
  <c r="AG23" i="12" s="1"/>
  <c r="F23" i="3"/>
  <c r="E23" i="3"/>
  <c r="D23" i="3"/>
  <c r="C23" i="3"/>
  <c r="G23" i="3" s="1"/>
  <c r="B23" i="3"/>
  <c r="A23" i="3"/>
  <c r="J22" i="3"/>
  <c r="K22" i="3" s="1"/>
  <c r="D22" i="12" s="1"/>
  <c r="I22" i="3"/>
  <c r="H22" i="3"/>
  <c r="F22" i="3"/>
  <c r="E22" i="3"/>
  <c r="W22" i="12" s="1"/>
  <c r="D22" i="3"/>
  <c r="C22" i="3"/>
  <c r="B22" i="3"/>
  <c r="T22" i="12" s="1"/>
  <c r="A58" i="16" s="1"/>
  <c r="A22" i="3"/>
  <c r="K21" i="3"/>
  <c r="D21" i="12" s="1"/>
  <c r="J21" i="3"/>
  <c r="I21" i="3"/>
  <c r="B21" i="12" s="1"/>
  <c r="H21" i="3"/>
  <c r="I21" i="12" s="1"/>
  <c r="F21" i="3"/>
  <c r="H21" i="12" s="1"/>
  <c r="E21" i="3"/>
  <c r="W21" i="12" s="1"/>
  <c r="D57" i="16" s="1"/>
  <c r="D21" i="3"/>
  <c r="V21" i="12" s="1"/>
  <c r="C46" i="13" s="1"/>
  <c r="C21" i="3"/>
  <c r="B21" i="3"/>
  <c r="A21" i="12" s="1"/>
  <c r="A21" i="3"/>
  <c r="K20" i="3"/>
  <c r="D20" i="12" s="1"/>
  <c r="J20" i="3"/>
  <c r="C20" i="12" s="1"/>
  <c r="I20" i="3"/>
  <c r="B20" i="12" s="1"/>
  <c r="H20" i="3"/>
  <c r="AG20" i="12" s="1"/>
  <c r="G55" i="14" s="1"/>
  <c r="F20" i="3"/>
  <c r="E20" i="3"/>
  <c r="D20" i="3"/>
  <c r="C20" i="3"/>
  <c r="G20" i="3" s="1"/>
  <c r="B20" i="3"/>
  <c r="A20" i="3"/>
  <c r="K19" i="3"/>
  <c r="J19" i="3"/>
  <c r="I19" i="3"/>
  <c r="H19" i="3"/>
  <c r="AG19" i="12" s="1"/>
  <c r="G54" i="14" s="1"/>
  <c r="F19" i="3"/>
  <c r="H19" i="12" s="1"/>
  <c r="E19" i="3"/>
  <c r="D19" i="3"/>
  <c r="C19" i="3"/>
  <c r="B19" i="3"/>
  <c r="AA19" i="12" s="1"/>
  <c r="A44" i="15" s="1"/>
  <c r="A19" i="3"/>
  <c r="J18" i="3"/>
  <c r="C18" i="12" s="1"/>
  <c r="I18" i="3"/>
  <c r="K18" i="3" s="1"/>
  <c r="D18" i="12" s="1"/>
  <c r="H18" i="3"/>
  <c r="F18" i="3"/>
  <c r="E18" i="3"/>
  <c r="D18" i="3"/>
  <c r="C18" i="3"/>
  <c r="B18" i="3"/>
  <c r="A18" i="3"/>
  <c r="K17" i="3"/>
  <c r="D17" i="12" s="1"/>
  <c r="J17" i="3"/>
  <c r="I17" i="3"/>
  <c r="B17" i="12" s="1"/>
  <c r="H17" i="3"/>
  <c r="I17" i="12" s="1"/>
  <c r="F17" i="3"/>
  <c r="H17" i="12" s="1"/>
  <c r="E17" i="3"/>
  <c r="W17" i="12" s="1"/>
  <c r="D53" i="16" s="1"/>
  <c r="D17" i="3"/>
  <c r="V17" i="12" s="1"/>
  <c r="C53" i="16" s="1"/>
  <c r="C17" i="3"/>
  <c r="G17" i="3" s="1"/>
  <c r="Y17" i="12" s="1"/>
  <c r="F42" i="13" s="1"/>
  <c r="B17" i="3"/>
  <c r="A17" i="12" s="1"/>
  <c r="A17" i="3"/>
  <c r="K16" i="3"/>
  <c r="J16" i="3"/>
  <c r="C16" i="12" s="1"/>
  <c r="I16" i="3"/>
  <c r="H16" i="3"/>
  <c r="I16" i="12" s="1"/>
  <c r="G16" i="3"/>
  <c r="Y16" i="12" s="1"/>
  <c r="F41" i="13" s="1"/>
  <c r="F16" i="3"/>
  <c r="E16" i="3"/>
  <c r="G16" i="12" s="1"/>
  <c r="D16" i="3"/>
  <c r="C16" i="3"/>
  <c r="B16" i="3"/>
  <c r="T16" i="12" s="1"/>
  <c r="A16" i="3"/>
  <c r="J15" i="3"/>
  <c r="C15" i="12" s="1"/>
  <c r="I15" i="3"/>
  <c r="K15" i="3" s="1"/>
  <c r="H15" i="3"/>
  <c r="AG15" i="12" s="1"/>
  <c r="F15" i="3"/>
  <c r="H15" i="12" s="1"/>
  <c r="E15" i="3"/>
  <c r="D15" i="3"/>
  <c r="C15" i="3"/>
  <c r="G15" i="3" s="1"/>
  <c r="B15" i="3"/>
  <c r="T15" i="12" s="1"/>
  <c r="A15" i="3"/>
  <c r="K14" i="3"/>
  <c r="J14" i="3"/>
  <c r="C14" i="12" s="1"/>
  <c r="I14" i="3"/>
  <c r="H14" i="3"/>
  <c r="I14" i="12" s="1"/>
  <c r="F14" i="3"/>
  <c r="X14" i="12" s="1"/>
  <c r="E39" i="13" s="1"/>
  <c r="E14" i="3"/>
  <c r="W14" i="12" s="1"/>
  <c r="D14" i="3"/>
  <c r="G14" i="3" s="1"/>
  <c r="Y14" i="12" s="1"/>
  <c r="F39" i="13" s="1"/>
  <c r="C14" i="3"/>
  <c r="B14" i="3"/>
  <c r="AA14" i="12" s="1"/>
  <c r="A14" i="3"/>
  <c r="J13" i="3"/>
  <c r="I13" i="3"/>
  <c r="H13" i="3"/>
  <c r="I13" i="12" s="1"/>
  <c r="F13" i="3"/>
  <c r="H13" i="12" s="1"/>
  <c r="E13" i="3"/>
  <c r="D13" i="3"/>
  <c r="C13" i="3"/>
  <c r="U13" i="12" s="1"/>
  <c r="B49" i="16" s="1"/>
  <c r="B13" i="3"/>
  <c r="A13" i="3"/>
  <c r="K12" i="3"/>
  <c r="D12" i="12" s="1"/>
  <c r="J12" i="3"/>
  <c r="C12" i="12" s="1"/>
  <c r="I12" i="3"/>
  <c r="H12" i="3"/>
  <c r="F12" i="3"/>
  <c r="X12" i="12" s="1"/>
  <c r="E48" i="16" s="1"/>
  <c r="E12" i="3"/>
  <c r="W12" i="12" s="1"/>
  <c r="D12" i="3"/>
  <c r="V12" i="12" s="1"/>
  <c r="C37" i="13" s="1"/>
  <c r="C12" i="3"/>
  <c r="G12" i="3" s="1"/>
  <c r="B12" i="3"/>
  <c r="A12" i="3"/>
  <c r="K11" i="3"/>
  <c r="D11" i="12" s="1"/>
  <c r="J11" i="3"/>
  <c r="I11" i="3"/>
  <c r="H11" i="3"/>
  <c r="AG11" i="12" s="1"/>
  <c r="G46" i="14" s="1"/>
  <c r="F11" i="3"/>
  <c r="H11" i="12" s="1"/>
  <c r="E11" i="3"/>
  <c r="G11" i="3" s="1"/>
  <c r="D11" i="3"/>
  <c r="C11" i="3"/>
  <c r="B11" i="3"/>
  <c r="AA11" i="12" s="1"/>
  <c r="A11" i="3"/>
  <c r="J10" i="3"/>
  <c r="I10" i="3"/>
  <c r="K10" i="3" s="1"/>
  <c r="H10" i="3"/>
  <c r="G10" i="3"/>
  <c r="AC10" i="12" s="1"/>
  <c r="F10" i="3"/>
  <c r="E10" i="3"/>
  <c r="W10" i="12" s="1"/>
  <c r="D10" i="3"/>
  <c r="C10" i="3"/>
  <c r="U10" i="12" s="1"/>
  <c r="B10" i="3"/>
  <c r="A10" i="3"/>
  <c r="K9" i="3"/>
  <c r="D9" i="12" s="1"/>
  <c r="J9" i="3"/>
  <c r="I9" i="3"/>
  <c r="B9" i="12" s="1"/>
  <c r="H9" i="3"/>
  <c r="F9" i="3"/>
  <c r="X9" i="12" s="1"/>
  <c r="E34" i="13" s="1"/>
  <c r="E9" i="3"/>
  <c r="W9" i="12" s="1"/>
  <c r="D9" i="3"/>
  <c r="V9" i="12" s="1"/>
  <c r="C9" i="3"/>
  <c r="B9" i="3"/>
  <c r="A9" i="3"/>
  <c r="K8" i="3"/>
  <c r="D8" i="12" s="1"/>
  <c r="J8" i="3"/>
  <c r="I8" i="3"/>
  <c r="H8" i="3"/>
  <c r="I8" i="12" s="1"/>
  <c r="F8" i="3"/>
  <c r="G8" i="3" s="1"/>
  <c r="AC8" i="12" s="1"/>
  <c r="AE8" i="12" s="1"/>
  <c r="E43" i="14" s="1"/>
  <c r="E8" i="3"/>
  <c r="G8" i="12" s="1"/>
  <c r="D8" i="3"/>
  <c r="C8" i="3"/>
  <c r="B8" i="3"/>
  <c r="A8" i="3"/>
  <c r="J7" i="3"/>
  <c r="C7" i="12" s="1"/>
  <c r="I7" i="3"/>
  <c r="H7" i="3"/>
  <c r="I7" i="12" s="1"/>
  <c r="F7" i="3"/>
  <c r="H7" i="12" s="1"/>
  <c r="E7" i="3"/>
  <c r="G7" i="12" s="1"/>
  <c r="D7" i="3"/>
  <c r="C7" i="3"/>
  <c r="B7" i="3"/>
  <c r="A7" i="3"/>
  <c r="J6" i="3"/>
  <c r="C6" i="12" s="1"/>
  <c r="I6" i="3"/>
  <c r="H6" i="3"/>
  <c r="AG6" i="12" s="1"/>
  <c r="G41" i="14" s="1"/>
  <c r="F6" i="3"/>
  <c r="X6" i="12" s="1"/>
  <c r="E31" i="13" s="1"/>
  <c r="E6" i="3"/>
  <c r="W6" i="12" s="1"/>
  <c r="D31" i="13" s="1"/>
  <c r="D6" i="3"/>
  <c r="V6" i="12" s="1"/>
  <c r="C31" i="13" s="1"/>
  <c r="C6" i="3"/>
  <c r="B6" i="3"/>
  <c r="A6" i="3"/>
  <c r="J5" i="3"/>
  <c r="K5" i="3" s="1"/>
  <c r="D5" i="12" s="1"/>
  <c r="I5" i="3"/>
  <c r="H5" i="3"/>
  <c r="G5" i="3"/>
  <c r="AC5" i="12" s="1"/>
  <c r="AE5" i="12" s="1"/>
  <c r="F5" i="3"/>
  <c r="E5" i="3"/>
  <c r="D5" i="3"/>
  <c r="C5" i="3"/>
  <c r="U5" i="12" s="1"/>
  <c r="B5" i="3"/>
  <c r="A5" i="3"/>
  <c r="J4" i="3"/>
  <c r="I4" i="3"/>
  <c r="K4" i="3" s="1"/>
  <c r="D4" i="12" s="1"/>
  <c r="H4" i="3"/>
  <c r="AG4" i="12" s="1"/>
  <c r="G39" i="14" s="1"/>
  <c r="F4" i="3"/>
  <c r="H4" i="12" s="1"/>
  <c r="E4" i="3"/>
  <c r="W4" i="12" s="1"/>
  <c r="D4" i="3"/>
  <c r="V4" i="12" s="1"/>
  <c r="C4" i="3"/>
  <c r="B4" i="3"/>
  <c r="T4" i="12" s="1"/>
  <c r="A4" i="3"/>
  <c r="J3" i="3"/>
  <c r="C3" i="12" s="1"/>
  <c r="I3" i="3"/>
  <c r="H3" i="3"/>
  <c r="F3" i="3"/>
  <c r="X3" i="12" s="1"/>
  <c r="E28" i="13" s="1"/>
  <c r="E3" i="3"/>
  <c r="D3" i="3"/>
  <c r="V3" i="12" s="1"/>
  <c r="C3" i="3"/>
  <c r="B3" i="3"/>
  <c r="A3" i="3"/>
  <c r="J2" i="3"/>
  <c r="C2" i="12" s="1"/>
  <c r="I2" i="3"/>
  <c r="H2" i="3"/>
  <c r="I2" i="12" s="1"/>
  <c r="F2" i="3"/>
  <c r="G2" i="3" s="1"/>
  <c r="E2" i="3"/>
  <c r="D2" i="3"/>
  <c r="C2" i="3"/>
  <c r="B2" i="3"/>
  <c r="F2" i="12" s="1"/>
  <c r="A2" i="3"/>
  <c r="C53" i="13" l="1"/>
  <c r="C64" i="16"/>
  <c r="B60" i="16"/>
  <c r="B49" i="13"/>
  <c r="C49" i="13"/>
  <c r="C60" i="16"/>
  <c r="A40" i="13"/>
  <c r="A51" i="16"/>
  <c r="AC15" i="12"/>
  <c r="Y15" i="12"/>
  <c r="F40" i="13" s="1"/>
  <c r="E80" i="16"/>
  <c r="E69" i="13"/>
  <c r="A52" i="16"/>
  <c r="A41" i="13"/>
  <c r="A72" i="13"/>
  <c r="A83" i="16"/>
  <c r="AC40" i="12"/>
  <c r="Y40" i="12"/>
  <c r="F65" i="13" s="1"/>
  <c r="D63" i="16"/>
  <c r="D52" i="13"/>
  <c r="A54" i="15"/>
  <c r="A64" i="14"/>
  <c r="B69" i="16"/>
  <c r="B58" i="13"/>
  <c r="Y41" i="12"/>
  <c r="F66" i="13" s="1"/>
  <c r="AC41" i="12"/>
  <c r="C65" i="16"/>
  <c r="C54" i="13"/>
  <c r="U3" i="12"/>
  <c r="G3" i="3"/>
  <c r="G19" i="3"/>
  <c r="E68" i="16"/>
  <c r="AA26" i="12"/>
  <c r="T26" i="12"/>
  <c r="E40" i="16"/>
  <c r="E29" i="13"/>
  <c r="E56" i="16"/>
  <c r="E45" i="13"/>
  <c r="AA10" i="12"/>
  <c r="T10" i="12"/>
  <c r="F10" i="12"/>
  <c r="A39" i="14"/>
  <c r="A29" i="15"/>
  <c r="B39" i="13"/>
  <c r="B50" i="16"/>
  <c r="A46" i="15"/>
  <c r="B70" i="16"/>
  <c r="AA23" i="12"/>
  <c r="F23" i="12"/>
  <c r="I45" i="12"/>
  <c r="AG45" i="12"/>
  <c r="G80" i="14" s="1"/>
  <c r="B39" i="14"/>
  <c r="B29" i="15"/>
  <c r="B33" i="13"/>
  <c r="B44" i="16"/>
  <c r="C39" i="13"/>
  <c r="C50" i="16"/>
  <c r="A23" i="12"/>
  <c r="K3" i="3"/>
  <c r="D3" i="12" s="1"/>
  <c r="A7" i="12"/>
  <c r="T7" i="12"/>
  <c r="AC23" i="12"/>
  <c r="Y23" i="12"/>
  <c r="F48" i="13" s="1"/>
  <c r="C61" i="13"/>
  <c r="C72" i="16"/>
  <c r="K45" i="3"/>
  <c r="D45" i="12" s="1"/>
  <c r="B45" i="12"/>
  <c r="C33" i="13"/>
  <c r="C44" i="16"/>
  <c r="AA16" i="12"/>
  <c r="T29" i="12"/>
  <c r="D46" i="16"/>
  <c r="D35" i="13"/>
  <c r="G36" i="12"/>
  <c r="W36" i="12"/>
  <c r="AG39" i="12"/>
  <c r="G74" i="14" s="1"/>
  <c r="I39" i="12"/>
  <c r="AC14" i="12"/>
  <c r="F21" i="12"/>
  <c r="U29" i="12"/>
  <c r="A72" i="16"/>
  <c r="A61" i="13"/>
  <c r="A40" i="16"/>
  <c r="A29" i="13"/>
  <c r="K13" i="3"/>
  <c r="D13" i="12" s="1"/>
  <c r="B13" i="12"/>
  <c r="A20" i="12"/>
  <c r="AA20" i="12"/>
  <c r="E72" i="16"/>
  <c r="E61" i="13"/>
  <c r="K42" i="3"/>
  <c r="D42" i="12" s="1"/>
  <c r="B42" i="12"/>
  <c r="E33" i="13"/>
  <c r="E44" i="16"/>
  <c r="AC16" i="12"/>
  <c r="G21" i="12"/>
  <c r="B61" i="13"/>
  <c r="B72" i="16"/>
  <c r="AC49" i="12"/>
  <c r="A37" i="13"/>
  <c r="C71" i="16"/>
  <c r="AE10" i="12"/>
  <c r="E45" i="14" s="1"/>
  <c r="AD10" i="12"/>
  <c r="D45" i="14" s="1"/>
  <c r="C35" i="15"/>
  <c r="Y20" i="12"/>
  <c r="F45" i="13" s="1"/>
  <c r="AC20" i="12"/>
  <c r="W29" i="12"/>
  <c r="A71" i="14"/>
  <c r="A61" i="15"/>
  <c r="B37" i="13"/>
  <c r="C51" i="13"/>
  <c r="A65" i="13"/>
  <c r="A56" i="16"/>
  <c r="E71" i="16"/>
  <c r="U32" i="12"/>
  <c r="G32" i="3"/>
  <c r="E49" i="13"/>
  <c r="E60" i="16"/>
  <c r="C57" i="13"/>
  <c r="C68" i="16"/>
  <c r="A13" i="12"/>
  <c r="AA13" i="12"/>
  <c r="T13" i="12"/>
  <c r="C83" i="14"/>
  <c r="AD48" i="12"/>
  <c r="D83" i="14" s="1"/>
  <c r="B29" i="13"/>
  <c r="B40" i="16"/>
  <c r="B65" i="13"/>
  <c r="B76" i="16"/>
  <c r="E78" i="16"/>
  <c r="E67" i="13"/>
  <c r="G27" i="12"/>
  <c r="X40" i="12"/>
  <c r="B52" i="16"/>
  <c r="Y42" i="12"/>
  <c r="F67" i="13" s="1"/>
  <c r="AC42" i="12"/>
  <c r="C29" i="13"/>
  <c r="C40" i="16"/>
  <c r="G33" i="12"/>
  <c r="W33" i="12"/>
  <c r="AG16" i="12"/>
  <c r="G51" i="14" s="1"/>
  <c r="E65" i="16"/>
  <c r="E54" i="13"/>
  <c r="H43" i="12"/>
  <c r="B72" i="13"/>
  <c r="B83" i="16"/>
  <c r="D65" i="13"/>
  <c r="B56" i="16"/>
  <c r="D29" i="13"/>
  <c r="D40" i="16"/>
  <c r="A39" i="15"/>
  <c r="A49" i="14"/>
  <c r="C66" i="16"/>
  <c r="C55" i="13"/>
  <c r="H33" i="12"/>
  <c r="X33" i="12"/>
  <c r="F7" i="12"/>
  <c r="E46" i="16"/>
  <c r="E35" i="13"/>
  <c r="X27" i="12"/>
  <c r="Y29" i="12"/>
  <c r="F54" i="13" s="1"/>
  <c r="B52" i="13"/>
  <c r="C56" i="16"/>
  <c r="AA27" i="12"/>
  <c r="T27" i="12"/>
  <c r="D66" i="16"/>
  <c r="D55" i="13"/>
  <c r="G33" i="3"/>
  <c r="K36" i="3"/>
  <c r="D36" i="12" s="1"/>
  <c r="H49" i="12"/>
  <c r="X49" i="12"/>
  <c r="Y10" i="12"/>
  <c r="F35" i="13" s="1"/>
  <c r="T21" i="12"/>
  <c r="G32" i="12"/>
  <c r="AG49" i="12"/>
  <c r="G84" i="14" s="1"/>
  <c r="D56" i="16"/>
  <c r="W3" i="12"/>
  <c r="G3" i="12"/>
  <c r="C76" i="16"/>
  <c r="U21" i="12"/>
  <c r="G21" i="3"/>
  <c r="AA47" i="12"/>
  <c r="F47" i="12"/>
  <c r="D32" i="13"/>
  <c r="D43" i="16"/>
  <c r="E59" i="16"/>
  <c r="E48" i="13"/>
  <c r="AD34" i="12"/>
  <c r="D69" i="14" s="1"/>
  <c r="A64" i="13"/>
  <c r="A75" i="16"/>
  <c r="E27" i="13"/>
  <c r="B32" i="15"/>
  <c r="C43" i="14"/>
  <c r="AD8" i="12"/>
  <c r="D43" i="14" s="1"/>
  <c r="AA18" i="12"/>
  <c r="T18" i="12"/>
  <c r="F18" i="12"/>
  <c r="G24" i="3"/>
  <c r="U15" i="12"/>
  <c r="AC17" i="12"/>
  <c r="X19" i="12"/>
  <c r="F26" i="12"/>
  <c r="H30" i="12"/>
  <c r="B43" i="16"/>
  <c r="D61" i="16"/>
  <c r="W18" i="12"/>
  <c r="G18" i="12"/>
  <c r="G28" i="3"/>
  <c r="U28" i="12"/>
  <c r="A41" i="12"/>
  <c r="F41" i="12"/>
  <c r="AA41" i="12"/>
  <c r="E83" i="16"/>
  <c r="E72" i="13"/>
  <c r="B4" i="12"/>
  <c r="B48" i="14"/>
  <c r="B38" i="15"/>
  <c r="E51" i="16"/>
  <c r="E40" i="13"/>
  <c r="C33" i="15"/>
  <c r="D80" i="16"/>
  <c r="X22" i="12"/>
  <c r="H22" i="12"/>
  <c r="K7" i="3"/>
  <c r="D7" i="12" s="1"/>
  <c r="A24" i="12"/>
  <c r="F24" i="12"/>
  <c r="AA24" i="12"/>
  <c r="G18" i="3"/>
  <c r="U18" i="12"/>
  <c r="AA7" i="12"/>
  <c r="A25" i="12"/>
  <c r="AA25" i="12"/>
  <c r="AA38" i="12"/>
  <c r="T38" i="12"/>
  <c r="F38" i="12"/>
  <c r="A47" i="16"/>
  <c r="A36" i="13"/>
  <c r="A18" i="12"/>
  <c r="B66" i="16"/>
  <c r="B55" i="13"/>
  <c r="D30" i="13"/>
  <c r="D44" i="13"/>
  <c r="AA9" i="12"/>
  <c r="T9" i="12"/>
  <c r="A9" i="12"/>
  <c r="AC25" i="12"/>
  <c r="Y25" i="12"/>
  <c r="F50" i="13" s="1"/>
  <c r="G38" i="3"/>
  <c r="U38" i="12"/>
  <c r="D64" i="16"/>
  <c r="D53" i="13"/>
  <c r="E30" i="13"/>
  <c r="A29" i="12"/>
  <c r="F29" i="12"/>
  <c r="A66" i="13"/>
  <c r="A77" i="16"/>
  <c r="B66" i="13"/>
  <c r="B77" i="16"/>
  <c r="B46" i="12"/>
  <c r="K46" i="3"/>
  <c r="D46" i="12" s="1"/>
  <c r="A44" i="13"/>
  <c r="A55" i="16"/>
  <c r="C66" i="13"/>
  <c r="C77" i="16"/>
  <c r="C68" i="13"/>
  <c r="AG27" i="12"/>
  <c r="G62" i="14" s="1"/>
  <c r="I27" i="12"/>
  <c r="C72" i="13"/>
  <c r="C83" i="16"/>
  <c r="A44" i="12"/>
  <c r="AA44" i="12"/>
  <c r="T44" i="12"/>
  <c r="D57" i="13"/>
  <c r="F20" i="12"/>
  <c r="I46" i="12"/>
  <c r="C70" i="13"/>
  <c r="U9" i="12"/>
  <c r="G9" i="3"/>
  <c r="D37" i="13"/>
  <c r="D48" i="16"/>
  <c r="AA35" i="12"/>
  <c r="F35" i="12"/>
  <c r="A35" i="12"/>
  <c r="C63" i="13"/>
  <c r="C74" i="16"/>
  <c r="H41" i="12"/>
  <c r="X41" i="12"/>
  <c r="G44" i="3"/>
  <c r="G4" i="12"/>
  <c r="AG7" i="12"/>
  <c r="G42" i="14" s="1"/>
  <c r="T24" i="12"/>
  <c r="U26" i="12"/>
  <c r="Y48" i="12"/>
  <c r="F73" i="13" s="1"/>
  <c r="C58" i="13"/>
  <c r="E73" i="13"/>
  <c r="A68" i="14"/>
  <c r="B79" i="16"/>
  <c r="B68" i="13"/>
  <c r="AG43" i="12"/>
  <c r="G78" i="14" s="1"/>
  <c r="I43" i="12"/>
  <c r="C59" i="16"/>
  <c r="C48" i="13"/>
  <c r="D59" i="16"/>
  <c r="D48" i="13"/>
  <c r="E68" i="13"/>
  <c r="G22" i="12"/>
  <c r="B78" i="14"/>
  <c r="K2" i="3"/>
  <c r="D2" i="12" s="1"/>
  <c r="C34" i="13"/>
  <c r="C45" i="16"/>
  <c r="K31" i="3"/>
  <c r="D31" i="12" s="1"/>
  <c r="G35" i="3"/>
  <c r="W38" i="12"/>
  <c r="G38" i="12"/>
  <c r="AG13" i="12"/>
  <c r="G48" i="14" s="1"/>
  <c r="AC37" i="12"/>
  <c r="H40" i="12"/>
  <c r="B68" i="14"/>
  <c r="E66" i="16"/>
  <c r="D81" i="16"/>
  <c r="D47" i="13"/>
  <c r="D58" i="16"/>
  <c r="C54" i="16"/>
  <c r="C43" i="13"/>
  <c r="C28" i="13"/>
  <c r="C39" i="16"/>
  <c r="A36" i="15"/>
  <c r="A46" i="14"/>
  <c r="G30" i="3"/>
  <c r="G43" i="3"/>
  <c r="B59" i="16"/>
  <c r="B48" i="13"/>
  <c r="C42" i="16"/>
  <c r="C69" i="14"/>
  <c r="AE34" i="12"/>
  <c r="E69" i="14" s="1"/>
  <c r="B80" i="14"/>
  <c r="B70" i="15"/>
  <c r="D27" i="13"/>
  <c r="AA15" i="12"/>
  <c r="A15" i="12"/>
  <c r="G31" i="3"/>
  <c r="U31" i="12"/>
  <c r="I30" i="12"/>
  <c r="X13" i="12"/>
  <c r="W39" i="12"/>
  <c r="X18" i="12"/>
  <c r="H18" i="12"/>
  <c r="G47" i="3"/>
  <c r="H35" i="12"/>
  <c r="C30" i="13"/>
  <c r="AC12" i="12"/>
  <c r="Y12" i="12"/>
  <c r="F37" i="13" s="1"/>
  <c r="K34" i="3"/>
  <c r="D34" i="12" s="1"/>
  <c r="F6" i="12"/>
  <c r="A6" i="12"/>
  <c r="AA6" i="12"/>
  <c r="D34" i="13"/>
  <c r="D45" i="16"/>
  <c r="X38" i="12"/>
  <c r="H38" i="12"/>
  <c r="A10" i="12"/>
  <c r="AC26" i="12"/>
  <c r="A53" i="15"/>
  <c r="A63" i="14"/>
  <c r="T35" i="12"/>
  <c r="I40" i="12"/>
  <c r="AE48" i="12"/>
  <c r="E83" i="14" s="1"/>
  <c r="D46" i="13"/>
  <c r="C48" i="16"/>
  <c r="E81" i="16"/>
  <c r="A16" i="12"/>
  <c r="F16" i="12"/>
  <c r="C64" i="14"/>
  <c r="C54" i="15"/>
  <c r="AE29" i="12"/>
  <c r="E64" i="14" s="1"/>
  <c r="AD29" i="12"/>
  <c r="D64" i="14" s="1"/>
  <c r="A79" i="16"/>
  <c r="A68" i="13"/>
  <c r="F13" i="12"/>
  <c r="B46" i="15"/>
  <c r="B56" i="14"/>
  <c r="A59" i="16"/>
  <c r="AC11" i="12"/>
  <c r="Y11" i="12"/>
  <c r="F36" i="13" s="1"/>
  <c r="G27" i="3"/>
  <c r="A26" i="12"/>
  <c r="D66" i="13"/>
  <c r="D77" i="16"/>
  <c r="A80" i="14"/>
  <c r="A70" i="15"/>
  <c r="D42" i="16"/>
  <c r="C44" i="13"/>
  <c r="C55" i="16"/>
  <c r="E42" i="16"/>
  <c r="C43" i="16"/>
  <c r="D83" i="16"/>
  <c r="D72" i="13"/>
  <c r="D42" i="13"/>
  <c r="A12" i="12"/>
  <c r="AA12" i="12"/>
  <c r="F12" i="12"/>
  <c r="C69" i="13"/>
  <c r="C80" i="16"/>
  <c r="B44" i="13"/>
  <c r="AA3" i="12"/>
  <c r="T3" i="12"/>
  <c r="G6" i="3"/>
  <c r="K28" i="3"/>
  <c r="D28" i="12" s="1"/>
  <c r="A32" i="12"/>
  <c r="AA32" i="12"/>
  <c r="T32" i="12"/>
  <c r="W35" i="12"/>
  <c r="G35" i="12"/>
  <c r="G6" i="12"/>
  <c r="B10" i="12"/>
  <c r="U35" i="12"/>
  <c r="AC46" i="12"/>
  <c r="B74" i="13"/>
  <c r="A81" i="14"/>
  <c r="B24" i="12"/>
  <c r="K24" i="3"/>
  <c r="D24" i="12" s="1"/>
  <c r="C71" i="13"/>
  <c r="C82" i="16"/>
  <c r="C37" i="14"/>
  <c r="AA34" i="12"/>
  <c r="T34" i="12"/>
  <c r="D71" i="13"/>
  <c r="D82" i="16"/>
  <c r="AD2" i="12"/>
  <c r="D37" i="14" s="1"/>
  <c r="B15" i="12"/>
  <c r="T31" i="12"/>
  <c r="AG34" i="12"/>
  <c r="G69" i="14" s="1"/>
  <c r="A68" i="15"/>
  <c r="A78" i="14"/>
  <c r="B6" i="12"/>
  <c r="K6" i="3"/>
  <c r="D6" i="12" s="1"/>
  <c r="G7" i="3"/>
  <c r="G13" i="3"/>
  <c r="G22" i="3"/>
  <c r="H6" i="12"/>
  <c r="AG24" i="12"/>
  <c r="G59" i="14" s="1"/>
  <c r="B66" i="14"/>
  <c r="B56" i="15"/>
  <c r="G4" i="3"/>
  <c r="I6" i="12"/>
  <c r="AG41" i="12"/>
  <c r="G76" i="14" s="1"/>
  <c r="E43" i="16"/>
  <c r="E82" i="16"/>
  <c r="U17" i="12"/>
  <c r="K38" i="3"/>
  <c r="D38" i="12" s="1"/>
  <c r="B38" i="12"/>
  <c r="G14" i="12"/>
  <c r="B76" i="14"/>
  <c r="K41" i="3"/>
  <c r="D41" i="12" s="1"/>
  <c r="K44" i="3"/>
  <c r="D44" i="12" s="1"/>
  <c r="H14" i="12"/>
  <c r="F34" i="12"/>
  <c r="W49" i="12"/>
  <c r="H8" i="12"/>
  <c r="G11" i="12"/>
  <c r="X17" i="12"/>
  <c r="A73" i="13"/>
  <c r="B54" i="15"/>
  <c r="T2" i="12"/>
  <c r="A2" i="12"/>
  <c r="A48" i="12"/>
  <c r="AA48" i="12"/>
  <c r="K29" i="3"/>
  <c r="D29" i="12" s="1"/>
  <c r="K32" i="3"/>
  <c r="D32" i="12" s="1"/>
  <c r="AA42" i="12"/>
  <c r="T42" i="12"/>
  <c r="U22" i="12"/>
  <c r="B73" i="13"/>
  <c r="G39" i="3"/>
  <c r="G45" i="3"/>
  <c r="I11" i="12"/>
  <c r="A31" i="12"/>
  <c r="F36" i="12"/>
  <c r="G46" i="12"/>
  <c r="C73" i="13"/>
  <c r="D39" i="13"/>
  <c r="D50" i="16"/>
  <c r="AA30" i="12"/>
  <c r="T30" i="12"/>
  <c r="G36" i="3"/>
  <c r="B52" i="14"/>
  <c r="B42" i="15"/>
  <c r="H46" i="12"/>
  <c r="B84" i="14"/>
  <c r="B74" i="15"/>
  <c r="C41" i="13"/>
  <c r="D73" i="13"/>
  <c r="C22" i="12"/>
  <c r="H2" i="12"/>
  <c r="B33" i="12"/>
  <c r="T14" i="12"/>
  <c r="T46" i="12"/>
  <c r="X34" i="12"/>
  <c r="A57" i="14"/>
  <c r="B57" i="14"/>
  <c r="AE16" i="12" l="1"/>
  <c r="E51" i="14" s="1"/>
  <c r="AD16" i="12"/>
  <c r="D51" i="14" s="1"/>
  <c r="C51" i="14"/>
  <c r="C41" i="15"/>
  <c r="Y45" i="12"/>
  <c r="F70" i="13" s="1"/>
  <c r="AC45" i="12"/>
  <c r="C76" i="14"/>
  <c r="C66" i="15"/>
  <c r="AE41" i="12"/>
  <c r="E76" i="14" s="1"/>
  <c r="AD41" i="12"/>
  <c r="D76" i="14" s="1"/>
  <c r="D64" i="13"/>
  <c r="D75" i="16"/>
  <c r="B74" i="16"/>
  <c r="B63" i="13"/>
  <c r="A78" i="16"/>
  <c r="A67" i="13"/>
  <c r="AC6" i="12"/>
  <c r="Y6" i="12"/>
  <c r="F31" i="13" s="1"/>
  <c r="B71" i="16"/>
  <c r="B60" i="13"/>
  <c r="E63" i="16"/>
  <c r="E52" i="13"/>
  <c r="E66" i="13"/>
  <c r="E77" i="16"/>
  <c r="A57" i="13"/>
  <c r="A68" i="16"/>
  <c r="AC39" i="12"/>
  <c r="Y39" i="12"/>
  <c r="F64" i="13" s="1"/>
  <c r="A57" i="15"/>
  <c r="A67" i="14"/>
  <c r="E54" i="16"/>
  <c r="E43" i="13"/>
  <c r="A48" i="14"/>
  <c r="A38" i="15"/>
  <c r="D74" i="16"/>
  <c r="D63" i="13"/>
  <c r="A70" i="14"/>
  <c r="A60" i="15"/>
  <c r="B58" i="16"/>
  <c r="B47" i="13"/>
  <c r="E38" i="13"/>
  <c r="E49" i="16"/>
  <c r="AC35" i="12"/>
  <c r="Y35" i="12"/>
  <c r="F60" i="13" s="1"/>
  <c r="Y38" i="12"/>
  <c r="F63" i="13" s="1"/>
  <c r="AC38" i="12"/>
  <c r="A45" i="15"/>
  <c r="A55" i="14"/>
  <c r="Y22" i="12"/>
  <c r="F47" i="13" s="1"/>
  <c r="AC22" i="12"/>
  <c r="A67" i="15"/>
  <c r="A77" i="14"/>
  <c r="Y13" i="12"/>
  <c r="F38" i="13" s="1"/>
  <c r="AC13" i="12"/>
  <c r="A28" i="13"/>
  <c r="A39" i="16"/>
  <c r="B56" i="13"/>
  <c r="B67" i="16"/>
  <c r="Y9" i="12"/>
  <c r="F34" i="13" s="1"/>
  <c r="AC9" i="12"/>
  <c r="AE25" i="12"/>
  <c r="E60" i="14" s="1"/>
  <c r="AD25" i="12"/>
  <c r="D60" i="14" s="1"/>
  <c r="C50" i="15"/>
  <c r="C60" i="14"/>
  <c r="A72" i="15"/>
  <c r="A82" i="14"/>
  <c r="A32" i="13"/>
  <c r="A43" i="16"/>
  <c r="AC4" i="12"/>
  <c r="Y4" i="12"/>
  <c r="F29" i="13" s="1"/>
  <c r="AC47" i="12"/>
  <c r="Y47" i="12"/>
  <c r="F72" i="13" s="1"/>
  <c r="A34" i="13"/>
  <c r="A45" i="16"/>
  <c r="Y32" i="12"/>
  <c r="F57" i="13" s="1"/>
  <c r="AC32" i="12"/>
  <c r="A83" i="14"/>
  <c r="A73" i="15"/>
  <c r="A40" i="15"/>
  <c r="A50" i="14"/>
  <c r="A34" i="15"/>
  <c r="A44" i="14"/>
  <c r="B57" i="13"/>
  <c r="B68" i="16"/>
  <c r="E59" i="13"/>
  <c r="E70" i="16"/>
  <c r="A71" i="13"/>
  <c r="A82" i="16"/>
  <c r="B64" i="16"/>
  <c r="B53" i="13"/>
  <c r="D39" i="16"/>
  <c r="D28" i="13"/>
  <c r="C75" i="14"/>
  <c r="AE40" i="12"/>
  <c r="E75" i="14" s="1"/>
  <c r="AD40" i="12"/>
  <c r="D75" i="14" s="1"/>
  <c r="C65" i="15"/>
  <c r="AE23" i="12"/>
  <c r="E58" i="14" s="1"/>
  <c r="C48" i="15"/>
  <c r="AD23" i="12"/>
  <c r="D58" i="14" s="1"/>
  <c r="C58" i="14"/>
  <c r="E85" i="16"/>
  <c r="E74" i="13"/>
  <c r="D65" i="16"/>
  <c r="D54" i="13"/>
  <c r="D61" i="13"/>
  <c r="D72" i="16"/>
  <c r="Y3" i="12"/>
  <c r="F28" i="13" s="1"/>
  <c r="AC3" i="12"/>
  <c r="A69" i="14"/>
  <c r="A59" i="15"/>
  <c r="Y30" i="12"/>
  <c r="F55" i="13" s="1"/>
  <c r="AC30" i="12"/>
  <c r="A63" i="15"/>
  <c r="A73" i="14"/>
  <c r="E44" i="13"/>
  <c r="E55" i="16"/>
  <c r="AD15" i="12"/>
  <c r="D50" i="14" s="1"/>
  <c r="AE15" i="12"/>
  <c r="E50" i="14" s="1"/>
  <c r="C40" i="15"/>
  <c r="C50" i="14"/>
  <c r="C36" i="15"/>
  <c r="AD11" i="12"/>
  <c r="D46" i="14" s="1"/>
  <c r="C46" i="14"/>
  <c r="AE11" i="12"/>
  <c r="E46" i="14" s="1"/>
  <c r="Y7" i="12"/>
  <c r="F32" i="13" s="1"/>
  <c r="AC7" i="12"/>
  <c r="AC21" i="12"/>
  <c r="Y21" i="12"/>
  <c r="F46" i="13" s="1"/>
  <c r="B46" i="13"/>
  <c r="B57" i="16"/>
  <c r="D69" i="16"/>
  <c r="D58" i="13"/>
  <c r="A74" i="16"/>
  <c r="A63" i="13"/>
  <c r="A50" i="15"/>
  <c r="A60" i="14"/>
  <c r="C52" i="14"/>
  <c r="C42" i="15"/>
  <c r="AE17" i="12"/>
  <c r="E52" i="14" s="1"/>
  <c r="AD17" i="12"/>
  <c r="D52" i="14" s="1"/>
  <c r="Y33" i="12"/>
  <c r="F58" i="13" s="1"/>
  <c r="AC33" i="12"/>
  <c r="C67" i="15"/>
  <c r="AE42" i="12"/>
  <c r="E77" i="14" s="1"/>
  <c r="AD42" i="12"/>
  <c r="D77" i="14" s="1"/>
  <c r="C77" i="14"/>
  <c r="A46" i="16"/>
  <c r="A35" i="13"/>
  <c r="A32" i="15"/>
  <c r="A42" i="14"/>
  <c r="AC24" i="12"/>
  <c r="Y24" i="12"/>
  <c r="F49" i="13" s="1"/>
  <c r="A51" i="14"/>
  <c r="A41" i="15"/>
  <c r="AC19" i="12"/>
  <c r="Y19" i="12"/>
  <c r="F44" i="13" s="1"/>
  <c r="B54" i="16"/>
  <c r="B43" i="13"/>
  <c r="A63" i="16"/>
  <c r="A52" i="13"/>
  <c r="E65" i="13"/>
  <c r="E76" i="16"/>
  <c r="A28" i="15"/>
  <c r="A38" i="14"/>
  <c r="A37" i="15"/>
  <c r="A47" i="14"/>
  <c r="A48" i="15"/>
  <c r="A58" i="14"/>
  <c r="A69" i="15"/>
  <c r="A79" i="14"/>
  <c r="D54" i="16"/>
  <c r="D43" i="13"/>
  <c r="AC43" i="12"/>
  <c r="Y43" i="12"/>
  <c r="F68" i="13" s="1"/>
  <c r="B40" i="13"/>
  <c r="B51" i="16"/>
  <c r="A66" i="16"/>
  <c r="A55" i="13"/>
  <c r="A41" i="14"/>
  <c r="A31" i="15"/>
  <c r="B62" i="16"/>
  <c r="B51" i="13"/>
  <c r="Y18" i="12"/>
  <c r="F43" i="13" s="1"/>
  <c r="AC18" i="12"/>
  <c r="A43" i="13"/>
  <c r="A54" i="16"/>
  <c r="A62" i="14"/>
  <c r="A52" i="15"/>
  <c r="C47" i="14"/>
  <c r="AD12" i="12"/>
  <c r="D47" i="14" s="1"/>
  <c r="C37" i="15"/>
  <c r="AE12" i="12"/>
  <c r="E47" i="14" s="1"/>
  <c r="AC31" i="12"/>
  <c r="Y31" i="12"/>
  <c r="F56" i="13" s="1"/>
  <c r="B34" i="13"/>
  <c r="B45" i="16"/>
  <c r="A39" i="13"/>
  <c r="A50" i="16"/>
  <c r="A69" i="13"/>
  <c r="A80" i="16"/>
  <c r="A56" i="13"/>
  <c r="A67" i="16"/>
  <c r="C39" i="15"/>
  <c r="C49" i="14"/>
  <c r="AE14" i="12"/>
  <c r="E49" i="14" s="1"/>
  <c r="AD14" i="12"/>
  <c r="D49" i="14" s="1"/>
  <c r="E53" i="16"/>
  <c r="E42" i="13"/>
  <c r="A60" i="13"/>
  <c r="A71" i="16"/>
  <c r="A57" i="16"/>
  <c r="A46" i="13"/>
  <c r="D85" i="16"/>
  <c r="D74" i="13"/>
  <c r="C45" i="15"/>
  <c r="AE20" i="12"/>
  <c r="E55" i="14" s="1"/>
  <c r="AD20" i="12"/>
  <c r="D55" i="14" s="1"/>
  <c r="C55" i="14"/>
  <c r="A55" i="15"/>
  <c r="A65" i="14"/>
  <c r="A60" i="16"/>
  <c r="A49" i="13"/>
  <c r="A49" i="15"/>
  <c r="A59" i="14"/>
  <c r="A43" i="15"/>
  <c r="A53" i="14"/>
  <c r="C84" i="14"/>
  <c r="C74" i="15"/>
  <c r="AE49" i="12"/>
  <c r="E84" i="14" s="1"/>
  <c r="AD49" i="12"/>
  <c r="D84" i="14" s="1"/>
  <c r="B39" i="16"/>
  <c r="B28" i="13"/>
  <c r="D71" i="16"/>
  <c r="D60" i="13"/>
  <c r="C62" i="15"/>
  <c r="C72" i="14"/>
  <c r="AE37" i="12"/>
  <c r="E72" i="14" s="1"/>
  <c r="AD37" i="12"/>
  <c r="D72" i="14" s="1"/>
  <c r="A66" i="15"/>
  <c r="A76" i="14"/>
  <c r="C61" i="14"/>
  <c r="AE26" i="12"/>
  <c r="E61" i="14" s="1"/>
  <c r="AD26" i="12"/>
  <c r="D61" i="14" s="1"/>
  <c r="C51" i="15"/>
  <c r="A35" i="15"/>
  <c r="A45" i="14"/>
  <c r="Y36" i="12"/>
  <c r="F61" i="13" s="1"/>
  <c r="AC36" i="12"/>
  <c r="A62" i="16"/>
  <c r="A51" i="13"/>
  <c r="Y44" i="12"/>
  <c r="F69" i="13" s="1"/>
  <c r="AC44" i="12"/>
  <c r="E58" i="16"/>
  <c r="E47" i="13"/>
  <c r="E69" i="16"/>
  <c r="E58" i="13"/>
  <c r="A49" i="16"/>
  <c r="A38" i="13"/>
  <c r="A27" i="13"/>
  <c r="A38" i="16"/>
  <c r="Y28" i="12"/>
  <c r="F53" i="13" s="1"/>
  <c r="AC28" i="12"/>
  <c r="B65" i="16"/>
  <c r="B54" i="13"/>
  <c r="A70" i="16"/>
  <c r="A59" i="13"/>
  <c r="E74" i="16"/>
  <c r="E63" i="13"/>
  <c r="A65" i="16"/>
  <c r="A54" i="13"/>
  <c r="B53" i="16"/>
  <c r="B42" i="13"/>
  <c r="C71" i="15"/>
  <c r="AE46" i="12"/>
  <c r="E81" i="14" s="1"/>
  <c r="AD46" i="12"/>
  <c r="D81" i="14" s="1"/>
  <c r="C81" i="14"/>
  <c r="AC27" i="12"/>
  <c r="Y27" i="12"/>
  <c r="F52" i="13" s="1"/>
  <c r="A61" i="14"/>
  <c r="A51" i="15"/>
  <c r="C48" i="14" l="1"/>
  <c r="C38" i="15"/>
  <c r="AD13" i="12"/>
  <c r="D48" i="14" s="1"/>
  <c r="AE13" i="12"/>
  <c r="E48" i="14" s="1"/>
  <c r="C79" i="14"/>
  <c r="C69" i="15"/>
  <c r="AE44" i="12"/>
  <c r="E79" i="14" s="1"/>
  <c r="AD44" i="12"/>
  <c r="D79" i="14" s="1"/>
  <c r="AE3" i="12"/>
  <c r="E38" i="14" s="1"/>
  <c r="AD3" i="12"/>
  <c r="D38" i="14" s="1"/>
  <c r="C28" i="15"/>
  <c r="C38" i="14"/>
  <c r="C57" i="15"/>
  <c r="C67" i="14"/>
  <c r="AE32" i="12"/>
  <c r="E67" i="14" s="1"/>
  <c r="AD32" i="12"/>
  <c r="D67" i="14" s="1"/>
  <c r="C42" i="14"/>
  <c r="AE7" i="12"/>
  <c r="E42" i="14" s="1"/>
  <c r="AD7" i="12"/>
  <c r="D42" i="14" s="1"/>
  <c r="C32" i="15"/>
  <c r="C44" i="15"/>
  <c r="AE19" i="12"/>
  <c r="E54" i="14" s="1"/>
  <c r="AD19" i="12"/>
  <c r="D54" i="14" s="1"/>
  <c r="C54" i="14"/>
  <c r="C53" i="14"/>
  <c r="C43" i="15"/>
  <c r="AE18" i="12"/>
  <c r="E53" i="14" s="1"/>
  <c r="AD18" i="12"/>
  <c r="D53" i="14" s="1"/>
  <c r="C59" i="14"/>
  <c r="C49" i="15"/>
  <c r="AE24" i="12"/>
  <c r="E59" i="14" s="1"/>
  <c r="AD24" i="12"/>
  <c r="D59" i="14" s="1"/>
  <c r="C47" i="15"/>
  <c r="C57" i="14"/>
  <c r="AE22" i="12"/>
  <c r="E57" i="14" s="1"/>
  <c r="AD22" i="12"/>
  <c r="D57" i="14" s="1"/>
  <c r="C63" i="15"/>
  <c r="C73" i="14"/>
  <c r="AE38" i="12"/>
  <c r="E73" i="14" s="1"/>
  <c r="AD38" i="12"/>
  <c r="D73" i="14" s="1"/>
  <c r="AE35" i="12"/>
  <c r="E70" i="14" s="1"/>
  <c r="AD35" i="12"/>
  <c r="D70" i="14" s="1"/>
  <c r="C60" i="15"/>
  <c r="C70" i="14"/>
  <c r="AE27" i="12"/>
  <c r="E62" i="14" s="1"/>
  <c r="C52" i="15"/>
  <c r="AD27" i="12"/>
  <c r="D62" i="14" s="1"/>
  <c r="C62" i="14"/>
  <c r="AE39" i="12"/>
  <c r="E74" i="14" s="1"/>
  <c r="C74" i="14"/>
  <c r="AD39" i="12"/>
  <c r="D74" i="14" s="1"/>
  <c r="C64" i="15"/>
  <c r="AE47" i="12"/>
  <c r="E82" i="14" s="1"/>
  <c r="AD47" i="12"/>
  <c r="D82" i="14" s="1"/>
  <c r="C82" i="14"/>
  <c r="C72" i="15"/>
  <c r="C58" i="15"/>
  <c r="C68" i="14"/>
  <c r="AD33" i="12"/>
  <c r="D68" i="14" s="1"/>
  <c r="AE33" i="12"/>
  <c r="E68" i="14" s="1"/>
  <c r="C80" i="14"/>
  <c r="C70" i="15"/>
  <c r="AE45" i="12"/>
  <c r="E80" i="14" s="1"/>
  <c r="AD45" i="12"/>
  <c r="D80" i="14" s="1"/>
  <c r="C31" i="15"/>
  <c r="C41" i="14"/>
  <c r="AE6" i="12"/>
  <c r="E41" i="14" s="1"/>
  <c r="AD6" i="12"/>
  <c r="D41" i="14" s="1"/>
  <c r="AE4" i="12"/>
  <c r="E39" i="14" s="1"/>
  <c r="AD4" i="12"/>
  <c r="D39" i="14" s="1"/>
  <c r="C29" i="15"/>
  <c r="C39" i="14"/>
  <c r="AD9" i="12"/>
  <c r="D44" i="14" s="1"/>
  <c r="C44" i="14"/>
  <c r="C34" i="15"/>
  <c r="AE9" i="12"/>
  <c r="E44" i="14" s="1"/>
  <c r="C68" i="15"/>
  <c r="AE43" i="12"/>
  <c r="E78" i="14" s="1"/>
  <c r="C78" i="14"/>
  <c r="AD43" i="12"/>
  <c r="D78" i="14" s="1"/>
  <c r="C46" i="15"/>
  <c r="C56" i="14"/>
  <c r="AD21" i="12"/>
  <c r="D56" i="14" s="1"/>
  <c r="AE21" i="12"/>
  <c r="E56" i="14" s="1"/>
  <c r="AE36" i="12"/>
  <c r="E71" i="14" s="1"/>
  <c r="AD36" i="12"/>
  <c r="D71" i="14" s="1"/>
  <c r="C61" i="15"/>
  <c r="C71" i="14"/>
  <c r="C63" i="14"/>
  <c r="AE28" i="12"/>
  <c r="E63" i="14" s="1"/>
  <c r="C53" i="15"/>
  <c r="AD28" i="12"/>
  <c r="D63" i="14" s="1"/>
  <c r="C55" i="15"/>
  <c r="C65" i="14"/>
  <c r="AE30" i="12"/>
  <c r="E65" i="14" s="1"/>
  <c r="AD30" i="12"/>
  <c r="D65" i="14" s="1"/>
  <c r="C66" i="14"/>
  <c r="AE31" i="12"/>
  <c r="E66" i="14" s="1"/>
  <c r="AD31" i="12"/>
  <c r="D66" i="14" s="1"/>
  <c r="C56" i="15"/>
</calcChain>
</file>

<file path=xl/sharedStrings.xml><?xml version="1.0" encoding="utf-8"?>
<sst xmlns="http://schemas.openxmlformats.org/spreadsheetml/2006/main" count="530" uniqueCount="188">
  <si>
    <t>README</t>
  </si>
  <si>
    <t>Data behind the TR3 rolling-dispatch figures (SOC, demand/PV/dispatch, net, self-consumption, metrics histogram).</t>
  </si>
  <si>
    <t>Each quantity sheet: rows = 48 half-hour periods (with hour of day), columns = prosumers, plus fleet_average / fleet_total.</t>
  </si>
  <si>
    <t>Dispatch is the committed slot-1 execution of the rolling horizon (self-consumption baseline, Term 2 + Term 3).</t>
  </si>
  <si>
    <t>SOC is the realised state at the START of each step (fraction of capacity).</t>
  </si>
  <si>
    <t>net_kW = (demand - PV) + (charge - discharge); positive = import, negative = export.</t>
  </si>
  <si>
    <t>Regenerate: python build_workbook.py --force   (see README.md for other transformers).</t>
  </si>
  <si>
    <t>quantity</t>
  </si>
  <si>
    <t>value</t>
  </si>
  <si>
    <t>run</t>
  </si>
  <si>
    <t>TR3 exact-QCP rolling (FOR_PolyS=0, FOR_LinearizeVmax=0), 48 steps, all Optimal</t>
  </si>
  <si>
    <t>source dispatch</t>
  </si>
  <si>
    <t>FOR_rolling_soc_TR3.csv</t>
  </si>
  <si>
    <t>source load/PV</t>
  </si>
  <si>
    <t>TR3_load_PV_48periods.xlsx</t>
  </si>
  <si>
    <t>prosumers</t>
  </si>
  <si>
    <t>PV generated kWh/day</t>
  </si>
  <si>
    <t>demand kWh/day</t>
  </si>
  <si>
    <t>exported kWh/day</t>
  </si>
  <si>
    <t>imported kWh/day</t>
  </si>
  <si>
    <t>SCR % (PV used locally)</t>
  </si>
  <si>
    <t>SSR % (demand met locally)</t>
  </si>
  <si>
    <t>prosumer-periods |net|&lt;50W %</t>
  </si>
  <si>
    <t>SOC min/max over day</t>
  </si>
  <si>
    <t>0.10 / 1.00</t>
  </si>
  <si>
    <t>simultaneous chg+dis rows</t>
  </si>
  <si>
    <t>period</t>
  </si>
  <si>
    <t>hour</t>
  </si>
  <si>
    <t>demand_avg_kW</t>
  </si>
  <si>
    <t>PV_avg_kW</t>
  </si>
  <si>
    <t>charge_avg_kW</t>
  </si>
  <si>
    <t>discharge_avg_kW</t>
  </si>
  <si>
    <t>net_avg_kW</t>
  </si>
  <si>
    <t>SOC_avg_pct</t>
  </si>
  <si>
    <t>demand_total_kW</t>
  </si>
  <si>
    <t>PV_total_kW</t>
  </si>
  <si>
    <t>net_total_kW</t>
  </si>
  <si>
    <t>BES_TR3_one195_C</t>
  </si>
  <si>
    <t>BES_TR3_one235_A</t>
  </si>
  <si>
    <t>BES_TR3_one242_B</t>
  </si>
  <si>
    <t>BES_TR3_one252_C</t>
  </si>
  <si>
    <t>BES_TR3_one260_C</t>
  </si>
  <si>
    <t>BES_TR3_one299_B</t>
  </si>
  <si>
    <t>BES_TR3_one313_A</t>
  </si>
  <si>
    <t>BES_TR3_one42_B</t>
  </si>
  <si>
    <t>BES_TR3_one320_B</t>
  </si>
  <si>
    <t>BES_TR3_one346_C</t>
  </si>
  <si>
    <t>BES_TR3_one363_C</t>
  </si>
  <si>
    <t>BES_TR3_one366_B</t>
  </si>
  <si>
    <t>BES_TR3_one371_C</t>
  </si>
  <si>
    <t>BES_TR3_one375_C</t>
  </si>
  <si>
    <t>BES_TR3_one410_B</t>
  </si>
  <si>
    <t>BES_TR3_one50_A</t>
  </si>
  <si>
    <t>BES_TR3_one423_B</t>
  </si>
  <si>
    <t>BES_TR3_one446_B</t>
  </si>
  <si>
    <t>BES_TR3_one469_A</t>
  </si>
  <si>
    <t>BES_TR3_one477_A</t>
  </si>
  <si>
    <t>BES_TR3_one480_A</t>
  </si>
  <si>
    <t>BES_TR3_one482_B</t>
  </si>
  <si>
    <t>BES_TR3_one521_C</t>
  </si>
  <si>
    <t>BES_TR3_one528_C</t>
  </si>
  <si>
    <t>BES_TR3_one61_A</t>
  </si>
  <si>
    <t>BES_TR3_one544_A</t>
  </si>
  <si>
    <t>BES_TR3_one552_B</t>
  </si>
  <si>
    <t>BES_TR3_one559_C</t>
  </si>
  <si>
    <t>BES_TR3_one570_B</t>
  </si>
  <si>
    <t>BES_TR3_one605_A</t>
  </si>
  <si>
    <t>BES_TR3_one614_B</t>
  </si>
  <si>
    <t>BES_TR3_one617_A</t>
  </si>
  <si>
    <t>BES_TR3_one73_A</t>
  </si>
  <si>
    <t>BES_TR3_one76_A</t>
  </si>
  <si>
    <t>BES_TR3_one137_A</t>
  </si>
  <si>
    <t>BES_TR3_one176_A</t>
  </si>
  <si>
    <t>BES_TR3_two130_C</t>
  </si>
  <si>
    <t>BES_TR3_two249_A</t>
  </si>
  <si>
    <t>BES_TR3_two267_C</t>
  </si>
  <si>
    <t>BES_TR3_two292_B</t>
  </si>
  <si>
    <t>BES_TR3_two308_A</t>
  </si>
  <si>
    <t>BES_TR3_two313_C</t>
  </si>
  <si>
    <t>BES_TR3_two137_B</t>
  </si>
  <si>
    <t>BES_TR3_two316_A</t>
  </si>
  <si>
    <t>BES_TR3_two339_A</t>
  </si>
  <si>
    <t>BES_TR3_two149_B</t>
  </si>
  <si>
    <t>BES_TR3_two225_C</t>
  </si>
  <si>
    <t>BES_TR3_two229_A</t>
  </si>
  <si>
    <t>BES_TR3_two242_B</t>
  </si>
  <si>
    <t>fleet_average</t>
  </si>
  <si>
    <t>fleet_total</t>
  </si>
  <si>
    <t>battery</t>
  </si>
  <si>
    <t>bus</t>
  </si>
  <si>
    <t>phase</t>
  </si>
  <si>
    <t>BattMaxP_kW</t>
  </si>
  <si>
    <t>BattEcap_kWh</t>
  </si>
  <si>
    <t>PV_kWh</t>
  </si>
  <si>
    <t>demand_kWh</t>
  </si>
  <si>
    <t>export_kWh</t>
  </si>
  <si>
    <t>import_kWh</t>
  </si>
  <si>
    <t>SCR_pct</t>
  </si>
  <si>
    <t>SSR_pct</t>
  </si>
  <si>
    <t>TR3_one195</t>
  </si>
  <si>
    <t>TR3_one235</t>
  </si>
  <si>
    <t>TR3_one242</t>
  </si>
  <si>
    <t>TR3_one252</t>
  </si>
  <si>
    <t>TR3_one260</t>
  </si>
  <si>
    <t>TR3_one299</t>
  </si>
  <si>
    <t>TR3_one313</t>
  </si>
  <si>
    <t>TR3_one42</t>
  </si>
  <si>
    <t>TR3_one320</t>
  </si>
  <si>
    <t>TR3_one346</t>
  </si>
  <si>
    <t>TR3_one363</t>
  </si>
  <si>
    <t>TR3_one366</t>
  </si>
  <si>
    <t>TR3_one371</t>
  </si>
  <si>
    <t>TR3_one375</t>
  </si>
  <si>
    <t>TR3_one410</t>
  </si>
  <si>
    <t>TR3_one50</t>
  </si>
  <si>
    <t>TR3_one423</t>
  </si>
  <si>
    <t>TR3_one446</t>
  </si>
  <si>
    <t>TR3_one469</t>
  </si>
  <si>
    <t>TR3_one477</t>
  </si>
  <si>
    <t>TR3_one480</t>
  </si>
  <si>
    <t>TR3_one482</t>
  </si>
  <si>
    <t>TR3_one521</t>
  </si>
  <si>
    <t>TR3_one528</t>
  </si>
  <si>
    <t>TR3_one61</t>
  </si>
  <si>
    <t>TR3_one544</t>
  </si>
  <si>
    <t>TR3_one552</t>
  </si>
  <si>
    <t>TR3_one559</t>
  </si>
  <si>
    <t>TR3_one570</t>
  </si>
  <si>
    <t>TR3_one605</t>
  </si>
  <si>
    <t>TR3_one614</t>
  </si>
  <si>
    <t>TR3_one617</t>
  </si>
  <si>
    <t>TR3_one73</t>
  </si>
  <si>
    <t>TR3_one76</t>
  </si>
  <si>
    <t>TR3_one137</t>
  </si>
  <si>
    <t>TR3_one176</t>
  </si>
  <si>
    <t>TR3_two130</t>
  </si>
  <si>
    <t>TR3_two249</t>
  </si>
  <si>
    <t>TR3_two267</t>
  </si>
  <si>
    <t>TR3_two292</t>
  </si>
  <si>
    <t>TR3_two308</t>
  </si>
  <si>
    <t>TR3_two313</t>
  </si>
  <si>
    <t>TR3_two137</t>
  </si>
  <si>
    <t>TR3_two316</t>
  </si>
  <si>
    <t>TR3_two339</t>
  </si>
  <si>
    <t>TR3_two149</t>
  </si>
  <si>
    <t>TR3_two225</t>
  </si>
  <si>
    <t>TR3_two229</t>
  </si>
  <si>
    <t>TR3_two242</t>
  </si>
  <si>
    <t>TR3 Rolling Dispatch Analysis</t>
  </si>
  <si>
    <t>Data behind TR3 rolling-dispatch figures: SOC, demand/PV/dispatch, net power, self-consumption, and prosumer metrics.</t>
  </si>
  <si>
    <t>Prosumers</t>
  </si>
  <si>
    <t>PV Generated (kWh/day)</t>
  </si>
  <si>
    <t>Demand (kWh/day)</t>
  </si>
  <si>
    <t>Imported (kWh/day)</t>
  </si>
  <si>
    <t>SCR (%)</t>
  </si>
  <si>
    <t>SSR (%)</t>
  </si>
  <si>
    <t>Notes: positive net power indicates fleet import; negative net power indicates export. SCR and SSR values are stored on a 0-100 percentage scale in the source workbook.</t>
  </si>
  <si>
    <t>Hour</t>
  </si>
  <si>
    <t>Demand total kW</t>
  </si>
  <si>
    <t>PV total kW</t>
  </si>
  <si>
    <t>Net total kW</t>
  </si>
  <si>
    <t>Charge avg kW</t>
  </si>
  <si>
    <t>Discharge avg kW</t>
  </si>
  <si>
    <t>SOC avg %</t>
  </si>
  <si>
    <t>Battery</t>
  </si>
  <si>
    <t>SCR %</t>
  </si>
  <si>
    <t>SSR %</t>
  </si>
  <si>
    <t>Rank</t>
  </si>
  <si>
    <t>Export kWh/day</t>
  </si>
  <si>
    <t>Chart label</t>
  </si>
  <si>
    <t>demand</t>
  </si>
  <si>
    <t>PV generation</t>
  </si>
  <si>
    <t>charging</t>
  </si>
  <si>
    <t>discharging</t>
  </si>
  <si>
    <t>net exchange</t>
  </si>
  <si>
    <t>Net target kW</t>
  </si>
  <si>
    <t>Fleet avg net kW</t>
  </si>
  <si>
    <t>Import only kW</t>
  </si>
  <si>
    <t>Export only kW</t>
  </si>
  <si>
    <t>SOC max %</t>
  </si>
  <si>
    <t>Fleet avg SOC %</t>
  </si>
  <si>
    <t>Legend: very light thin lines = individual prosumers; bold black = fleet-average net; bold muted green = fleet-average SOC; dashed gray targets show net = 0 and SOC max = 100%.</t>
  </si>
  <si>
    <t>Net zero target</t>
  </si>
  <si>
    <t>Fleet average net</t>
  </si>
  <si>
    <t>Demand, PV and battery dispatch -  TR3</t>
  </si>
  <si>
    <t>Demand avg kW</t>
  </si>
  <si>
    <t>PV avg kW</t>
  </si>
  <si>
    <t>Disch. avg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</si>
</sst>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#,##0.000"/>
  </numFmts>
  <fonts count="6" x14ac:knownFonts="1">
    <font>
      <sz val="11"/>
      <color theme="1"/>
      <name val="Calibri"/>
    </font>
    <font>
      <b/>
      <sz val="11"/>
      <color rgb="FFFFFFFF"/>
      <name val="Calibri"/>
    </font>
    <font>
      <sz val="11"/>
      <color rgb="FF172033"/>
      <name val="Calibri"/>
    </font>
    <font>
      <b/>
      <sz val="11"/>
      <color rgb="FF172033"/>
      <name val="Calibri"/>
    </font>
    <font>
      <b/>
      <sz val="18"/>
      <color rgb="FFFFFFFF"/>
      <name val="Calibri"/>
    </font>
    <font>
      <b/>
      <sz val="15"/>
      <color rgb="FF17203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F8FAFC"/>
      </patternFill>
    </fill>
    <fill>
      <patternFill patternType="solid">
        <fgColor rgb="FFEAF2FF"/>
      </patternFill>
    </fill>
    <fill>
      <patternFill patternType="solid">
        <fgColor rgb="FFEAF6EA"/>
      </patternFill>
    </fill>
    <fill>
      <patternFill patternType="solid">
        <fgColor rgb="FFFFF4E0"/>
      </patternFill>
    </fill>
    <fill>
      <patternFill patternType="solid">
        <fgColor rgb="FFFDECEC"/>
      </patternFill>
    </fill>
    <fill>
      <patternFill patternType="solid">
        <fgColor rgb="FFE6F4F3"/>
      </patternFill>
    </fill>
  </fills>
  <borders count="23">
    <border>
      <left/>
      <right/>
      <top/>
      <bottom/>
      <diagonal/>
    </border>
    <border>
      <left style="thin">
        <color rgb="FFC8D3DF"/>
      </left>
      <right style="thin">
        <color rgb="FFC8D3DF"/>
      </right>
      <top/>
      <bottom/>
      <diagonal/>
    </border>
    <border>
      <left style="thin">
        <color rgb="FFC8D3DF"/>
      </left>
      <right style="thin">
        <color rgb="FFC8D3DF"/>
      </right>
      <top/>
      <bottom style="thin">
        <color rgb="FFE5EAF0"/>
      </bottom>
      <diagonal/>
    </border>
    <border>
      <left style="thin">
        <color rgb="FFC8D3DF"/>
      </left>
      <right/>
      <top style="thin">
        <color rgb="FFC8D3DF"/>
      </top>
      <bottom style="thin">
        <color rgb="FFE5EAF0"/>
      </bottom>
      <diagonal/>
    </border>
    <border>
      <left/>
      <right style="thin">
        <color rgb="FFC8D3DF"/>
      </right>
      <top style="thin">
        <color rgb="FFC8D3DF"/>
      </top>
      <bottom style="thin">
        <color rgb="FFE5EAF0"/>
      </bottom>
      <diagonal/>
    </border>
    <border>
      <left style="thin">
        <color rgb="FFC8D3DF"/>
      </left>
      <right/>
      <top style="thin">
        <color rgb="FFE5EAF0"/>
      </top>
      <bottom style="thin">
        <color rgb="FFE5EAF0"/>
      </bottom>
      <diagonal/>
    </border>
    <border>
      <left/>
      <right style="thin">
        <color rgb="FFC8D3DF"/>
      </right>
      <top style="thin">
        <color rgb="FFE5EAF0"/>
      </top>
      <bottom style="thin">
        <color rgb="FFE5EAF0"/>
      </bottom>
      <diagonal/>
    </border>
    <border>
      <left style="thin">
        <color rgb="FFC8D3DF"/>
      </left>
      <right/>
      <top style="thin">
        <color rgb="FFE5EAF0"/>
      </top>
      <bottom style="thin">
        <color rgb="FFC8D3DF"/>
      </bottom>
      <diagonal/>
    </border>
    <border>
      <left/>
      <right style="thin">
        <color rgb="FFC8D3DF"/>
      </right>
      <top style="thin">
        <color rgb="FFE5EAF0"/>
      </top>
      <bottom style="thin">
        <color rgb="FFC8D3DF"/>
      </bottom>
      <diagonal/>
    </border>
    <border>
      <left/>
      <right/>
      <top style="thin">
        <color rgb="FFC8D3DF"/>
      </top>
      <bottom style="thin">
        <color rgb="FFE5EAF0"/>
      </bottom>
      <diagonal/>
    </border>
    <border>
      <left/>
      <right/>
      <top style="thin">
        <color rgb="FFE5EAF0"/>
      </top>
      <bottom style="thin">
        <color rgb="FFE5EAF0"/>
      </bottom>
      <diagonal/>
    </border>
    <border>
      <left/>
      <right/>
      <top style="thin">
        <color rgb="FFE5EAF0"/>
      </top>
      <bottom style="thin">
        <color rgb="FFC8D3DF"/>
      </bottom>
      <diagonal/>
    </border>
    <border>
      <left style="thin">
        <color rgb="FFC8D3DF"/>
      </left>
      <right/>
      <top style="thin">
        <color rgb="FFC8D3DF"/>
      </top>
      <bottom/>
      <diagonal/>
    </border>
    <border>
      <left/>
      <right style="thin">
        <color rgb="FFC8D3DF"/>
      </right>
      <top style="thin">
        <color rgb="FFC8D3DF"/>
      </top>
      <bottom/>
      <diagonal/>
    </border>
    <border>
      <left style="thin">
        <color rgb="FFC8D3DF"/>
      </left>
      <right/>
      <top/>
      <bottom style="thin">
        <color rgb="FFC8D3DF"/>
      </bottom>
      <diagonal/>
    </border>
    <border>
      <left/>
      <right style="thin">
        <color rgb="FFC8D3DF"/>
      </right>
      <top/>
      <bottom style="thin">
        <color rgb="FFC8D3DF"/>
      </bottom>
      <diagonal/>
    </border>
    <border>
      <left/>
      <right/>
      <top style="thin">
        <color rgb="FFC8D3DF"/>
      </top>
      <bottom/>
      <diagonal/>
    </border>
    <border>
      <left style="thin">
        <color rgb="FFC8D3DF"/>
      </left>
      <right/>
      <top/>
      <bottom/>
      <diagonal/>
    </border>
    <border>
      <left/>
      <right style="thin">
        <color rgb="FFC8D3DF"/>
      </right>
      <top/>
      <bottom/>
      <diagonal/>
    </border>
    <border>
      <left/>
      <right/>
      <top/>
      <bottom style="thin">
        <color rgb="FFC8D3DF"/>
      </bottom>
      <diagonal/>
    </border>
    <border>
      <left style="thin">
        <color rgb="FFC8D3DF"/>
      </left>
      <right/>
      <top style="thin">
        <color rgb="FFC8D3DF"/>
      </top>
      <bottom style="thin">
        <color rgb="FFC8D3DF"/>
      </bottom>
      <diagonal/>
    </border>
    <border>
      <left/>
      <right/>
      <top style="thin">
        <color rgb="FFC8D3DF"/>
      </top>
      <bottom style="thin">
        <color rgb="FFC8D3DF"/>
      </bottom>
      <diagonal/>
    </border>
    <border>
      <left/>
      <right style="thin">
        <color rgb="FFC8D3DF"/>
      </right>
      <top style="thin">
        <color rgb="FFC8D3DF"/>
      </top>
      <bottom style="thin">
        <color rgb="FFC8D3DF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0" xfId="0" applyNumberFormat="1" applyFont="1" applyFill="1" applyBorder="1" applyAlignment="1">
      <alignment horizontal="left"/>
    </xf>
    <xf numFmtId="0" fontId="2" fillId="3" borderId="1" xfId="0" applyNumberFormat="1" applyFont="1" applyFill="1" applyBorder="1" applyAlignment="1">
      <alignment vertical="top" wrapText="1"/>
    </xf>
    <xf numFmtId="0" fontId="2" fillId="3" borderId="2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vertical="center"/>
    </xf>
    <xf numFmtId="0" fontId="2" fillId="0" borderId="6" xfId="0" applyNumberFormat="1" applyFont="1" applyFill="1" applyBorder="1" applyAlignment="1">
      <alignment vertical="center"/>
    </xf>
    <xf numFmtId="0" fontId="2" fillId="0" borderId="7" xfId="0" applyNumberFormat="1" applyFont="1" applyFill="1" applyBorder="1" applyAlignment="1">
      <alignment vertical="center"/>
    </xf>
    <xf numFmtId="0" fontId="2" fillId="0" borderId="6" xfId="0" applyNumberFormat="1" applyFont="1" applyFill="1" applyBorder="1" applyAlignment="1">
      <alignment vertical="center" wrapText="1"/>
    </xf>
    <xf numFmtId="0" fontId="3" fillId="3" borderId="5" xfId="0" applyNumberFormat="1" applyFont="1" applyFill="1" applyBorder="1" applyAlignment="1">
      <alignment vertical="center"/>
    </xf>
    <xf numFmtId="0" fontId="3" fillId="3" borderId="7" xfId="0" applyNumberFormat="1" applyFont="1" applyFill="1" applyBorder="1" applyAlignment="1">
      <alignment vertical="center"/>
    </xf>
    <xf numFmtId="164" fontId="2" fillId="0" borderId="6" xfId="0" applyNumberFormat="1" applyFont="1" applyFill="1" applyBorder="1" applyAlignment="1">
      <alignment vertical="center"/>
    </xf>
    <xf numFmtId="165" fontId="2" fillId="0" borderId="6" xfId="0" applyNumberFormat="1" applyFont="1" applyFill="1" applyBorder="1" applyAlignment="1">
      <alignment vertical="center"/>
    </xf>
    <xf numFmtId="3" fontId="2" fillId="0" borderId="8" xfId="0" applyNumberFormat="1" applyFont="1" applyFill="1" applyBorder="1" applyAlignment="1">
      <alignment vertical="center"/>
    </xf>
    <xf numFmtId="0" fontId="0" fillId="0" borderId="10" xfId="0" applyNumberFormat="1" applyFont="1" applyFill="1" applyBorder="1"/>
    <xf numFmtId="0" fontId="0" fillId="0" borderId="11" xfId="0" applyNumberFormat="1" applyFont="1" applyFill="1" applyBorder="1"/>
    <xf numFmtId="0" fontId="1" fillId="2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1" fontId="2" fillId="0" borderId="5" xfId="0" applyNumberFormat="1" applyFont="1" applyFill="1" applyBorder="1" applyAlignment="1">
      <alignment vertical="center"/>
    </xf>
    <xf numFmtId="1" fontId="2" fillId="0" borderId="7" xfId="0" applyNumberFormat="1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5" fontId="2" fillId="0" borderId="11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166" fontId="2" fillId="0" borderId="11" xfId="0" applyNumberFormat="1" applyFont="1" applyFill="1" applyBorder="1" applyAlignment="1">
      <alignment vertical="center"/>
    </xf>
    <xf numFmtId="164" fontId="2" fillId="0" borderId="10" xfId="0" applyNumberFormat="1" applyFont="1" applyFill="1" applyBorder="1" applyAlignment="1">
      <alignment vertical="center"/>
    </xf>
    <xf numFmtId="164" fontId="2" fillId="0" borderId="11" xfId="0" applyNumberFormat="1" applyFont="1" applyFill="1" applyBorder="1" applyAlignment="1">
      <alignment vertical="center"/>
    </xf>
    <xf numFmtId="164" fontId="2" fillId="0" borderId="8" xfId="0" applyNumberFormat="1" applyFont="1" applyFill="1" applyBorder="1" applyAlignment="1">
      <alignment vertical="center"/>
    </xf>
    <xf numFmtId="165" fontId="2" fillId="0" borderId="8" xfId="0" applyNumberFormat="1" applyFont="1" applyFill="1" applyBorder="1" applyAlignment="1">
      <alignment vertical="center"/>
    </xf>
    <xf numFmtId="166" fontId="2" fillId="0" borderId="6" xfId="0" applyNumberFormat="1" applyFont="1" applyFill="1" applyBorder="1" applyAlignment="1">
      <alignment vertical="center"/>
    </xf>
    <xf numFmtId="166" fontId="2" fillId="0" borderId="8" xfId="0" applyNumberFormat="1" applyFont="1" applyFill="1" applyBorder="1" applyAlignment="1">
      <alignment vertical="center"/>
    </xf>
    <xf numFmtId="1" fontId="2" fillId="0" borderId="10" xfId="0" applyNumberFormat="1" applyFont="1" applyFill="1" applyBorder="1" applyAlignment="1">
      <alignment vertical="center"/>
    </xf>
    <xf numFmtId="1" fontId="2" fillId="0" borderId="11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horizontal="center"/>
    </xf>
    <xf numFmtId="0" fontId="1" fillId="2" borderId="9" xfId="0" applyNumberFormat="1" applyFont="1" applyFill="1" applyBorder="1" applyAlignment="1">
      <alignment horizontal="center"/>
    </xf>
    <xf numFmtId="0" fontId="1" fillId="2" borderId="4" xfId="0" applyNumberFormat="1" applyFont="1" applyFill="1" applyBorder="1" applyAlignment="1">
      <alignment horizontal="center"/>
    </xf>
    <xf numFmtId="165" fontId="0" fillId="0" borderId="5" xfId="0" applyNumberFormat="1" applyFont="1" applyFill="1" applyBorder="1"/>
    <xf numFmtId="165" fontId="0" fillId="0" borderId="7" xfId="0" applyNumberFormat="1" applyFont="1" applyFill="1" applyBorder="1"/>
    <xf numFmtId="164" fontId="0" fillId="0" borderId="10" xfId="0" applyNumberFormat="1" applyFont="1" applyFill="1" applyBorder="1"/>
    <xf numFmtId="164" fontId="0" fillId="0" borderId="6" xfId="0" applyNumberFormat="1" applyFont="1" applyFill="1" applyBorder="1"/>
    <xf numFmtId="164" fontId="0" fillId="0" borderId="11" xfId="0" applyNumberFormat="1" applyFont="1" applyFill="1" applyBorder="1"/>
    <xf numFmtId="164" fontId="0" fillId="0" borderId="8" xfId="0" applyNumberFormat="1" applyFont="1" applyFill="1" applyBorder="1"/>
    <xf numFmtId="166" fontId="0" fillId="0" borderId="10" xfId="0" applyNumberFormat="1" applyFont="1" applyFill="1" applyBorder="1"/>
    <xf numFmtId="166" fontId="0" fillId="0" borderId="11" xfId="0" applyNumberFormat="1" applyFont="1" applyFill="1" applyBorder="1"/>
    <xf numFmtId="165" fontId="0" fillId="0" borderId="6" xfId="0" applyNumberFormat="1" applyFont="1" applyFill="1" applyBorder="1"/>
    <xf numFmtId="165" fontId="0" fillId="0" borderId="8" xfId="0" applyNumberFormat="1" applyFont="1" applyFill="1" applyBorder="1"/>
    <xf numFmtId="165" fontId="0" fillId="0" borderId="10" xfId="0" applyNumberFormat="1" applyFont="1" applyFill="1" applyBorder="1"/>
    <xf numFmtId="165" fontId="0" fillId="0" borderId="11" xfId="0" applyNumberFormat="1" applyFont="1" applyFill="1" applyBorder="1"/>
    <xf numFmtId="1" fontId="0" fillId="0" borderId="5" xfId="0" applyNumberFormat="1" applyFont="1" applyFill="1" applyBorder="1"/>
    <xf numFmtId="1" fontId="0" fillId="0" borderId="7" xfId="0" applyNumberFormat="1" applyFont="1" applyFill="1" applyBorder="1"/>
    <xf numFmtId="166" fontId="0" fillId="0" borderId="6" xfId="0" applyNumberFormat="1" applyFont="1" applyFill="1" applyBorder="1"/>
    <xf numFmtId="166" fontId="0" fillId="0" borderId="8" xfId="0" applyNumberFormat="1" applyFont="1" applyFill="1" applyBorder="1"/>
    <xf numFmtId="0" fontId="4" fillId="2" borderId="0" xfId="0" applyNumberFormat="1" applyFont="1" applyFill="1" applyBorder="1" applyAlignment="1">
      <alignment horizontal="left" vertical="center"/>
    </xf>
    <xf numFmtId="0" fontId="0" fillId="0" borderId="0" xfId="0"/>
    <xf numFmtId="0" fontId="2" fillId="3" borderId="0" xfId="0" applyNumberFormat="1" applyFont="1" applyFill="1" applyBorder="1" applyAlignment="1">
      <alignment horizontal="left"/>
    </xf>
    <xf numFmtId="0" fontId="3" fillId="4" borderId="12" xfId="0" applyNumberFormat="1" applyFont="1" applyFill="1" applyBorder="1" applyAlignment="1">
      <alignment horizontal="center" vertical="center"/>
    </xf>
    <xf numFmtId="0" fontId="3" fillId="4" borderId="13" xfId="0" applyNumberFormat="1" applyFont="1" applyFill="1" applyBorder="1" applyAlignment="1">
      <alignment horizontal="center" vertical="center"/>
    </xf>
    <xf numFmtId="3" fontId="5" fillId="4" borderId="14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vertical="center"/>
    </xf>
    <xf numFmtId="0" fontId="3" fillId="5" borderId="12" xfId="0" applyNumberFormat="1" applyFont="1" applyFill="1" applyBorder="1" applyAlignment="1">
      <alignment horizontal="center" vertical="center"/>
    </xf>
    <xf numFmtId="0" fontId="3" fillId="5" borderId="13" xfId="0" applyNumberFormat="1" applyFont="1" applyFill="1" applyBorder="1" applyAlignment="1">
      <alignment horizontal="center" vertical="center"/>
    </xf>
    <xf numFmtId="164" fontId="5" fillId="5" borderId="14" xfId="0" applyNumberFormat="1" applyFont="1" applyFill="1" applyBorder="1" applyAlignment="1">
      <alignment horizontal="center" vertical="center"/>
    </xf>
    <xf numFmtId="0" fontId="2" fillId="5" borderId="15" xfId="0" applyNumberFormat="1" applyFont="1" applyFill="1" applyBorder="1" applyAlignment="1">
      <alignment vertical="center"/>
    </xf>
    <xf numFmtId="0" fontId="3" fillId="6" borderId="12" xfId="0" applyNumberFormat="1" applyFont="1" applyFill="1" applyBorder="1" applyAlignment="1">
      <alignment horizontal="center" vertical="center"/>
    </xf>
    <xf numFmtId="0" fontId="3" fillId="6" borderId="13" xfId="0" applyNumberFormat="1" applyFont="1" applyFill="1" applyBorder="1" applyAlignment="1">
      <alignment horizontal="center" vertical="center"/>
    </xf>
    <xf numFmtId="164" fontId="5" fillId="6" borderId="14" xfId="0" applyNumberFormat="1" applyFont="1" applyFill="1" applyBorder="1" applyAlignment="1">
      <alignment horizontal="center" vertical="center"/>
    </xf>
    <xf numFmtId="0" fontId="2" fillId="6" borderId="15" xfId="0" applyNumberFormat="1" applyFont="1" applyFill="1" applyBorder="1" applyAlignment="1">
      <alignment vertical="center"/>
    </xf>
    <xf numFmtId="0" fontId="3" fillId="7" borderId="12" xfId="0" applyNumberFormat="1" applyFont="1" applyFill="1" applyBorder="1" applyAlignment="1">
      <alignment horizontal="center" vertical="center"/>
    </xf>
    <xf numFmtId="0" fontId="3" fillId="7" borderId="13" xfId="0" applyNumberFormat="1" applyFont="1" applyFill="1" applyBorder="1" applyAlignment="1">
      <alignment horizontal="center" vertical="center"/>
    </xf>
    <xf numFmtId="164" fontId="5" fillId="7" borderId="14" xfId="0" applyNumberFormat="1" applyFont="1" applyFill="1" applyBorder="1" applyAlignment="1">
      <alignment horizontal="center" vertical="center"/>
    </xf>
    <xf numFmtId="0" fontId="2" fillId="7" borderId="15" xfId="0" applyNumberFormat="1" applyFont="1" applyFill="1" applyBorder="1" applyAlignment="1">
      <alignment vertical="center"/>
    </xf>
    <xf numFmtId="0" fontId="3" fillId="8" borderId="12" xfId="0" applyNumberFormat="1" applyFont="1" applyFill="1" applyBorder="1" applyAlignment="1">
      <alignment horizontal="center" vertical="center"/>
    </xf>
    <xf numFmtId="0" fontId="3" fillId="8" borderId="13" xfId="0" applyNumberFormat="1" applyFont="1" applyFill="1" applyBorder="1" applyAlignment="1">
      <alignment horizontal="center" vertical="center"/>
    </xf>
    <xf numFmtId="165" fontId="5" fillId="8" borderId="14" xfId="0" applyNumberFormat="1" applyFont="1" applyFill="1" applyBorder="1" applyAlignment="1">
      <alignment horizontal="center" vertical="center"/>
    </xf>
    <xf numFmtId="0" fontId="2" fillId="8" borderId="15" xfId="0" applyNumberFormat="1" applyFont="1" applyFill="1" applyBorder="1" applyAlignment="1">
      <alignment vertical="center"/>
    </xf>
    <xf numFmtId="165" fontId="5" fillId="5" borderId="14" xfId="0" applyNumberFormat="1" applyFont="1" applyFill="1" applyBorder="1" applyAlignment="1">
      <alignment horizontal="center" vertical="center"/>
    </xf>
    <xf numFmtId="0" fontId="2" fillId="3" borderId="12" xfId="0" applyNumberFormat="1" applyFont="1" applyFill="1" applyBorder="1" applyAlignment="1">
      <alignment vertical="top" wrapText="1"/>
    </xf>
    <xf numFmtId="0" fontId="0" fillId="0" borderId="16" xfId="0" applyNumberFormat="1" applyFont="1" applyFill="1" applyBorder="1"/>
    <xf numFmtId="0" fontId="0" fillId="0" borderId="13" xfId="0" applyNumberFormat="1" applyFont="1" applyFill="1" applyBorder="1"/>
    <xf numFmtId="0" fontId="0" fillId="0" borderId="17" xfId="0" applyNumberFormat="1" applyFont="1" applyFill="1" applyBorder="1"/>
    <xf numFmtId="0" fontId="0" fillId="0" borderId="0" xfId="0" applyNumberFormat="1" applyFont="1" applyFill="1" applyBorder="1"/>
    <xf numFmtId="0" fontId="0" fillId="0" borderId="18" xfId="0" applyNumberFormat="1" applyFont="1" applyFill="1" applyBorder="1"/>
    <xf numFmtId="0" fontId="0" fillId="0" borderId="14" xfId="0" applyNumberFormat="1" applyFont="1" applyFill="1" applyBorder="1"/>
    <xf numFmtId="0" fontId="0" fillId="0" borderId="19" xfId="0" applyNumberFormat="1" applyFont="1" applyFill="1" applyBorder="1"/>
    <xf numFmtId="0" fontId="0" fillId="0" borderId="15" xfId="0" applyNumberFormat="1" applyFont="1" applyFill="1" applyBorder="1"/>
    <xf numFmtId="0" fontId="2" fillId="3" borderId="20" xfId="0" applyNumberFormat="1" applyFont="1" applyFill="1" applyBorder="1" applyAlignment="1">
      <alignment vertical="top" wrapText="1"/>
    </xf>
    <xf numFmtId="0" fontId="0" fillId="0" borderId="21" xfId="0" applyNumberFormat="1" applyFont="1" applyFill="1" applyBorder="1"/>
    <xf numFmtId="0" fontId="0" fillId="0" borderId="22" xfId="0" applyNumberFormat="1" applyFont="1" applyFill="1" applyBorder="1"/>
    <xf numFmtId="0" fontId="5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Fleet Power Profile by Half-Hour (kW)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Demand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ChartData!$B$2:$B$49</c:f>
              <c:numCache>
                <c:formatCode>#,##0.0</c:formatCode>
                <c:ptCount val="48"/>
                <c:pt idx="0">
                  <c:v>9.241675333333335</c:v>
                </c:pt>
                <c:pt idx="1">
                  <c:v>8.8049309333333383</c:v>
                </c:pt>
                <c:pt idx="2">
                  <c:v>7.0148706666666651</c:v>
                </c:pt>
                <c:pt idx="3">
                  <c:v>6.7329373333333322</c:v>
                </c:pt>
                <c:pt idx="4">
                  <c:v>6.5175566666666667</c:v>
                </c:pt>
                <c:pt idx="5">
                  <c:v>5.5908339999999956</c:v>
                </c:pt>
                <c:pt idx="6">
                  <c:v>5.3404216666666668</c:v>
                </c:pt>
                <c:pt idx="7">
                  <c:v>5.9279249999999983</c:v>
                </c:pt>
                <c:pt idx="8">
                  <c:v>5.7000433333333334</c:v>
                </c:pt>
                <c:pt idx="9">
                  <c:v>6.9677286666666669</c:v>
                </c:pt>
                <c:pt idx="10">
                  <c:v>6.3843655000000004</c:v>
                </c:pt>
                <c:pt idx="11">
                  <c:v>5.4489559999999999</c:v>
                </c:pt>
                <c:pt idx="12">
                  <c:v>7.6680370000000018</c:v>
                </c:pt>
                <c:pt idx="13">
                  <c:v>6.2173320000000007</c:v>
                </c:pt>
                <c:pt idx="14">
                  <c:v>11.415088866666668</c:v>
                </c:pt>
                <c:pt idx="15">
                  <c:v>8.7085569000000067</c:v>
                </c:pt>
                <c:pt idx="16">
                  <c:v>15.055571466666681</c:v>
                </c:pt>
                <c:pt idx="17">
                  <c:v>13.321078333333341</c:v>
                </c:pt>
                <c:pt idx="18">
                  <c:v>19.065721066666658</c:v>
                </c:pt>
                <c:pt idx="19">
                  <c:v>17.143815066666669</c:v>
                </c:pt>
                <c:pt idx="20">
                  <c:v>16.898242500000009</c:v>
                </c:pt>
                <c:pt idx="21">
                  <c:v>14.29570956666667</c:v>
                </c:pt>
                <c:pt idx="22">
                  <c:v>22.23333723333333</c:v>
                </c:pt>
                <c:pt idx="23">
                  <c:v>21.989028100000006</c:v>
                </c:pt>
                <c:pt idx="24">
                  <c:v>11.95335896666667</c:v>
                </c:pt>
                <c:pt idx="25">
                  <c:v>12.750832066666668</c:v>
                </c:pt>
                <c:pt idx="26">
                  <c:v>18.135509666666678</c:v>
                </c:pt>
                <c:pt idx="27">
                  <c:v>17.40930946666667</c:v>
                </c:pt>
                <c:pt idx="28">
                  <c:v>14.08410283333334</c:v>
                </c:pt>
                <c:pt idx="29">
                  <c:v>15.673330466666664</c:v>
                </c:pt>
                <c:pt idx="30">
                  <c:v>20.617847700000006</c:v>
                </c:pt>
                <c:pt idx="31">
                  <c:v>16.178239533333333</c:v>
                </c:pt>
                <c:pt idx="32">
                  <c:v>15.944766066666668</c:v>
                </c:pt>
                <c:pt idx="33">
                  <c:v>18.519984200000003</c:v>
                </c:pt>
                <c:pt idx="34">
                  <c:v>17.211982866666677</c:v>
                </c:pt>
                <c:pt idx="35">
                  <c:v>16.910662400000007</c:v>
                </c:pt>
                <c:pt idx="36">
                  <c:v>16.613933633333332</c:v>
                </c:pt>
                <c:pt idx="37">
                  <c:v>20.210394233333332</c:v>
                </c:pt>
                <c:pt idx="38">
                  <c:v>14.961719933333329</c:v>
                </c:pt>
                <c:pt idx="39">
                  <c:v>23.66369090000001</c:v>
                </c:pt>
                <c:pt idx="40">
                  <c:v>22.683390600000006</c:v>
                </c:pt>
                <c:pt idx="41">
                  <c:v>23.501918333333339</c:v>
                </c:pt>
                <c:pt idx="42">
                  <c:v>25.565749333333336</c:v>
                </c:pt>
                <c:pt idx="43">
                  <c:v>23.000014666666655</c:v>
                </c:pt>
                <c:pt idx="44">
                  <c:v>27.79667133333335</c:v>
                </c:pt>
                <c:pt idx="45">
                  <c:v>24.409511666666667</c:v>
                </c:pt>
                <c:pt idx="46">
                  <c:v>19.646862333333345</c:v>
                </c:pt>
                <c:pt idx="47">
                  <c:v>13.662220199999995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C-4333-9507-C8E1CCEAA8A8}"/>
            </c:ext>
          </c:extLst>
        </c:ser>
        <c:ser>
          <c:idx val="1"/>
          <c:order val="1"/>
          <c:tx>
            <c:v>PV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ChartData!$C$2:$C$49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0.14021274126666672</c:v>
                </c:pt>
                <c:pt idx="8">
                  <c:v>2.026680570733328</c:v>
                </c:pt>
                <c:pt idx="9">
                  <c:v>9.477372455900003</c:v>
                </c:pt>
                <c:pt idx="10">
                  <c:v>18.799616746866711</c:v>
                </c:pt>
                <c:pt idx="11">
                  <c:v>30.230712543733269</c:v>
                </c:pt>
                <c:pt idx="12">
                  <c:v>42.702682651166732</c:v>
                </c:pt>
                <c:pt idx="13">
                  <c:v>55.327952585133254</c:v>
                </c:pt>
                <c:pt idx="14">
                  <c:v>67.887847783100042</c:v>
                </c:pt>
                <c:pt idx="15">
                  <c:v>80.466013167499995</c:v>
                </c:pt>
                <c:pt idx="16">
                  <c:v>92.271422979366719</c:v>
                </c:pt>
                <c:pt idx="17">
                  <c:v>103.3685255442</c:v>
                </c:pt>
                <c:pt idx="18">
                  <c:v>112.81944602866673</c:v>
                </c:pt>
                <c:pt idx="19">
                  <c:v>120.88012379993327</c:v>
                </c:pt>
                <c:pt idx="20">
                  <c:v>127.95536442996666</c:v>
                </c:pt>
                <c:pt idx="21">
                  <c:v>133.79468368890008</c:v>
                </c:pt>
                <c:pt idx="22">
                  <c:v>137.93785043016678</c:v>
                </c:pt>
                <c:pt idx="23">
                  <c:v>139.75484338359999</c:v>
                </c:pt>
                <c:pt idx="24">
                  <c:v>140.28111415946668</c:v>
                </c:pt>
                <c:pt idx="25">
                  <c:v>139.29660813400002</c:v>
                </c:pt>
                <c:pt idx="26">
                  <c:v>135.98920814150011</c:v>
                </c:pt>
                <c:pt idx="27">
                  <c:v>130.94337384426672</c:v>
                </c:pt>
                <c:pt idx="28">
                  <c:v>124.91944664789997</c:v>
                </c:pt>
                <c:pt idx="29">
                  <c:v>117.28624955246676</c:v>
                </c:pt>
                <c:pt idx="30">
                  <c:v>109.17448616309996</c:v>
                </c:pt>
                <c:pt idx="31">
                  <c:v>99.413042045066675</c:v>
                </c:pt>
                <c:pt idx="32">
                  <c:v>88.41935233633329</c:v>
                </c:pt>
                <c:pt idx="33">
                  <c:v>75.1459043720333</c:v>
                </c:pt>
                <c:pt idx="34">
                  <c:v>62.722877888833246</c:v>
                </c:pt>
                <c:pt idx="35">
                  <c:v>49.957447063900027</c:v>
                </c:pt>
                <c:pt idx="36">
                  <c:v>37.608865087666707</c:v>
                </c:pt>
                <c:pt idx="37">
                  <c:v>25.703092084500003</c:v>
                </c:pt>
                <c:pt idx="38">
                  <c:v>15.009070470133326</c:v>
                </c:pt>
                <c:pt idx="39">
                  <c:v>4.3667678973000026</c:v>
                </c:pt>
                <c:pt idx="40">
                  <c:v>0.80537388286666722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6C-4333-9507-C8E1CCEAA8A8}"/>
            </c:ext>
          </c:extLst>
        </c:ser>
        <c:ser>
          <c:idx val="2"/>
          <c:order val="2"/>
          <c:tx>
            <c:v>Net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ChartData!$D$2:$D$49</c:f>
              <c:numCache>
                <c:formatCode>#,##0.0</c:formatCode>
                <c:ptCount val="48"/>
                <c:pt idx="0">
                  <c:v>-2.3246666666665305E-3</c:v>
                </c:pt>
                <c:pt idx="1">
                  <c:v>-2.0690666666620672E-3</c:v>
                </c:pt>
                <c:pt idx="2">
                  <c:v>-1.2933333333542407E-4</c:v>
                </c:pt>
                <c:pt idx="3">
                  <c:v>0.27793733333333392</c:v>
                </c:pt>
                <c:pt idx="4">
                  <c:v>0.78055666666666657</c:v>
                </c:pt>
                <c:pt idx="5">
                  <c:v>0.76383399999999568</c:v>
                </c:pt>
                <c:pt idx="6">
                  <c:v>0.29642166666666725</c:v>
                </c:pt>
                <c:pt idx="7">
                  <c:v>0.47471225873333101</c:v>
                </c:pt>
                <c:pt idx="8">
                  <c:v>0.41956617600000623</c:v>
                </c:pt>
                <c:pt idx="9">
                  <c:v>0.15235621076666406</c:v>
                </c:pt>
                <c:pt idx="10">
                  <c:v>8.4748753133289098E-2</c:v>
                </c:pt>
                <c:pt idx="11">
                  <c:v>2.4345626672328535E-4</c:v>
                </c:pt>
                <c:pt idx="12">
                  <c:v>1.354348833276009E-3</c:v>
                </c:pt>
                <c:pt idx="13">
                  <c:v>3.7941486674242242E-4</c:v>
                </c:pt>
                <c:pt idx="14">
                  <c:v>1.2410835666133435E-3</c:v>
                </c:pt>
                <c:pt idx="15">
                  <c:v>-9.2384562674999842</c:v>
                </c:pt>
                <c:pt idx="16">
                  <c:v>-44.87385151270005</c:v>
                </c:pt>
                <c:pt idx="17">
                  <c:v>-69.452447210866652</c:v>
                </c:pt>
                <c:pt idx="18">
                  <c:v>-80.446724962000076</c:v>
                </c:pt>
                <c:pt idx="19">
                  <c:v>-95.007308733266612</c:v>
                </c:pt>
                <c:pt idx="20">
                  <c:v>-108.35612192996666</c:v>
                </c:pt>
                <c:pt idx="21">
                  <c:v>-117.73197412223341</c:v>
                </c:pt>
                <c:pt idx="22">
                  <c:v>-116.29551319683344</c:v>
                </c:pt>
                <c:pt idx="23">
                  <c:v>-117.43681528359998</c:v>
                </c:pt>
                <c:pt idx="24">
                  <c:v>-127.8467551928</c:v>
                </c:pt>
                <c:pt idx="25">
                  <c:v>-126.54577606733335</c:v>
                </c:pt>
                <c:pt idx="26">
                  <c:v>-118.64269847483344</c:v>
                </c:pt>
                <c:pt idx="27">
                  <c:v>-112.85206437760004</c:v>
                </c:pt>
                <c:pt idx="28">
                  <c:v>-110.94034381456665</c:v>
                </c:pt>
                <c:pt idx="29">
                  <c:v>-101.49591908580008</c:v>
                </c:pt>
                <c:pt idx="30">
                  <c:v>-92.263638463099937</c:v>
                </c:pt>
                <c:pt idx="31">
                  <c:v>-84.679802511733342</c:v>
                </c:pt>
                <c:pt idx="32">
                  <c:v>-70.371586269666608</c:v>
                </c:pt>
                <c:pt idx="33">
                  <c:v>-58.739920172033294</c:v>
                </c:pt>
                <c:pt idx="34">
                  <c:v>-45.74189502216656</c:v>
                </c:pt>
                <c:pt idx="35">
                  <c:v>-34.589784663900019</c:v>
                </c:pt>
                <c:pt idx="36">
                  <c:v>-23.808931454333376</c:v>
                </c:pt>
                <c:pt idx="37">
                  <c:v>-12.423697851166672</c:v>
                </c:pt>
                <c:pt idx="38">
                  <c:v>-4.3133505367999962</c:v>
                </c:pt>
                <c:pt idx="39">
                  <c:v>-0.1420769972999949</c:v>
                </c:pt>
                <c:pt idx="40">
                  <c:v>1.0167171333428371E-3</c:v>
                </c:pt>
                <c:pt idx="41">
                  <c:v>-1.0816666666606523E-3</c:v>
                </c:pt>
                <c:pt idx="42">
                  <c:v>-3.2506666666662909E-3</c:v>
                </c:pt>
                <c:pt idx="43">
                  <c:v>0.8300146666666528</c:v>
                </c:pt>
                <c:pt idx="44">
                  <c:v>1.5696713333333463</c:v>
                </c:pt>
                <c:pt idx="45">
                  <c:v>4.0215116666666617</c:v>
                </c:pt>
                <c:pt idx="46">
                  <c:v>2.779862333333341</c:v>
                </c:pt>
                <c:pt idx="47">
                  <c:v>1.4012201999999938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6C-4333-9507-C8E1CCEAA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Battery Dispatch (kW)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Charge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7.3469387755102048E-4</c:v>
                </c:pt>
                <c:pt idx="9">
                  <c:v>7.7408163265306126E-2</c:v>
                </c:pt>
                <c:pt idx="10">
                  <c:v>0.2573673469387755</c:v>
                </c:pt>
                <c:pt idx="11">
                  <c:v>0.5057551020408162</c:v>
                </c:pt>
                <c:pt idx="12">
                  <c:v>0.7273877551020409</c:v>
                </c:pt>
                <c:pt idx="13">
                  <c:v>1.0022653061224489</c:v>
                </c:pt>
                <c:pt idx="14">
                  <c:v>1.1687551020408162</c:v>
                </c:pt>
                <c:pt idx="15">
                  <c:v>1.2758979591836737</c:v>
                </c:pt>
                <c:pt idx="16">
                  <c:v>0.68542857142857128</c:v>
                </c:pt>
                <c:pt idx="17">
                  <c:v>0.42030612244897958</c:v>
                </c:pt>
                <c:pt idx="18">
                  <c:v>0.27651020408163268</c:v>
                </c:pt>
                <c:pt idx="19">
                  <c:v>0.17834693877551022</c:v>
                </c:pt>
                <c:pt idx="20">
                  <c:v>5.5122448979591829E-2</c:v>
                </c:pt>
                <c:pt idx="21">
                  <c:v>3.8857142857142861E-2</c:v>
                </c:pt>
                <c:pt idx="22">
                  <c:v>0</c:v>
                </c:pt>
                <c:pt idx="23">
                  <c:v>6.7142857142857143E-3</c:v>
                </c:pt>
                <c:pt idx="24">
                  <c:v>9.8163265306122453E-3</c:v>
                </c:pt>
                <c:pt idx="25">
                  <c:v>0</c:v>
                </c:pt>
                <c:pt idx="26">
                  <c:v>0</c:v>
                </c:pt>
                <c:pt idx="27">
                  <c:v>1.3918367346938774E-2</c:v>
                </c:pt>
                <c:pt idx="28">
                  <c:v>3.9795918367346939E-3</c:v>
                </c:pt>
                <c:pt idx="29">
                  <c:v>6.7959183673469391E-3</c:v>
                </c:pt>
                <c:pt idx="30">
                  <c:v>0</c:v>
                </c:pt>
                <c:pt idx="31">
                  <c:v>8.4897959183673471E-3</c:v>
                </c:pt>
                <c:pt idx="32">
                  <c:v>4.8795918367346938E-2</c:v>
                </c:pt>
                <c:pt idx="33">
                  <c:v>1.7428571428571432E-2</c:v>
                </c:pt>
                <c:pt idx="34">
                  <c:v>3.5122448979591839E-2</c:v>
                </c:pt>
                <c:pt idx="35">
                  <c:v>2.0204081632653061E-2</c:v>
                </c:pt>
                <c:pt idx="36">
                  <c:v>1.9102040816326528E-2</c:v>
                </c:pt>
                <c:pt idx="37">
                  <c:v>1.6E-2</c:v>
                </c:pt>
                <c:pt idx="38">
                  <c:v>1.2857142857142857E-2</c:v>
                </c:pt>
                <c:pt idx="39">
                  <c:v>4.285714285714286E-4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AD-47AA-BB4E-5C635A94AC8C}"/>
            </c:ext>
          </c:extLst>
        </c:ser>
        <c:ser>
          <c:idx val="1"/>
          <c:order val="1"/>
          <c:tx>
            <c:v>Discharge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ChartData!$H$2:$H$49</c:f>
              <c:numCache>
                <c:formatCode>#,##0.000</c:formatCode>
                <c:ptCount val="48"/>
                <c:pt idx="0">
                  <c:v>0.18865306122448983</c:v>
                </c:pt>
                <c:pt idx="1">
                  <c:v>0.17973469387755103</c:v>
                </c:pt>
                <c:pt idx="2">
                  <c:v>0.14316326530612247</c:v>
                </c:pt>
                <c:pt idx="3">
                  <c:v>0.13173469387755099</c:v>
                </c:pt>
                <c:pt idx="4">
                  <c:v>0.11708163265306122</c:v>
                </c:pt>
                <c:pt idx="5">
                  <c:v>9.8510204081632649E-2</c:v>
                </c:pt>
                <c:pt idx="6">
                  <c:v>0.10293877551020407</c:v>
                </c:pt>
                <c:pt idx="7">
                  <c:v>0.10842857142857144</c:v>
                </c:pt>
                <c:pt idx="8">
                  <c:v>6.7138705848979574E-2</c:v>
                </c:pt>
                <c:pt idx="9">
                  <c:v>2.3081632653061224E-2</c:v>
                </c:pt>
                <c:pt idx="10">
                  <c:v>2.2653061224489797E-3</c:v>
                </c:pt>
                <c:pt idx="11">
                  <c:v>0</c:v>
                </c:pt>
                <c:pt idx="12">
                  <c:v>1.236734693877551E-2</c:v>
                </c:pt>
                <c:pt idx="13">
                  <c:v>0</c:v>
                </c:pt>
                <c:pt idx="14">
                  <c:v>1.6224489795918368E-2</c:v>
                </c:pt>
                <c:pt idx="15">
                  <c:v>0</c:v>
                </c:pt>
                <c:pt idx="16">
                  <c:v>2.5387755102040815E-2</c:v>
                </c:pt>
                <c:pt idx="17">
                  <c:v>0</c:v>
                </c:pt>
                <c:pt idx="18">
                  <c:v>4.9387755102040815E-3</c:v>
                </c:pt>
                <c:pt idx="19">
                  <c:v>2.0408163265306123E-4</c:v>
                </c:pt>
                <c:pt idx="20">
                  <c:v>0</c:v>
                </c:pt>
                <c:pt idx="21">
                  <c:v>2.795918367346939E-3</c:v>
                </c:pt>
                <c:pt idx="22">
                  <c:v>1.2061224489795918E-2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1.6102040816326532E-2</c:v>
                </c:pt>
                <c:pt idx="27">
                  <c:v>0</c:v>
                </c:pt>
                <c:pt idx="28">
                  <c:v>6.1224489795918364E-3</c:v>
                </c:pt>
                <c:pt idx="29">
                  <c:v>4.4081632653061222E-3</c:v>
                </c:pt>
                <c:pt idx="30">
                  <c:v>7.5653061224489795E-2</c:v>
                </c:pt>
                <c:pt idx="31">
                  <c:v>3.7979591836734695E-2</c:v>
                </c:pt>
                <c:pt idx="32">
                  <c:v>5.877551020408163E-3</c:v>
                </c:pt>
                <c:pt idx="33">
                  <c:v>6.0571428571428568E-2</c:v>
                </c:pt>
                <c:pt idx="34">
                  <c:v>3.9836734693877551E-2</c:v>
                </c:pt>
                <c:pt idx="35">
                  <c:v>5.1693877551020409E-2</c:v>
                </c:pt>
                <c:pt idx="36">
                  <c:v>7.6530612244897947E-2</c:v>
                </c:pt>
                <c:pt idx="37">
                  <c:v>0.15744897959183674</c:v>
                </c:pt>
                <c:pt idx="38">
                  <c:v>9.9918367346938777E-2</c:v>
                </c:pt>
                <c:pt idx="39">
                  <c:v>0.39714285714285719</c:v>
                </c:pt>
                <c:pt idx="40">
                  <c:v>0.44646938775510192</c:v>
                </c:pt>
                <c:pt idx="41">
                  <c:v>0.47965306122448981</c:v>
                </c:pt>
                <c:pt idx="42">
                  <c:v>0.52181632653061227</c:v>
                </c:pt>
                <c:pt idx="43">
                  <c:v>0.45244897959183678</c:v>
                </c:pt>
                <c:pt idx="44">
                  <c:v>0.53524489795918373</c:v>
                </c:pt>
                <c:pt idx="45">
                  <c:v>0.41608163265306131</c:v>
                </c:pt>
                <c:pt idx="46">
                  <c:v>0.34422448979591846</c:v>
                </c:pt>
                <c:pt idx="47">
                  <c:v>0.25022448979591838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AD-47AA-BB4E-5C635A94A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State of Charge (%)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ChartData!$I$2:$I$49</c:f>
              <c:numCache>
                <c:formatCode>0.0</c:formatCode>
                <c:ptCount val="48"/>
                <c:pt idx="0">
                  <c:v>40</c:v>
                </c:pt>
                <c:pt idx="1">
                  <c:v>37.633279591836732</c:v>
                </c:pt>
                <c:pt idx="2">
                  <c:v>35.378414285714292</c:v>
                </c:pt>
                <c:pt idx="3">
                  <c:v>33.581959183673462</c:v>
                </c:pt>
                <c:pt idx="4">
                  <c:v>31.928912244897951</c:v>
                </c:pt>
                <c:pt idx="5">
                  <c:v>30.459697959183675</c:v>
                </c:pt>
                <c:pt idx="6">
                  <c:v>29.222646938775522</c:v>
                </c:pt>
                <c:pt idx="7">
                  <c:v>27.93054081632652</c:v>
                </c:pt>
                <c:pt idx="8">
                  <c:v>26.571010204081634</c:v>
                </c:pt>
                <c:pt idx="9">
                  <c:v>25.7356387755102</c:v>
                </c:pt>
                <c:pt idx="10">
                  <c:v>26.319591836734695</c:v>
                </c:pt>
                <c:pt idx="11">
                  <c:v>29.198575510204076</c:v>
                </c:pt>
                <c:pt idx="12">
                  <c:v>34.910542857142865</c:v>
                </c:pt>
                <c:pt idx="13">
                  <c:v>42.970181632653059</c:v>
                </c:pt>
                <c:pt idx="14">
                  <c:v>54.289728571428554</c:v>
                </c:pt>
                <c:pt idx="15">
                  <c:v>67.285818367346934</c:v>
                </c:pt>
                <c:pt idx="16">
                  <c:v>81.696265306122456</c:v>
                </c:pt>
                <c:pt idx="17">
                  <c:v>89.119316326530623</c:v>
                </c:pt>
                <c:pt idx="18">
                  <c:v>93.866087755102043</c:v>
                </c:pt>
                <c:pt idx="19">
                  <c:v>96.927042857142851</c:v>
                </c:pt>
                <c:pt idx="20">
                  <c:v>98.938975510204074</c:v>
                </c:pt>
                <c:pt idx="21">
                  <c:v>99.561251020408164</c:v>
                </c:pt>
                <c:pt idx="22">
                  <c:v>99.964902040816327</c:v>
                </c:pt>
                <c:pt idx="23">
                  <c:v>99.81352448979591</c:v>
                </c:pt>
                <c:pt idx="24">
                  <c:v>99.889226530612248</c:v>
                </c:pt>
                <c:pt idx="25">
                  <c:v>100</c:v>
                </c:pt>
                <c:pt idx="26">
                  <c:v>100</c:v>
                </c:pt>
                <c:pt idx="27">
                  <c:v>99.79785102040816</c:v>
                </c:pt>
                <c:pt idx="28">
                  <c:v>99.955077551020423</c:v>
                </c:pt>
                <c:pt idx="29">
                  <c:v>99.923212244897954</c:v>
                </c:pt>
                <c:pt idx="30">
                  <c:v>99.944789795918382</c:v>
                </c:pt>
                <c:pt idx="31">
                  <c:v>98.995536734693886</c:v>
                </c:pt>
                <c:pt idx="32">
                  <c:v>98.614867346938766</c:v>
                </c:pt>
                <c:pt idx="33">
                  <c:v>99.092204081632659</c:v>
                </c:pt>
                <c:pt idx="34">
                  <c:v>98.529061224489794</c:v>
                </c:pt>
                <c:pt idx="35">
                  <c:v>98.42582040816329</c:v>
                </c:pt>
                <c:pt idx="36">
                  <c:v>98.005320408163257</c:v>
                </c:pt>
                <c:pt idx="37">
                  <c:v>97.260483673469381</c:v>
                </c:pt>
                <c:pt idx="38">
                  <c:v>95.465448979591855</c:v>
                </c:pt>
                <c:pt idx="39">
                  <c:v>94.356675510204084</c:v>
                </c:pt>
                <c:pt idx="40">
                  <c:v>89.377702040816317</c:v>
                </c:pt>
                <c:pt idx="41">
                  <c:v>83.77491224489799</c:v>
                </c:pt>
                <c:pt idx="42">
                  <c:v>77.756263265306131</c:v>
                </c:pt>
                <c:pt idx="43">
                  <c:v>71.209075510204073</c:v>
                </c:pt>
                <c:pt idx="44">
                  <c:v>65.531736734693894</c:v>
                </c:pt>
                <c:pt idx="45">
                  <c:v>58.81475714285714</c:v>
                </c:pt>
                <c:pt idx="46">
                  <c:v>53.59365102040816</c:v>
                </c:pt>
                <c:pt idx="47">
                  <c:v>49.274646938775511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F7-411D-BCA1-EF13676DD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10 Prosumers by Exported Energy (kWh/day)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Export kWh/day</c:v>
          </c:tx>
          <c:spPr>
            <a:solidFill>
              <a:srgbClr val="2E7D32"/>
            </a:solidFill>
          </c:spPr>
          <c:invertIfNegative val="1"/>
          <c:cat>
            <c:strRef>
              <c:f>ChartData!$R$2:$R$11</c:f>
              <c:strCache>
                <c:ptCount val="10"/>
                <c:pt idx="0">
                  <c:v>two292_B</c:v>
                </c:pt>
                <c:pt idx="1">
                  <c:v>one480_A</c:v>
                </c:pt>
                <c:pt idx="2">
                  <c:v>one605_A</c:v>
                </c:pt>
                <c:pt idx="3">
                  <c:v>one617_A</c:v>
                </c:pt>
                <c:pt idx="4">
                  <c:v>one528_C</c:v>
                </c:pt>
                <c:pt idx="5">
                  <c:v>one260_C</c:v>
                </c:pt>
                <c:pt idx="6">
                  <c:v>one559_C</c:v>
                </c:pt>
                <c:pt idx="7">
                  <c:v>one544_A</c:v>
                </c:pt>
                <c:pt idx="8">
                  <c:v>one482_B</c:v>
                </c:pt>
                <c:pt idx="9">
                  <c:v>one242_B</c:v>
                </c:pt>
              </c:strCache>
            </c:strRef>
          </c:cat>
          <c:val>
            <c:numRef>
              <c:f>ChartData!$Q$2:$Q$11</c:f>
              <c:numCache>
                <c:formatCode>#,##0.0</c:formatCode>
                <c:ptCount val="10"/>
                <c:pt idx="0">
                  <c:v>28.25</c:v>
                </c:pt>
                <c:pt idx="1">
                  <c:v>27.15</c:v>
                </c:pt>
                <c:pt idx="2">
                  <c:v>27.11</c:v>
                </c:pt>
                <c:pt idx="3">
                  <c:v>26.86</c:v>
                </c:pt>
                <c:pt idx="4">
                  <c:v>26.55</c:v>
                </c:pt>
                <c:pt idx="5">
                  <c:v>26.11</c:v>
                </c:pt>
                <c:pt idx="6">
                  <c:v>25.89</c:v>
                </c:pt>
                <c:pt idx="7">
                  <c:v>25.8</c:v>
                </c:pt>
                <c:pt idx="8">
                  <c:v>25.78</c:v>
                </c:pt>
                <c:pt idx="9">
                  <c:v>25.45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F56-4064-A771-C5CC37846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Self-Consumption vs Self-Sufficiency by Prosumer (%)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Prosumer</c:v>
          </c:tx>
          <c:xVal>
            <c:numLit>
              <c:ptCount val="0"/>
            </c:numLit>
          </c:xVal>
          <c:yVal>
            <c:numRef>
              <c:f>ChartData!$M$2:$M$50</c:f>
              <c:numCache>
                <c:formatCode>0.0</c:formatCode>
                <c:ptCount val="4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94</c:v>
                </c:pt>
                <c:pt idx="12">
                  <c:v>100</c:v>
                </c:pt>
                <c:pt idx="13">
                  <c:v>100</c:v>
                </c:pt>
                <c:pt idx="14">
                  <c:v>99.9</c:v>
                </c:pt>
                <c:pt idx="15">
                  <c:v>89.4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84.6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96.6</c:v>
                </c:pt>
                <c:pt idx="26">
                  <c:v>100</c:v>
                </c:pt>
                <c:pt idx="27">
                  <c:v>88.7</c:v>
                </c:pt>
                <c:pt idx="28">
                  <c:v>100</c:v>
                </c:pt>
                <c:pt idx="29">
                  <c:v>100</c:v>
                </c:pt>
                <c:pt idx="30">
                  <c:v>87.9</c:v>
                </c:pt>
                <c:pt idx="31">
                  <c:v>100</c:v>
                </c:pt>
                <c:pt idx="32">
                  <c:v>99.1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90.7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4D-4473-8286-113AD441C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/>
              <a:t>Fleet-average prosumer profile -  TR3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demand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ChartData!$U$2:$U$49</c:f>
              <c:numCache>
                <c:formatCode>#,##0.000</c:formatCode>
                <c:ptCount val="48"/>
                <c:pt idx="0">
                  <c:v>0.18860561904761908</c:v>
                </c:pt>
                <c:pt idx="1">
                  <c:v>0.17969246802721098</c:v>
                </c:pt>
                <c:pt idx="2">
                  <c:v>0.14316062585034012</c:v>
                </c:pt>
                <c:pt idx="3">
                  <c:v>0.13740688435374149</c:v>
                </c:pt>
                <c:pt idx="4">
                  <c:v>0.13301136054421769</c:v>
                </c:pt>
                <c:pt idx="5">
                  <c:v>0.11409865306122439</c:v>
                </c:pt>
                <c:pt idx="6">
                  <c:v>0.10898819727891157</c:v>
                </c:pt>
                <c:pt idx="7">
                  <c:v>0.12097806122448976</c:v>
                </c:pt>
                <c:pt idx="8">
                  <c:v>0.11632741496598639</c:v>
                </c:pt>
                <c:pt idx="9">
                  <c:v>0.14219854421768707</c:v>
                </c:pt>
                <c:pt idx="10">
                  <c:v>0.13029317346938776</c:v>
                </c:pt>
                <c:pt idx="11">
                  <c:v>0.11120318367346939</c:v>
                </c:pt>
                <c:pt idx="12">
                  <c:v>0.15649055102040821</c:v>
                </c:pt>
                <c:pt idx="13">
                  <c:v>0.12688432653061227</c:v>
                </c:pt>
                <c:pt idx="14">
                  <c:v>0.23296099727891159</c:v>
                </c:pt>
                <c:pt idx="15">
                  <c:v>0.1777256510204083</c:v>
                </c:pt>
                <c:pt idx="16">
                  <c:v>0.30725656054421796</c:v>
                </c:pt>
                <c:pt idx="17">
                  <c:v>0.27185874149659878</c:v>
                </c:pt>
                <c:pt idx="18">
                  <c:v>0.38909634829931955</c:v>
                </c:pt>
                <c:pt idx="19">
                  <c:v>0.34987377687074833</c:v>
                </c:pt>
                <c:pt idx="20">
                  <c:v>0.34486209183673489</c:v>
                </c:pt>
                <c:pt idx="21">
                  <c:v>0.29174917482993201</c:v>
                </c:pt>
                <c:pt idx="22">
                  <c:v>0.45374157619047611</c:v>
                </c:pt>
                <c:pt idx="23">
                  <c:v>0.44875567551020418</c:v>
                </c:pt>
                <c:pt idx="24">
                  <c:v>0.24394610136054429</c:v>
                </c:pt>
                <c:pt idx="25">
                  <c:v>0.26022106258503402</c:v>
                </c:pt>
                <c:pt idx="26">
                  <c:v>0.370112442176871</c:v>
                </c:pt>
                <c:pt idx="27">
                  <c:v>0.35529202993197284</c:v>
                </c:pt>
                <c:pt idx="28">
                  <c:v>0.28743067006802736</c:v>
                </c:pt>
                <c:pt idx="29">
                  <c:v>0.31986388707482988</c:v>
                </c:pt>
                <c:pt idx="30">
                  <c:v>0.42077240204081645</c:v>
                </c:pt>
                <c:pt idx="31">
                  <c:v>0.33016815374149661</c:v>
                </c:pt>
                <c:pt idx="32">
                  <c:v>0.32540338911564631</c:v>
                </c:pt>
                <c:pt idx="33">
                  <c:v>0.37795886122448985</c:v>
                </c:pt>
                <c:pt idx="34">
                  <c:v>0.35126495646258526</c:v>
                </c:pt>
                <c:pt idx="35">
                  <c:v>0.34511555918367359</c:v>
                </c:pt>
                <c:pt idx="36">
                  <c:v>0.33905987006802718</c:v>
                </c:pt>
                <c:pt idx="37">
                  <c:v>0.41245702517006799</c:v>
                </c:pt>
                <c:pt idx="38">
                  <c:v>0.3053412231292516</c:v>
                </c:pt>
                <c:pt idx="39">
                  <c:v>0.48293246734693895</c:v>
                </c:pt>
                <c:pt idx="40">
                  <c:v>0.46292633877551032</c:v>
                </c:pt>
                <c:pt idx="41">
                  <c:v>0.47963098639455792</c:v>
                </c:pt>
                <c:pt idx="42">
                  <c:v>0.52174998639455783</c:v>
                </c:pt>
                <c:pt idx="43">
                  <c:v>0.46938805442176845</c:v>
                </c:pt>
                <c:pt idx="44">
                  <c:v>0.56727900680272147</c:v>
                </c:pt>
                <c:pt idx="45">
                  <c:v>0.4981532993197279</c:v>
                </c:pt>
                <c:pt idx="46">
                  <c:v>0.40095637414966012</c:v>
                </c:pt>
                <c:pt idx="47">
                  <c:v>0.27882082040816314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C-4AE2-8E7F-DD5056475581}"/>
            </c:ext>
          </c:extLst>
        </c:ser>
        <c:ser>
          <c:idx val="1"/>
          <c:order val="1"/>
          <c:tx>
            <c:v>PV generation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2.8614845156462597E-3</c:v>
                </c:pt>
                <c:pt idx="8">
                  <c:v>4.1360827974149549E-2</c:v>
                </c:pt>
                <c:pt idx="9">
                  <c:v>0.19341576440612251</c:v>
                </c:pt>
                <c:pt idx="10">
                  <c:v>0.38366564789523899</c:v>
                </c:pt>
                <c:pt idx="11">
                  <c:v>0.61695331721904634</c:v>
                </c:pt>
                <c:pt idx="12">
                  <c:v>0.87148331941156598</c:v>
                </c:pt>
                <c:pt idx="13">
                  <c:v>1.1291418894925154</c:v>
                </c:pt>
                <c:pt idx="14">
                  <c:v>1.3854662812877561</c:v>
                </c:pt>
                <c:pt idx="15">
                  <c:v>1.6421635340306122</c:v>
                </c:pt>
                <c:pt idx="16">
                  <c:v>1.8830902648850352</c:v>
                </c:pt>
                <c:pt idx="17">
                  <c:v>2.1095617457999998</c:v>
                </c:pt>
                <c:pt idx="18">
                  <c:v>2.3024376740544232</c:v>
                </c:pt>
                <c:pt idx="19">
                  <c:v>2.4669413020394546</c:v>
                </c:pt>
                <c:pt idx="20">
                  <c:v>2.6113339679585033</c:v>
                </c:pt>
                <c:pt idx="21">
                  <c:v>2.7305037487530628</c:v>
                </c:pt>
                <c:pt idx="22">
                  <c:v>2.8150581720442198</c:v>
                </c:pt>
                <c:pt idx="23">
                  <c:v>2.8521396608897955</c:v>
                </c:pt>
                <c:pt idx="24">
                  <c:v>2.8628798808054423</c:v>
                </c:pt>
                <c:pt idx="25">
                  <c:v>2.8427879211020413</c:v>
                </c:pt>
                <c:pt idx="26">
                  <c:v>2.7752899620714309</c:v>
                </c:pt>
                <c:pt idx="27">
                  <c:v>2.6723137519238107</c:v>
                </c:pt>
                <c:pt idx="28">
                  <c:v>2.5493764622020403</c:v>
                </c:pt>
                <c:pt idx="29">
                  <c:v>2.3935969296421788</c:v>
                </c:pt>
                <c:pt idx="30">
                  <c:v>2.2280507380224481</c:v>
                </c:pt>
                <c:pt idx="31">
                  <c:v>2.0288375927564628</c:v>
                </c:pt>
                <c:pt idx="32">
                  <c:v>1.8044765782925161</c:v>
                </c:pt>
                <c:pt idx="33">
                  <c:v>1.5335898851435368</c:v>
                </c:pt>
                <c:pt idx="34">
                  <c:v>1.2800587324251682</c:v>
                </c:pt>
                <c:pt idx="35">
                  <c:v>1.0195397359979597</c:v>
                </c:pt>
                <c:pt idx="36">
                  <c:v>0.76752785893197362</c:v>
                </c:pt>
                <c:pt idx="37">
                  <c:v>0.52455289968367358</c:v>
                </c:pt>
                <c:pt idx="38">
                  <c:v>0.30630756061496583</c:v>
                </c:pt>
                <c:pt idx="39">
                  <c:v>8.9117712189795972E-2</c:v>
                </c:pt>
                <c:pt idx="40">
                  <c:v>1.6436201691156473E-2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0C-4AE2-8E7F-DD5056475581}"/>
            </c:ext>
          </c:extLst>
        </c:ser>
        <c:ser>
          <c:idx val="2"/>
          <c:order val="2"/>
          <c:tx>
            <c:v>charging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7.3469387755102048E-4</c:v>
                </c:pt>
                <c:pt idx="9">
                  <c:v>7.7408163265306126E-2</c:v>
                </c:pt>
                <c:pt idx="10">
                  <c:v>0.2573673469387755</c:v>
                </c:pt>
                <c:pt idx="11">
                  <c:v>0.5057551020408162</c:v>
                </c:pt>
                <c:pt idx="12">
                  <c:v>0.7273877551020409</c:v>
                </c:pt>
                <c:pt idx="13">
                  <c:v>1.0022653061224489</c:v>
                </c:pt>
                <c:pt idx="14">
                  <c:v>1.1687551020408162</c:v>
                </c:pt>
                <c:pt idx="15">
                  <c:v>1.2758979591836737</c:v>
                </c:pt>
                <c:pt idx="16">
                  <c:v>0.68542857142857128</c:v>
                </c:pt>
                <c:pt idx="17">
                  <c:v>0.42030612244897958</c:v>
                </c:pt>
                <c:pt idx="18">
                  <c:v>0.27651020408163268</c:v>
                </c:pt>
                <c:pt idx="19">
                  <c:v>0.17834693877551022</c:v>
                </c:pt>
                <c:pt idx="20">
                  <c:v>5.5122448979591829E-2</c:v>
                </c:pt>
                <c:pt idx="21">
                  <c:v>3.8857142857142861E-2</c:v>
                </c:pt>
                <c:pt idx="22">
                  <c:v>0</c:v>
                </c:pt>
                <c:pt idx="23">
                  <c:v>6.7142857142857143E-3</c:v>
                </c:pt>
                <c:pt idx="24">
                  <c:v>9.8163265306122453E-3</c:v>
                </c:pt>
                <c:pt idx="25">
                  <c:v>0</c:v>
                </c:pt>
                <c:pt idx="26">
                  <c:v>0</c:v>
                </c:pt>
                <c:pt idx="27">
                  <c:v>1.3918367346938774E-2</c:v>
                </c:pt>
                <c:pt idx="28">
                  <c:v>3.9795918367346939E-3</c:v>
                </c:pt>
                <c:pt idx="29">
                  <c:v>6.7959183673469391E-3</c:v>
                </c:pt>
                <c:pt idx="30">
                  <c:v>0</c:v>
                </c:pt>
                <c:pt idx="31">
                  <c:v>8.4897959183673471E-3</c:v>
                </c:pt>
                <c:pt idx="32">
                  <c:v>4.8795918367346938E-2</c:v>
                </c:pt>
                <c:pt idx="33">
                  <c:v>1.7428571428571432E-2</c:v>
                </c:pt>
                <c:pt idx="34">
                  <c:v>3.5122448979591839E-2</c:v>
                </c:pt>
                <c:pt idx="35">
                  <c:v>2.0204081632653061E-2</c:v>
                </c:pt>
                <c:pt idx="36">
                  <c:v>1.9102040816326528E-2</c:v>
                </c:pt>
                <c:pt idx="37">
                  <c:v>1.6E-2</c:v>
                </c:pt>
                <c:pt idx="38">
                  <c:v>1.2857142857142857E-2</c:v>
                </c:pt>
                <c:pt idx="39">
                  <c:v>4.285714285714286E-4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0C-4AE2-8E7F-DD5056475581}"/>
            </c:ext>
          </c:extLst>
        </c:ser>
        <c:ser>
          <c:idx val="3"/>
          <c:order val="3"/>
          <c:tx>
            <c:v>discharging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ChartData!$X$2:$X$49</c:f>
              <c:numCache>
                <c:formatCode>#,##0.000</c:formatCode>
                <c:ptCount val="48"/>
                <c:pt idx="0">
                  <c:v>0.18865306122448983</c:v>
                </c:pt>
                <c:pt idx="1">
                  <c:v>0.17973469387755103</c:v>
                </c:pt>
                <c:pt idx="2">
                  <c:v>0.14316326530612247</c:v>
                </c:pt>
                <c:pt idx="3">
                  <c:v>0.13173469387755099</c:v>
                </c:pt>
                <c:pt idx="4">
                  <c:v>0.11708163265306122</c:v>
                </c:pt>
                <c:pt idx="5">
                  <c:v>9.8510204081632649E-2</c:v>
                </c:pt>
                <c:pt idx="6">
                  <c:v>0.10293877551020407</c:v>
                </c:pt>
                <c:pt idx="7">
                  <c:v>0.10842857142857144</c:v>
                </c:pt>
                <c:pt idx="8">
                  <c:v>6.7138705848979574E-2</c:v>
                </c:pt>
                <c:pt idx="9">
                  <c:v>2.3081632653061224E-2</c:v>
                </c:pt>
                <c:pt idx="10">
                  <c:v>2.2653061224489797E-3</c:v>
                </c:pt>
                <c:pt idx="11">
                  <c:v>0</c:v>
                </c:pt>
                <c:pt idx="12">
                  <c:v>1.236734693877551E-2</c:v>
                </c:pt>
                <c:pt idx="13">
                  <c:v>0</c:v>
                </c:pt>
                <c:pt idx="14">
                  <c:v>1.6224489795918368E-2</c:v>
                </c:pt>
                <c:pt idx="15">
                  <c:v>0</c:v>
                </c:pt>
                <c:pt idx="16">
                  <c:v>2.5387755102040815E-2</c:v>
                </c:pt>
                <c:pt idx="17">
                  <c:v>0</c:v>
                </c:pt>
                <c:pt idx="18">
                  <c:v>4.9387755102040815E-3</c:v>
                </c:pt>
                <c:pt idx="19">
                  <c:v>2.0408163265306123E-4</c:v>
                </c:pt>
                <c:pt idx="20">
                  <c:v>0</c:v>
                </c:pt>
                <c:pt idx="21">
                  <c:v>2.795918367346939E-3</c:v>
                </c:pt>
                <c:pt idx="22">
                  <c:v>1.2061224489795918E-2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1.6102040816326532E-2</c:v>
                </c:pt>
                <c:pt idx="27">
                  <c:v>0</c:v>
                </c:pt>
                <c:pt idx="28">
                  <c:v>6.1224489795918364E-3</c:v>
                </c:pt>
                <c:pt idx="29">
                  <c:v>4.4081632653061222E-3</c:v>
                </c:pt>
                <c:pt idx="30">
                  <c:v>7.5653061224489795E-2</c:v>
                </c:pt>
                <c:pt idx="31">
                  <c:v>3.7979591836734695E-2</c:v>
                </c:pt>
                <c:pt idx="32">
                  <c:v>5.877551020408163E-3</c:v>
                </c:pt>
                <c:pt idx="33">
                  <c:v>6.0571428571428568E-2</c:v>
                </c:pt>
                <c:pt idx="34">
                  <c:v>3.9836734693877551E-2</c:v>
                </c:pt>
                <c:pt idx="35">
                  <c:v>5.1693877551020409E-2</c:v>
                </c:pt>
                <c:pt idx="36">
                  <c:v>7.6530612244897947E-2</c:v>
                </c:pt>
                <c:pt idx="37">
                  <c:v>0.15744897959183674</c:v>
                </c:pt>
                <c:pt idx="38">
                  <c:v>9.9918367346938777E-2</c:v>
                </c:pt>
                <c:pt idx="39">
                  <c:v>0.39714285714285719</c:v>
                </c:pt>
                <c:pt idx="40">
                  <c:v>0.44646938775510192</c:v>
                </c:pt>
                <c:pt idx="41">
                  <c:v>0.47965306122448981</c:v>
                </c:pt>
                <c:pt idx="42">
                  <c:v>0.52181632653061227</c:v>
                </c:pt>
                <c:pt idx="43">
                  <c:v>0.45244897959183678</c:v>
                </c:pt>
                <c:pt idx="44">
                  <c:v>0.53524489795918373</c:v>
                </c:pt>
                <c:pt idx="45">
                  <c:v>0.41608163265306131</c:v>
                </c:pt>
                <c:pt idx="46">
                  <c:v>0.34422448979591846</c:v>
                </c:pt>
                <c:pt idx="47">
                  <c:v>0.25022448979591838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0C-4AE2-8E7F-DD5056475581}"/>
            </c:ext>
          </c:extLst>
        </c:ser>
        <c:ser>
          <c:idx val="4"/>
          <c:order val="4"/>
          <c:tx>
            <c:v>net exchange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ChartData!$Y$2:$Y$49</c:f>
              <c:numCache>
                <c:formatCode>#,##0.000</c:formatCode>
                <c:ptCount val="48"/>
                <c:pt idx="0">
                  <c:v>-4.744217687074892E-5</c:v>
                </c:pt>
                <c:pt idx="1">
                  <c:v>-4.2225850340055215E-5</c:v>
                </c:pt>
                <c:pt idx="2">
                  <c:v>-2.6394557823550269E-6</c:v>
                </c:pt>
                <c:pt idx="3">
                  <c:v>5.6721904761904973E-3</c:v>
                </c:pt>
                <c:pt idx="4">
                  <c:v>1.5929727891156473E-2</c:v>
                </c:pt>
                <c:pt idx="5">
                  <c:v>1.5588448979591746E-2</c:v>
                </c:pt>
                <c:pt idx="6">
                  <c:v>6.0494217687074997E-3</c:v>
                </c:pt>
                <c:pt idx="7">
                  <c:v>9.6880052802720551E-3</c:v>
                </c:pt>
                <c:pt idx="8">
                  <c:v>8.562575020408289E-3</c:v>
                </c:pt>
                <c:pt idx="9">
                  <c:v>3.1093104238094603E-3</c:v>
                </c:pt>
                <c:pt idx="10">
                  <c:v>1.7295663904753171E-3</c:v>
                </c:pt>
                <c:pt idx="11">
                  <c:v>4.9684952392325954E-6</c:v>
                </c:pt>
                <c:pt idx="12">
                  <c:v>2.7639772107616867E-5</c:v>
                </c:pt>
                <c:pt idx="13">
                  <c:v>7.7431605458588848E-6</c:v>
                </c:pt>
                <c:pt idx="14">
                  <c:v>2.5328236053306918E-5</c:v>
                </c:pt>
                <c:pt idx="15">
                  <c:v>-0.18853992382653018</c:v>
                </c:pt>
                <c:pt idx="16">
                  <c:v>-0.91579288801428682</c:v>
                </c:pt>
                <c:pt idx="17">
                  <c:v>-1.4173968818544216</c:v>
                </c:pt>
                <c:pt idx="18">
                  <c:v>-1.6417698971836752</c:v>
                </c:pt>
                <c:pt idx="19">
                  <c:v>-1.9389246680258492</c:v>
                </c:pt>
                <c:pt idx="20">
                  <c:v>-2.2113494271421765</c:v>
                </c:pt>
                <c:pt idx="21">
                  <c:v>-2.4026933494333349</c:v>
                </c:pt>
                <c:pt idx="22">
                  <c:v>-2.3733778203435394</c:v>
                </c:pt>
                <c:pt idx="23">
                  <c:v>-2.3966696996653059</c:v>
                </c:pt>
                <c:pt idx="24">
                  <c:v>-2.609117452914286</c:v>
                </c:pt>
                <c:pt idx="25">
                  <c:v>-2.5825668585170072</c:v>
                </c:pt>
                <c:pt idx="26">
                  <c:v>-2.4212795607108863</c:v>
                </c:pt>
                <c:pt idx="27">
                  <c:v>-2.3031033546448989</c:v>
                </c:pt>
                <c:pt idx="28">
                  <c:v>-2.2640886492768697</c:v>
                </c:pt>
                <c:pt idx="29">
                  <c:v>-2.071345287465308</c:v>
                </c:pt>
                <c:pt idx="30">
                  <c:v>-1.8829313972061215</c:v>
                </c:pt>
                <c:pt idx="31">
                  <c:v>-1.7281592349333335</c:v>
                </c:pt>
                <c:pt idx="32">
                  <c:v>-1.4361548218299309</c:v>
                </c:pt>
                <c:pt idx="33">
                  <c:v>-1.198773881061904</c:v>
                </c:pt>
                <c:pt idx="34">
                  <c:v>-0.93350806167686873</c:v>
                </c:pt>
                <c:pt idx="35">
                  <c:v>-0.70591397273265333</c:v>
                </c:pt>
                <c:pt idx="36">
                  <c:v>-0.48589656029251782</c:v>
                </c:pt>
                <c:pt idx="37">
                  <c:v>-0.25354485410544231</c:v>
                </c:pt>
                <c:pt idx="38">
                  <c:v>-8.8027561975510149E-2</c:v>
                </c:pt>
                <c:pt idx="39">
                  <c:v>-2.8995305571427599E-3</c:v>
                </c:pt>
                <c:pt idx="40">
                  <c:v>2.0749329251945614E-5</c:v>
                </c:pt>
                <c:pt idx="41">
                  <c:v>-2.2074829931884032E-5</c:v>
                </c:pt>
                <c:pt idx="42">
                  <c:v>-6.6340136054443555E-5</c:v>
                </c:pt>
                <c:pt idx="43">
                  <c:v>1.6939074829931677E-2</c:v>
                </c:pt>
                <c:pt idx="44">
                  <c:v>3.2034108843537745E-2</c:v>
                </c:pt>
                <c:pt idx="45">
                  <c:v>8.2071666666666598E-2</c:v>
                </c:pt>
                <c:pt idx="46">
                  <c:v>5.6731884353741657E-2</c:v>
                </c:pt>
                <c:pt idx="47">
                  <c:v>2.8596330612244758E-2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0C-4AE2-8E7F-DD5056475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.4"/>
          <c:min val="-3.1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Average per prosumer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75"/>
              <a:t>Self-consumption residual per prosumer -  TR3
net is driven to zero except when storage saturates  (SCR 28%, SSR 98%)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BES_TR3_one195_C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Net_kW!$C$2:$C$49</c:f>
              <c:numCache>
                <c:formatCode>#,##0.000</c:formatCode>
                <c:ptCount val="48"/>
                <c:pt idx="0">
                  <c:v>-3.4533333333300331E-4</c:v>
                </c:pt>
                <c:pt idx="1">
                  <c:v>1.3199999999996551E-4</c:v>
                </c:pt>
                <c:pt idx="2">
                  <c:v>1.2533333333339389E-4</c:v>
                </c:pt>
                <c:pt idx="3">
                  <c:v>4.726666666670098E-4</c:v>
                </c:pt>
                <c:pt idx="4">
                  <c:v>1.916666666669786E-4</c:v>
                </c:pt>
                <c:pt idx="5">
                  <c:v>2.8933333333300282E-4</c:v>
                </c:pt>
                <c:pt idx="6">
                  <c:v>3.3966666666701562E-4</c:v>
                </c:pt>
                <c:pt idx="7">
                  <c:v>4.0852986666634061E-4</c:v>
                </c:pt>
                <c:pt idx="8">
                  <c:v>-2.3315920000019361E-4</c:v>
                </c:pt>
                <c:pt idx="9">
                  <c:v>1.4110946666699711E-4</c:v>
                </c:pt>
                <c:pt idx="10">
                  <c:v>-4.7628826666801238E-4</c:v>
                </c:pt>
                <c:pt idx="11">
                  <c:v>3.540234666680186E-4</c:v>
                </c:pt>
                <c:pt idx="12">
                  <c:v>-2.8825933333509468E-4</c:v>
                </c:pt>
                <c:pt idx="13">
                  <c:v>-3.2516773333179932E-4</c:v>
                </c:pt>
                <c:pt idx="14">
                  <c:v>-2.1212146666726989E-4</c:v>
                </c:pt>
                <c:pt idx="15">
                  <c:v>-3.1608999999988008E-4</c:v>
                </c:pt>
                <c:pt idx="16">
                  <c:v>2.2526840000192119E-4</c:v>
                </c:pt>
                <c:pt idx="17">
                  <c:v>-1.7826693332989579E-4</c:v>
                </c:pt>
                <c:pt idx="18">
                  <c:v>-0.90210269600000192</c:v>
                </c:pt>
                <c:pt idx="19">
                  <c:v>-2.6504286727999991</c:v>
                </c:pt>
                <c:pt idx="20">
                  <c:v>-1.6526422763999979</c:v>
                </c:pt>
                <c:pt idx="21">
                  <c:v>-1.8624211211999999</c:v>
                </c:pt>
                <c:pt idx="22">
                  <c:v>-2.3010485913333381</c:v>
                </c:pt>
                <c:pt idx="23">
                  <c:v>-3.0157230421333332</c:v>
                </c:pt>
                <c:pt idx="24">
                  <c:v>-3.1812603290666681</c:v>
                </c:pt>
                <c:pt idx="25">
                  <c:v>-3.3190511053333331</c:v>
                </c:pt>
                <c:pt idx="26">
                  <c:v>-2.8686946153333328</c:v>
                </c:pt>
                <c:pt idx="27">
                  <c:v>-3.103495127466668</c:v>
                </c:pt>
                <c:pt idx="28">
                  <c:v>-2.8006008931999999</c:v>
                </c:pt>
                <c:pt idx="29">
                  <c:v>-2.6824988397333351</c:v>
                </c:pt>
                <c:pt idx="30">
                  <c:v>-2.279067828133333</c:v>
                </c:pt>
                <c:pt idx="31">
                  <c:v>-2.155797187200001</c:v>
                </c:pt>
                <c:pt idx="32">
                  <c:v>-2.007325390666665</c:v>
                </c:pt>
                <c:pt idx="33">
                  <c:v>-1.5459772729333321</c:v>
                </c:pt>
                <c:pt idx="34">
                  <c:v>-1.312624060666665</c:v>
                </c:pt>
                <c:pt idx="35">
                  <c:v>-0.86876428786666704</c:v>
                </c:pt>
                <c:pt idx="36">
                  <c:v>-0.65344093466666808</c:v>
                </c:pt>
                <c:pt idx="37">
                  <c:v>-0.21370039266666699</c:v>
                </c:pt>
                <c:pt idx="38">
                  <c:v>-1.259408106666615E-2</c:v>
                </c:pt>
                <c:pt idx="39">
                  <c:v>9.2051600000031542E-5</c:v>
                </c:pt>
                <c:pt idx="40">
                  <c:v>8.689039999931758E-5</c:v>
                </c:pt>
                <c:pt idx="41">
                  <c:v>-2.1899999999996919E-4</c:v>
                </c:pt>
                <c:pt idx="42">
                  <c:v>2.600000000008151E-5</c:v>
                </c:pt>
                <c:pt idx="43">
                  <c:v>4.2666666667079411E-5</c:v>
                </c:pt>
                <c:pt idx="44">
                  <c:v>3.9266666667003852E-4</c:v>
                </c:pt>
                <c:pt idx="45">
                  <c:v>2.1633333333404001E-4</c:v>
                </c:pt>
                <c:pt idx="46">
                  <c:v>9.5666666666965883E-5</c:v>
                </c:pt>
                <c:pt idx="47">
                  <c:v>-8.0666666667061904E-5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5D-47F3-8FBD-12908E5CE517}"/>
            </c:ext>
          </c:extLst>
        </c:ser>
        <c:ser>
          <c:idx val="1"/>
          <c:order val="1"/>
          <c:tx>
            <c:v>BES_TR3_one235_A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Net_kW!$D$2:$D$49</c:f>
              <c:numCache>
                <c:formatCode>#,##0.000</c:formatCode>
                <c:ptCount val="48"/>
                <c:pt idx="0">
                  <c:v>0</c:v>
                </c:pt>
                <c:pt idx="1">
                  <c:v>1.5199999999999941E-4</c:v>
                </c:pt>
                <c:pt idx="2">
                  <c:v>-2.36000000000014E-4</c:v>
                </c:pt>
                <c:pt idx="3">
                  <c:v>-4.8199999999999632E-4</c:v>
                </c:pt>
                <c:pt idx="4">
                  <c:v>-1.20000000000009E-4</c:v>
                </c:pt>
                <c:pt idx="5">
                  <c:v>0</c:v>
                </c:pt>
                <c:pt idx="6">
                  <c:v>7.6666666667002392E-5</c:v>
                </c:pt>
                <c:pt idx="7">
                  <c:v>-8.3470133333374275E-5</c:v>
                </c:pt>
                <c:pt idx="8">
                  <c:v>4.2507466666799609E-5</c:v>
                </c:pt>
                <c:pt idx="9">
                  <c:v>8.3442800000005021E-5</c:v>
                </c:pt>
                <c:pt idx="10">
                  <c:v>-2.4195493333467599E-4</c:v>
                </c:pt>
                <c:pt idx="11">
                  <c:v>4.7769013333504029E-4</c:v>
                </c:pt>
                <c:pt idx="12">
                  <c:v>8.1407333331950937E-5</c:v>
                </c:pt>
                <c:pt idx="13">
                  <c:v>-4.4616773333183701E-4</c:v>
                </c:pt>
                <c:pt idx="14">
                  <c:v>1.7954519999996421E-4</c:v>
                </c:pt>
                <c:pt idx="15">
                  <c:v>-5.7626089999999852E-2</c:v>
                </c:pt>
                <c:pt idx="16">
                  <c:v>-2.0683633982666678</c:v>
                </c:pt>
                <c:pt idx="17">
                  <c:v>-2.3832543336000001</c:v>
                </c:pt>
                <c:pt idx="18">
                  <c:v>-2.6787897626666681</c:v>
                </c:pt>
                <c:pt idx="19">
                  <c:v>-1.975351739466666</c:v>
                </c:pt>
                <c:pt idx="20">
                  <c:v>-2.578234943066668</c:v>
                </c:pt>
                <c:pt idx="21">
                  <c:v>-2.883710454533333</c:v>
                </c:pt>
                <c:pt idx="22">
                  <c:v>-3.2499110246666678</c:v>
                </c:pt>
                <c:pt idx="23">
                  <c:v>-3.1715342754666671</c:v>
                </c:pt>
                <c:pt idx="24">
                  <c:v>-3.2632919957333351</c:v>
                </c:pt>
                <c:pt idx="25">
                  <c:v>-3.3153643386666669</c:v>
                </c:pt>
                <c:pt idx="26">
                  <c:v>-2.7645941486666659</c:v>
                </c:pt>
                <c:pt idx="27">
                  <c:v>-3.1596903274666679</c:v>
                </c:pt>
                <c:pt idx="28">
                  <c:v>-2.9201358931999999</c:v>
                </c:pt>
                <c:pt idx="29">
                  <c:v>-2.778682173066668</c:v>
                </c:pt>
                <c:pt idx="30">
                  <c:v>-2.6331284948000002</c:v>
                </c:pt>
                <c:pt idx="31">
                  <c:v>-2.3140298538666682</c:v>
                </c:pt>
                <c:pt idx="32">
                  <c:v>-2.0885433906666648</c:v>
                </c:pt>
                <c:pt idx="33">
                  <c:v>-0.70996860626666192</c:v>
                </c:pt>
                <c:pt idx="34">
                  <c:v>-4.5060666661989053E-5</c:v>
                </c:pt>
                <c:pt idx="35">
                  <c:v>-1.8195453333025299E-4</c:v>
                </c:pt>
                <c:pt idx="36">
                  <c:v>3.1065333331969918E-5</c:v>
                </c:pt>
                <c:pt idx="37">
                  <c:v>-2.6339266666708378E-4</c:v>
                </c:pt>
                <c:pt idx="38">
                  <c:v>4.1725226666683429E-4</c:v>
                </c:pt>
                <c:pt idx="39">
                  <c:v>4.971826666699819E-5</c:v>
                </c:pt>
                <c:pt idx="40">
                  <c:v>3.9622373333331179E-4</c:v>
                </c:pt>
                <c:pt idx="41">
                  <c:v>-1.159999999999495E-4</c:v>
                </c:pt>
                <c:pt idx="42">
                  <c:v>1.793333333340863E-4</c:v>
                </c:pt>
                <c:pt idx="43">
                  <c:v>4.7600000000003201E-4</c:v>
                </c:pt>
                <c:pt idx="44">
                  <c:v>2.7599999999999852E-4</c:v>
                </c:pt>
                <c:pt idx="45">
                  <c:v>3.0633333333396351E-4</c:v>
                </c:pt>
                <c:pt idx="46">
                  <c:v>0</c:v>
                </c:pt>
                <c:pt idx="47">
                  <c:v>-5.1999999999996487E-5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5D-47F3-8FBD-12908E5CE517}"/>
            </c:ext>
          </c:extLst>
        </c:ser>
        <c:ser>
          <c:idx val="2"/>
          <c:order val="2"/>
          <c:tx>
            <c:v>BES_TR3_one242_B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Net_kW!$E$2:$E$49</c:f>
              <c:numCache>
                <c:formatCode>#,##0.000</c:formatCode>
                <c:ptCount val="48"/>
                <c:pt idx="0">
                  <c:v>0</c:v>
                </c:pt>
                <c:pt idx="1">
                  <c:v>-2.013333333329981E-4</c:v>
                </c:pt>
                <c:pt idx="2">
                  <c:v>2.7066666666669681E-4</c:v>
                </c:pt>
                <c:pt idx="3">
                  <c:v>-1.993333333329961E-4</c:v>
                </c:pt>
                <c:pt idx="4">
                  <c:v>3.8266666666700311E-4</c:v>
                </c:pt>
                <c:pt idx="5">
                  <c:v>-9.3999999999996864E-5</c:v>
                </c:pt>
                <c:pt idx="6">
                  <c:v>-5.999999999978245E-6</c:v>
                </c:pt>
                <c:pt idx="7">
                  <c:v>-3.6547013333368411E-4</c:v>
                </c:pt>
                <c:pt idx="8">
                  <c:v>2.348407999998581E-4</c:v>
                </c:pt>
                <c:pt idx="9">
                  <c:v>2.3644280000000709E-4</c:v>
                </c:pt>
                <c:pt idx="10">
                  <c:v>-2.2695493333502181E-4</c:v>
                </c:pt>
                <c:pt idx="11">
                  <c:v>5.4690133334978068E-5</c:v>
                </c:pt>
                <c:pt idx="12">
                  <c:v>2.380739999989778E-4</c:v>
                </c:pt>
                <c:pt idx="13">
                  <c:v>2.5883226666811859E-4</c:v>
                </c:pt>
                <c:pt idx="14">
                  <c:v>4.032118666670303E-4</c:v>
                </c:pt>
                <c:pt idx="15">
                  <c:v>3.7391000000019941E-4</c:v>
                </c:pt>
                <c:pt idx="16">
                  <c:v>-1.303570064933335</c:v>
                </c:pt>
                <c:pt idx="17">
                  <c:v>-2.3503409336000001</c:v>
                </c:pt>
                <c:pt idx="18">
                  <c:v>-1.9114553626666679</c:v>
                </c:pt>
                <c:pt idx="19">
                  <c:v>-2.2026240727999982</c:v>
                </c:pt>
                <c:pt idx="20">
                  <c:v>-2.8823139430666682</c:v>
                </c:pt>
                <c:pt idx="21">
                  <c:v>-3.0516901212</c:v>
                </c:pt>
                <c:pt idx="22">
                  <c:v>-3.199543591333335</c:v>
                </c:pt>
                <c:pt idx="23">
                  <c:v>-3.3426607088</c:v>
                </c:pt>
                <c:pt idx="24">
                  <c:v>-3.2876259957333351</c:v>
                </c:pt>
                <c:pt idx="25">
                  <c:v>-3.2269076719999998</c:v>
                </c:pt>
                <c:pt idx="26">
                  <c:v>-3.1274784819999999</c:v>
                </c:pt>
                <c:pt idx="27">
                  <c:v>-3.0320016608000011</c:v>
                </c:pt>
                <c:pt idx="28">
                  <c:v>-2.9192185598666671</c:v>
                </c:pt>
                <c:pt idx="29">
                  <c:v>-2.764566173066668</c:v>
                </c:pt>
                <c:pt idx="30">
                  <c:v>-2.6331284948000002</c:v>
                </c:pt>
                <c:pt idx="31">
                  <c:v>-2.1461225205333352</c:v>
                </c:pt>
                <c:pt idx="32">
                  <c:v>-2.0146517239999988</c:v>
                </c:pt>
                <c:pt idx="33">
                  <c:v>-1.7698946062666649</c:v>
                </c:pt>
                <c:pt idx="34">
                  <c:v>-1.3080530606666649</c:v>
                </c:pt>
                <c:pt idx="35">
                  <c:v>-1.1182156212000001</c:v>
                </c:pt>
                <c:pt idx="36">
                  <c:v>-0.76421026800000103</c:v>
                </c:pt>
                <c:pt idx="37">
                  <c:v>-0.48536805933333299</c:v>
                </c:pt>
                <c:pt idx="38">
                  <c:v>-4.8344747733333193E-2</c:v>
                </c:pt>
                <c:pt idx="39">
                  <c:v>1.3838493333301341E-4</c:v>
                </c:pt>
                <c:pt idx="40">
                  <c:v>2.228904000003418E-4</c:v>
                </c:pt>
                <c:pt idx="41">
                  <c:v>1.016666666669996E-4</c:v>
                </c:pt>
                <c:pt idx="42">
                  <c:v>-2.6266666666707739E-4</c:v>
                </c:pt>
                <c:pt idx="43">
                  <c:v>1.1466666666604119E-4</c:v>
                </c:pt>
                <c:pt idx="44">
                  <c:v>-1.333333333297659E-5</c:v>
                </c:pt>
                <c:pt idx="45">
                  <c:v>1.7666666666669989E-4</c:v>
                </c:pt>
                <c:pt idx="46">
                  <c:v>1.666666666669814E-4</c:v>
                </c:pt>
                <c:pt idx="47">
                  <c:v>-2.7399999999999652E-4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5D-47F3-8FBD-12908E5CE517}"/>
            </c:ext>
          </c:extLst>
        </c:ser>
        <c:ser>
          <c:idx val="3"/>
          <c:order val="3"/>
          <c:tx>
            <c:v>BES_TR3_one252_C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Net_kW!$F$2:$F$49</c:f>
              <c:numCache>
                <c:formatCode>#,##0.000</c:formatCode>
                <c:ptCount val="48"/>
                <c:pt idx="0">
                  <c:v>4.5800000000001401E-4</c:v>
                </c:pt>
                <c:pt idx="1">
                  <c:v>-2.7399999999999652E-4</c:v>
                </c:pt>
                <c:pt idx="2">
                  <c:v>0</c:v>
                </c:pt>
                <c:pt idx="3">
                  <c:v>3.9999999999984492E-5</c:v>
                </c:pt>
                <c:pt idx="4">
                  <c:v>0</c:v>
                </c:pt>
                <c:pt idx="5">
                  <c:v>3.9999999999984492E-5</c:v>
                </c:pt>
                <c:pt idx="6">
                  <c:v>0</c:v>
                </c:pt>
                <c:pt idx="7">
                  <c:v>2.7397400000017669E-5</c:v>
                </c:pt>
                <c:pt idx="8">
                  <c:v>1.311306000000845E-4</c:v>
                </c:pt>
                <c:pt idx="9">
                  <c:v>-4.3016790000000032E-4</c:v>
                </c:pt>
                <c:pt idx="10">
                  <c:v>3.4783799998994169E-5</c:v>
                </c:pt>
                <c:pt idx="11">
                  <c:v>-3.9348239999892343E-4</c:v>
                </c:pt>
                <c:pt idx="12">
                  <c:v>1.010554999988367E-4</c:v>
                </c:pt>
                <c:pt idx="13">
                  <c:v>-3.0587579999885589E-4</c:v>
                </c:pt>
                <c:pt idx="14">
                  <c:v>4.3707556666988673E-4</c:v>
                </c:pt>
                <c:pt idx="15">
                  <c:v>-3.6156749999993743E-4</c:v>
                </c:pt>
                <c:pt idx="16">
                  <c:v>2.8295129999911239E-4</c:v>
                </c:pt>
                <c:pt idx="17">
                  <c:v>8.2533133333839714E-5</c:v>
                </c:pt>
                <c:pt idx="18">
                  <c:v>-1.1403871886666681</c:v>
                </c:pt>
                <c:pt idx="19">
                  <c:v>-0.35089288793332879</c:v>
                </c:pt>
                <c:pt idx="20">
                  <c:v>-2.2990297073000008</c:v>
                </c:pt>
                <c:pt idx="21">
                  <c:v>-2.3859558408999999</c:v>
                </c:pt>
                <c:pt idx="22">
                  <c:v>-2.3032054435000009</c:v>
                </c:pt>
                <c:pt idx="23">
                  <c:v>-2.3783850316000001</c:v>
                </c:pt>
                <c:pt idx="24">
                  <c:v>-2.3880709968000011</c:v>
                </c:pt>
                <c:pt idx="25">
                  <c:v>-2.4214815873333331</c:v>
                </c:pt>
                <c:pt idx="26">
                  <c:v>-1.1664931948333299</c:v>
                </c:pt>
                <c:pt idx="27">
                  <c:v>-1.5612407456000019</c:v>
                </c:pt>
                <c:pt idx="28">
                  <c:v>-2.075476853233333</c:v>
                </c:pt>
                <c:pt idx="29">
                  <c:v>-2.0231084964666679</c:v>
                </c:pt>
                <c:pt idx="30">
                  <c:v>-1.8459634377666669</c:v>
                </c:pt>
                <c:pt idx="31">
                  <c:v>-1.434025223733334</c:v>
                </c:pt>
                <c:pt idx="32">
                  <c:v>-1.5452727096666661</c:v>
                </c:pt>
                <c:pt idx="33">
                  <c:v>-1.281935454699999</c:v>
                </c:pt>
                <c:pt idx="34">
                  <c:v>-1.0414867954999989</c:v>
                </c:pt>
                <c:pt idx="35">
                  <c:v>-0.62591221590000012</c:v>
                </c:pt>
                <c:pt idx="36">
                  <c:v>3.3229899999875911E-4</c:v>
                </c:pt>
                <c:pt idx="37">
                  <c:v>-7.9711166669937938E-5</c:v>
                </c:pt>
                <c:pt idx="38">
                  <c:v>-4.5607999999142113E-6</c:v>
                </c:pt>
                <c:pt idx="39">
                  <c:v>4.3403870000000011E-4</c:v>
                </c:pt>
                <c:pt idx="40">
                  <c:v>1.771677999999888E-4</c:v>
                </c:pt>
                <c:pt idx="41">
                  <c:v>3.5633333333301431E-4</c:v>
                </c:pt>
                <c:pt idx="42">
                  <c:v>-1.206666666669909E-4</c:v>
                </c:pt>
                <c:pt idx="43">
                  <c:v>1.646666666669794E-4</c:v>
                </c:pt>
                <c:pt idx="44">
                  <c:v>1.2300000000003969E-4</c:v>
                </c:pt>
                <c:pt idx="45">
                  <c:v>-3.3466666666698291E-4</c:v>
                </c:pt>
                <c:pt idx="46">
                  <c:v>-2.30000000000008E-4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5D-47F3-8FBD-12908E5CE517}"/>
            </c:ext>
          </c:extLst>
        </c:ser>
        <c:ser>
          <c:idx val="4"/>
          <c:order val="4"/>
          <c:tx>
            <c:v>BES_TR3_one260_C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-4.5206666666702811E-4</c:v>
                </c:pt>
                <c:pt idx="2">
                  <c:v>0</c:v>
                </c:pt>
                <c:pt idx="3">
                  <c:v>0</c:v>
                </c:pt>
                <c:pt idx="4">
                  <c:v>-1.5866666666661261E-4</c:v>
                </c:pt>
                <c:pt idx="5">
                  <c:v>3.6533333333299561E-4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2.655074666667988E-4</c:v>
                </c:pt>
                <c:pt idx="9">
                  <c:v>-3.6689053333301141E-4</c:v>
                </c:pt>
                <c:pt idx="10">
                  <c:v>-3.4028826666798739E-4</c:v>
                </c:pt>
                <c:pt idx="11">
                  <c:v>-2.9430986666489911E-4</c:v>
                </c:pt>
                <c:pt idx="12">
                  <c:v>-2.7559266666798981E-4</c:v>
                </c:pt>
                <c:pt idx="13">
                  <c:v>2.5883226666811859E-4</c:v>
                </c:pt>
                <c:pt idx="14">
                  <c:v>-2.7678813333342772E-4</c:v>
                </c:pt>
                <c:pt idx="15">
                  <c:v>-0.74310209000000005</c:v>
                </c:pt>
                <c:pt idx="16">
                  <c:v>-2.2163293982666681</c:v>
                </c:pt>
                <c:pt idx="17">
                  <c:v>-2.3694442669333329</c:v>
                </c:pt>
                <c:pt idx="18">
                  <c:v>-2.6725832960000009</c:v>
                </c:pt>
                <c:pt idx="19">
                  <c:v>-2.7991767394666649</c:v>
                </c:pt>
                <c:pt idx="20">
                  <c:v>-3.0471346097333338</c:v>
                </c:pt>
                <c:pt idx="21">
                  <c:v>-3.2251951212000001</c:v>
                </c:pt>
                <c:pt idx="22">
                  <c:v>-3.2139585913333351</c:v>
                </c:pt>
                <c:pt idx="23">
                  <c:v>-2.5032230421333339</c:v>
                </c:pt>
                <c:pt idx="24">
                  <c:v>-3.394481329066668</c:v>
                </c:pt>
                <c:pt idx="25">
                  <c:v>-3.0667236720000002</c:v>
                </c:pt>
                <c:pt idx="26">
                  <c:v>-3.1891584819999999</c:v>
                </c:pt>
                <c:pt idx="27">
                  <c:v>-2.9461276608000011</c:v>
                </c:pt>
                <c:pt idx="28">
                  <c:v>-3.0042932265333331</c:v>
                </c:pt>
                <c:pt idx="29">
                  <c:v>-2.7758818397333349</c:v>
                </c:pt>
                <c:pt idx="30">
                  <c:v>-2.3497718281333331</c:v>
                </c:pt>
                <c:pt idx="31">
                  <c:v>-2.2048011872000011</c:v>
                </c:pt>
                <c:pt idx="32">
                  <c:v>-1.7970873906666649</c:v>
                </c:pt>
                <c:pt idx="33">
                  <c:v>-1.6057949395999991</c:v>
                </c:pt>
                <c:pt idx="34">
                  <c:v>-1.4460904606666649</c:v>
                </c:pt>
                <c:pt idx="35">
                  <c:v>-0.90636695453333305</c:v>
                </c:pt>
                <c:pt idx="36">
                  <c:v>-0.55126926800000109</c:v>
                </c:pt>
                <c:pt idx="37">
                  <c:v>-0.18055472600000011</c:v>
                </c:pt>
                <c:pt idx="38">
                  <c:v>3.6691893333387632E-4</c:v>
                </c:pt>
                <c:pt idx="39">
                  <c:v>4.1771826666703321E-4</c:v>
                </c:pt>
                <c:pt idx="40">
                  <c:v>-6.3776266666676351E-5</c:v>
                </c:pt>
                <c:pt idx="41">
                  <c:v>2.5999999999970491E-5</c:v>
                </c:pt>
                <c:pt idx="42">
                  <c:v>9.9000000000071253E-5</c:v>
                </c:pt>
                <c:pt idx="43">
                  <c:v>5.6999999999973738E-5</c:v>
                </c:pt>
                <c:pt idx="44">
                  <c:v>2.206666666669799E-4</c:v>
                </c:pt>
                <c:pt idx="45">
                  <c:v>-4.916666666670011E-4</c:v>
                </c:pt>
                <c:pt idx="46">
                  <c:v>0</c:v>
                </c:pt>
                <c:pt idx="47">
                  <c:v>2.0666666666702141E-4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5D-47F3-8FBD-12908E5CE517}"/>
            </c:ext>
          </c:extLst>
        </c:ser>
        <c:ser>
          <c:idx val="5"/>
          <c:order val="5"/>
          <c:tx>
            <c:v>BES_TR3_one299_B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Net_kW!$H$2:$H$49</c:f>
              <c:numCache>
                <c:formatCode>#,##0.000</c:formatCode>
                <c:ptCount val="48"/>
                <c:pt idx="0">
                  <c:v>-4.2899999999999883E-4</c:v>
                </c:pt>
                <c:pt idx="1">
                  <c:v>-3.7300000000001221E-4</c:v>
                </c:pt>
                <c:pt idx="2">
                  <c:v>-4.200000000000037E-4</c:v>
                </c:pt>
                <c:pt idx="3">
                  <c:v>-3.8099999999999939E-4</c:v>
                </c:pt>
                <c:pt idx="4">
                  <c:v>1.5900000000002021E-4</c:v>
                </c:pt>
                <c:pt idx="5">
                  <c:v>0</c:v>
                </c:pt>
                <c:pt idx="6">
                  <c:v>2.5333333333299462E-4</c:v>
                </c:pt>
                <c:pt idx="7">
                  <c:v>8.38632000003392E-5</c:v>
                </c:pt>
                <c:pt idx="8">
                  <c:v>2.6550746666679619E-4</c:v>
                </c:pt>
                <c:pt idx="9">
                  <c:v>3.8177613333298388E-4</c:v>
                </c:pt>
                <c:pt idx="10">
                  <c:v>4.8237839999898391E-4</c:v>
                </c:pt>
                <c:pt idx="11">
                  <c:v>1.420234666681397E-4</c:v>
                </c:pt>
                <c:pt idx="12">
                  <c:v>4.2807399999889029E-4</c:v>
                </c:pt>
                <c:pt idx="13">
                  <c:v>2.6749893333499752E-4</c:v>
                </c:pt>
                <c:pt idx="14">
                  <c:v>-1.48121466670148E-4</c:v>
                </c:pt>
                <c:pt idx="15">
                  <c:v>2.7391000000021037E-4</c:v>
                </c:pt>
                <c:pt idx="16">
                  <c:v>1.926840000188168E-5</c:v>
                </c:pt>
                <c:pt idx="17">
                  <c:v>-0.79899260026666585</c:v>
                </c:pt>
                <c:pt idx="18">
                  <c:v>-2.4672983626666678</c:v>
                </c:pt>
                <c:pt idx="19">
                  <c:v>-2.5996474061333319</c:v>
                </c:pt>
                <c:pt idx="20">
                  <c:v>-2.9394592764000009</c:v>
                </c:pt>
                <c:pt idx="21">
                  <c:v>-3.165137354533333</c:v>
                </c:pt>
                <c:pt idx="22">
                  <c:v>-3.0183622580000011</c:v>
                </c:pt>
                <c:pt idx="23">
                  <c:v>-3.0719443754666669</c:v>
                </c:pt>
                <c:pt idx="24">
                  <c:v>-3.300321329066668</c:v>
                </c:pt>
                <c:pt idx="25">
                  <c:v>-3.2417036719999999</c:v>
                </c:pt>
                <c:pt idx="26">
                  <c:v>-3.284158482</c:v>
                </c:pt>
                <c:pt idx="27">
                  <c:v>-3.0711743274666681</c:v>
                </c:pt>
                <c:pt idx="28">
                  <c:v>-2.8888898932</c:v>
                </c:pt>
                <c:pt idx="29">
                  <c:v>-2.7360301730666681</c:v>
                </c:pt>
                <c:pt idx="30">
                  <c:v>-2.6261284948000001</c:v>
                </c:pt>
                <c:pt idx="31">
                  <c:v>-2.1738058538666678</c:v>
                </c:pt>
                <c:pt idx="32">
                  <c:v>-2.1168000573333319</c:v>
                </c:pt>
                <c:pt idx="33">
                  <c:v>-1.7067862729333321</c:v>
                </c:pt>
                <c:pt idx="34">
                  <c:v>-1.3676253939999989</c:v>
                </c:pt>
                <c:pt idx="35">
                  <c:v>-0.97740162120000007</c:v>
                </c:pt>
                <c:pt idx="36">
                  <c:v>-0.50709160133333508</c:v>
                </c:pt>
                <c:pt idx="37">
                  <c:v>-0.25550405933333398</c:v>
                </c:pt>
                <c:pt idx="38">
                  <c:v>-1.2450081066666171E-2</c:v>
                </c:pt>
                <c:pt idx="39">
                  <c:v>1.1718266667015699E-5</c:v>
                </c:pt>
                <c:pt idx="40">
                  <c:v>-4.8777626666673962E-4</c:v>
                </c:pt>
                <c:pt idx="41">
                  <c:v>2.4033333333406401E-4</c:v>
                </c:pt>
                <c:pt idx="42">
                  <c:v>3.66666666670179E-5</c:v>
                </c:pt>
                <c:pt idx="43">
                  <c:v>-2.116666666698297E-4</c:v>
                </c:pt>
                <c:pt idx="44">
                  <c:v>2.7166666667022282E-4</c:v>
                </c:pt>
                <c:pt idx="45">
                  <c:v>2.7233333333304127E-4</c:v>
                </c:pt>
                <c:pt idx="46">
                  <c:v>1.040000000000207E-4</c:v>
                </c:pt>
                <c:pt idx="47">
                  <c:v>-1.0000000000010001E-6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5D-47F3-8FBD-12908E5CE517}"/>
            </c:ext>
          </c:extLst>
        </c:ser>
        <c:ser>
          <c:idx val="6"/>
          <c:order val="6"/>
          <c:tx>
            <c:v>BES_TR3_one313_A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Net_kW!$I$2:$I$49</c:f>
              <c:numCache>
                <c:formatCode>#,##0.000</c:formatCode>
                <c:ptCount val="48"/>
                <c:pt idx="0">
                  <c:v>-2.4733333333304408E-4</c:v>
                </c:pt>
                <c:pt idx="1">
                  <c:v>0</c:v>
                </c:pt>
                <c:pt idx="2">
                  <c:v>-2.7533333333301663E-4</c:v>
                </c:pt>
                <c:pt idx="3">
                  <c:v>-1.2666666666699691E-4</c:v>
                </c:pt>
                <c:pt idx="4">
                  <c:v>-3.6699999999999228E-4</c:v>
                </c:pt>
                <c:pt idx="5">
                  <c:v>-3.6699999999999228E-4</c:v>
                </c:pt>
                <c:pt idx="6">
                  <c:v>1.4033333333299261E-4</c:v>
                </c:pt>
                <c:pt idx="7">
                  <c:v>-4.2693593333301139E-4</c:v>
                </c:pt>
                <c:pt idx="8">
                  <c:v>-2.7353606666688512E-4</c:v>
                </c:pt>
                <c:pt idx="9">
                  <c:v>3.5383210000000659E-4</c:v>
                </c:pt>
                <c:pt idx="10">
                  <c:v>-4.5054953333403808E-4</c:v>
                </c:pt>
                <c:pt idx="11">
                  <c:v>-8.2482399998973221E-5</c:v>
                </c:pt>
                <c:pt idx="12">
                  <c:v>-3.7794450000117052E-4</c:v>
                </c:pt>
                <c:pt idx="13">
                  <c:v>-3.7009133331933342E-5</c:v>
                </c:pt>
                <c:pt idx="14">
                  <c:v>2.029422333330588E-4</c:v>
                </c:pt>
                <c:pt idx="15">
                  <c:v>-3.2176750000012522E-4</c:v>
                </c:pt>
                <c:pt idx="16">
                  <c:v>3.7095129999897841E-4</c:v>
                </c:pt>
                <c:pt idx="17">
                  <c:v>4.7546646666707382E-4</c:v>
                </c:pt>
                <c:pt idx="18">
                  <c:v>-1.5136301886666681</c:v>
                </c:pt>
                <c:pt idx="19">
                  <c:v>-2.123206554599999</c:v>
                </c:pt>
                <c:pt idx="20">
                  <c:v>-2.1530230406333342</c:v>
                </c:pt>
                <c:pt idx="21">
                  <c:v>-2.2550681742333332</c:v>
                </c:pt>
                <c:pt idx="22">
                  <c:v>-2.4214154435000008</c:v>
                </c:pt>
                <c:pt idx="23">
                  <c:v>-2.3292743649333332</c:v>
                </c:pt>
                <c:pt idx="24">
                  <c:v>-2.4091164968000012</c:v>
                </c:pt>
                <c:pt idx="25">
                  <c:v>-2.3674942539999999</c:v>
                </c:pt>
                <c:pt idx="26">
                  <c:v>-2.1671118615</c:v>
                </c:pt>
                <c:pt idx="27">
                  <c:v>-2.262763412266668</c:v>
                </c:pt>
                <c:pt idx="28">
                  <c:v>-1.8411429199</c:v>
                </c:pt>
                <c:pt idx="29">
                  <c:v>-0.87298262980000096</c:v>
                </c:pt>
                <c:pt idx="30">
                  <c:v>-1.7344640377666669</c:v>
                </c:pt>
                <c:pt idx="31">
                  <c:v>-1.395776557066668</c:v>
                </c:pt>
                <c:pt idx="32">
                  <c:v>-0.56766770966666891</c:v>
                </c:pt>
                <c:pt idx="33">
                  <c:v>-0.53059345469999908</c:v>
                </c:pt>
                <c:pt idx="34">
                  <c:v>-0.69472746216666614</c:v>
                </c:pt>
                <c:pt idx="35">
                  <c:v>-0.41622421590000008</c:v>
                </c:pt>
                <c:pt idx="36">
                  <c:v>-0.39044023433333402</c:v>
                </c:pt>
                <c:pt idx="37">
                  <c:v>-0.34446944449999989</c:v>
                </c:pt>
                <c:pt idx="38">
                  <c:v>-4.4941560799999919E-2</c:v>
                </c:pt>
                <c:pt idx="39">
                  <c:v>4.7037203333299971E-4</c:v>
                </c:pt>
                <c:pt idx="40">
                  <c:v>-5.7498866666949588E-5</c:v>
                </c:pt>
                <c:pt idx="41">
                  <c:v>-1.0033333333303581E-4</c:v>
                </c:pt>
                <c:pt idx="42">
                  <c:v>-2.5700000000006268E-4</c:v>
                </c:pt>
                <c:pt idx="43">
                  <c:v>-3.5533333333404032E-4</c:v>
                </c:pt>
                <c:pt idx="44">
                  <c:v>-2.7766666666706458E-4</c:v>
                </c:pt>
                <c:pt idx="45">
                  <c:v>4.1600000000008302E-4</c:v>
                </c:pt>
                <c:pt idx="46">
                  <c:v>-1.6133333333290259E-4</c:v>
                </c:pt>
                <c:pt idx="47">
                  <c:v>-1.733333333329978E-4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5D-47F3-8FBD-12908E5CE517}"/>
            </c:ext>
          </c:extLst>
        </c:ser>
        <c:ser>
          <c:idx val="7"/>
          <c:order val="7"/>
          <c:tx>
            <c:v>BES_TR3_one42_B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Net_kW!$J$2:$J$49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-6.2999999999993617E-5</c:v>
                </c:pt>
                <c:pt idx="4">
                  <c:v>-6.2999999999993617E-5</c:v>
                </c:pt>
                <c:pt idx="5">
                  <c:v>0</c:v>
                </c:pt>
                <c:pt idx="6">
                  <c:v>0</c:v>
                </c:pt>
                <c:pt idx="7">
                  <c:v>-1.070303333333342E-5</c:v>
                </c:pt>
                <c:pt idx="8">
                  <c:v>3.7031903333344113E-4</c:v>
                </c:pt>
                <c:pt idx="9">
                  <c:v>4.8413745000000508E-4</c:v>
                </c:pt>
                <c:pt idx="10">
                  <c:v>2.7824776666546258E-4</c:v>
                </c:pt>
                <c:pt idx="11">
                  <c:v>-2.0272946666544109E-4</c:v>
                </c:pt>
                <c:pt idx="12">
                  <c:v>-1.2768583334543671E-5</c:v>
                </c:pt>
                <c:pt idx="13">
                  <c:v>-6.5521766665188608E-5</c:v>
                </c:pt>
                <c:pt idx="14">
                  <c:v>2.8547705000003809E-4</c:v>
                </c:pt>
                <c:pt idx="15">
                  <c:v>-0.3988398287499999</c:v>
                </c:pt>
                <c:pt idx="16">
                  <c:v>-1.709185856816668</c:v>
                </c:pt>
                <c:pt idx="17">
                  <c:v>-2.0814729668999998</c:v>
                </c:pt>
                <c:pt idx="18">
                  <c:v>-2.2125208423333351</c:v>
                </c:pt>
                <c:pt idx="19">
                  <c:v>-2.5227738803666648</c:v>
                </c:pt>
                <c:pt idx="20">
                  <c:v>-2.6150791918500009</c:v>
                </c:pt>
                <c:pt idx="21">
                  <c:v>-2.78389198105</c:v>
                </c:pt>
                <c:pt idx="22">
                  <c:v>1.873159166662364E-4</c:v>
                </c:pt>
                <c:pt idx="23">
                  <c:v>-0.60380420353332998</c:v>
                </c:pt>
                <c:pt idx="24">
                  <c:v>-2.3756932962666681</c:v>
                </c:pt>
                <c:pt idx="25">
                  <c:v>-2.8885493963333331</c:v>
                </c:pt>
                <c:pt idx="26">
                  <c:v>-2.8034176717500001</c:v>
                </c:pt>
                <c:pt idx="27">
                  <c:v>-2.7550088698666682</c:v>
                </c:pt>
                <c:pt idx="28">
                  <c:v>-2.56372140655</c:v>
                </c:pt>
                <c:pt idx="29">
                  <c:v>-2.4603704014333352</c:v>
                </c:pt>
                <c:pt idx="30">
                  <c:v>-2.29123743295</c:v>
                </c:pt>
                <c:pt idx="31">
                  <c:v>-1.9996698721333339</c:v>
                </c:pt>
                <c:pt idx="32">
                  <c:v>-1.6571450501666649</c:v>
                </c:pt>
                <c:pt idx="33">
                  <c:v>-1.5445903638166649</c:v>
                </c:pt>
                <c:pt idx="34">
                  <c:v>-1.257908261416665</c:v>
                </c:pt>
                <c:pt idx="35">
                  <c:v>-1.0397059185499999</c:v>
                </c:pt>
                <c:pt idx="36">
                  <c:v>-0.77455231783333445</c:v>
                </c:pt>
                <c:pt idx="37">
                  <c:v>-0.44217421858333289</c:v>
                </c:pt>
                <c:pt idx="38">
                  <c:v>-0.24081798759999989</c:v>
                </c:pt>
                <c:pt idx="39">
                  <c:v>-5.1764954850000003E-2</c:v>
                </c:pt>
                <c:pt idx="40">
                  <c:v>-1.643042333333497E-4</c:v>
                </c:pt>
                <c:pt idx="41">
                  <c:v>-1.19000000000008E-4</c:v>
                </c:pt>
                <c:pt idx="42">
                  <c:v>0</c:v>
                </c:pt>
                <c:pt idx="43">
                  <c:v>-1.400000000000012E-5</c:v>
                </c:pt>
                <c:pt idx="44">
                  <c:v>-1.12000000000001E-4</c:v>
                </c:pt>
                <c:pt idx="45">
                  <c:v>0</c:v>
                </c:pt>
                <c:pt idx="46">
                  <c:v>-1.2600000000001499E-4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5D-47F3-8FBD-12908E5CE517}"/>
            </c:ext>
          </c:extLst>
        </c:ser>
        <c:ser>
          <c:idx val="8"/>
          <c:order val="8"/>
          <c:tx>
            <c:v>BES_TR3_one320_B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Net_kW!$K$2:$K$49</c:f>
              <c:numCache>
                <c:formatCode>#,##0.000</c:formatCode>
                <c:ptCount val="48"/>
                <c:pt idx="0">
                  <c:v>0</c:v>
                </c:pt>
                <c:pt idx="1">
                  <c:v>4.059999999999897E-4</c:v>
                </c:pt>
                <c:pt idx="2">
                  <c:v>0</c:v>
                </c:pt>
                <c:pt idx="3">
                  <c:v>-4.3199999999998789E-4</c:v>
                </c:pt>
                <c:pt idx="4">
                  <c:v>-1.620000000000926E-4</c:v>
                </c:pt>
                <c:pt idx="5">
                  <c:v>0</c:v>
                </c:pt>
                <c:pt idx="6">
                  <c:v>4.059999999999897E-4</c:v>
                </c:pt>
                <c:pt idx="7">
                  <c:v>-4.4080346666667408E-4</c:v>
                </c:pt>
                <c:pt idx="8">
                  <c:v>-8.5492533333203502E-5</c:v>
                </c:pt>
                <c:pt idx="9">
                  <c:v>1.8344280000000271E-4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4.874073333319684E-4</c:v>
                </c:pt>
                <c:pt idx="13">
                  <c:v>2.5883226666811859E-4</c:v>
                </c:pt>
                <c:pt idx="14">
                  <c:v>2.6054519999996201E-4</c:v>
                </c:pt>
                <c:pt idx="15">
                  <c:v>-0.26022308999999982</c:v>
                </c:pt>
                <c:pt idx="16">
                  <c:v>-2.0857197316000011</c:v>
                </c:pt>
                <c:pt idx="17">
                  <c:v>-0.99126660026666991</c:v>
                </c:pt>
                <c:pt idx="18">
                  <c:v>-1.4748220293333381</c:v>
                </c:pt>
                <c:pt idx="19">
                  <c:v>-2.2699500727999991</c:v>
                </c:pt>
                <c:pt idx="20">
                  <c:v>-2.975467943066668</c:v>
                </c:pt>
                <c:pt idx="21">
                  <c:v>-3.2024401212</c:v>
                </c:pt>
                <c:pt idx="22">
                  <c:v>-3.338977924666668</c:v>
                </c:pt>
                <c:pt idx="23">
                  <c:v>-3.2301607088000002</c:v>
                </c:pt>
                <c:pt idx="24">
                  <c:v>-3.2744173290666678</c:v>
                </c:pt>
                <c:pt idx="25">
                  <c:v>-2.5942396720000001</c:v>
                </c:pt>
                <c:pt idx="26">
                  <c:v>-2.8394288153333331</c:v>
                </c:pt>
                <c:pt idx="27">
                  <c:v>-2.8373886608000021</c:v>
                </c:pt>
                <c:pt idx="28">
                  <c:v>-3.0153035598666671</c:v>
                </c:pt>
                <c:pt idx="29">
                  <c:v>-2.7722026397333348</c:v>
                </c:pt>
                <c:pt idx="30">
                  <c:v>-2.5220615614666668</c:v>
                </c:pt>
                <c:pt idx="31">
                  <c:v>-2.3851751872000011</c:v>
                </c:pt>
                <c:pt idx="32">
                  <c:v>-1.958497057333332</c:v>
                </c:pt>
                <c:pt idx="33">
                  <c:v>-1.6791012729333319</c:v>
                </c:pt>
                <c:pt idx="34">
                  <c:v>-1.411849393999999</c:v>
                </c:pt>
                <c:pt idx="35">
                  <c:v>-1.0204896212000001</c:v>
                </c:pt>
                <c:pt idx="36">
                  <c:v>-0.84758360133333477</c:v>
                </c:pt>
                <c:pt idx="37">
                  <c:v>-0.43831772600000007</c:v>
                </c:pt>
                <c:pt idx="38">
                  <c:v>-0.29367808106666649</c:v>
                </c:pt>
                <c:pt idx="39">
                  <c:v>2.117182666670214E-4</c:v>
                </c:pt>
                <c:pt idx="40">
                  <c:v>4.5509040000031592E-4</c:v>
                </c:pt>
                <c:pt idx="41">
                  <c:v>4.236666666669886E-4</c:v>
                </c:pt>
                <c:pt idx="42">
                  <c:v>1.5566666666699811E-4</c:v>
                </c:pt>
                <c:pt idx="43">
                  <c:v>2.8499999999997971E-4</c:v>
                </c:pt>
                <c:pt idx="44">
                  <c:v>3.9266666666698541E-4</c:v>
                </c:pt>
                <c:pt idx="45">
                  <c:v>-2.9299999999998771E-4</c:v>
                </c:pt>
                <c:pt idx="46">
                  <c:v>3.5966666667008868E-4</c:v>
                </c:pt>
                <c:pt idx="47">
                  <c:v>1.02999999999992E-4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5D-47F3-8FBD-12908E5CE517}"/>
            </c:ext>
          </c:extLst>
        </c:ser>
        <c:ser>
          <c:idx val="9"/>
          <c:order val="9"/>
          <c:tx>
            <c:v>BES_TR3_one346_C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Net_kW!$L$2:$L$49</c:f>
              <c:numCache>
                <c:formatCode>#,##0.000</c:formatCode>
                <c:ptCount val="48"/>
                <c:pt idx="0">
                  <c:v>-4.1599999999990261E-4</c:v>
                </c:pt>
                <c:pt idx="1">
                  <c:v>1.739999999999936E-4</c:v>
                </c:pt>
                <c:pt idx="2">
                  <c:v>-2.9799999999989562E-4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-1.2399999999999911E-4</c:v>
                </c:pt>
                <c:pt idx="7">
                  <c:v>-4.4080346666667408E-4</c:v>
                </c:pt>
                <c:pt idx="8">
                  <c:v>2.6550746666679451E-4</c:v>
                </c:pt>
                <c:pt idx="9">
                  <c:v>4.2644279999998203E-4</c:v>
                </c:pt>
                <c:pt idx="10">
                  <c:v>3.6171173333199302E-4</c:v>
                </c:pt>
                <c:pt idx="11">
                  <c:v>3.1602346666803621E-4</c:v>
                </c:pt>
                <c:pt idx="12">
                  <c:v>8.140733333206196E-5</c:v>
                </c:pt>
                <c:pt idx="13">
                  <c:v>1.3483226666810569E-4</c:v>
                </c:pt>
                <c:pt idx="14">
                  <c:v>4.0545199999852948E-5</c:v>
                </c:pt>
                <c:pt idx="15">
                  <c:v>-0.98822368999999965</c:v>
                </c:pt>
                <c:pt idx="16">
                  <c:v>-2.164964064933335</c:v>
                </c:pt>
                <c:pt idx="17">
                  <c:v>-2.4427746336</c:v>
                </c:pt>
                <c:pt idx="18">
                  <c:v>-1.783636996000002</c:v>
                </c:pt>
                <c:pt idx="19">
                  <c:v>-2.9111959394666651</c:v>
                </c:pt>
                <c:pt idx="20">
                  <c:v>-3.0733059430666678</c:v>
                </c:pt>
                <c:pt idx="21">
                  <c:v>-2.9197937212</c:v>
                </c:pt>
                <c:pt idx="22">
                  <c:v>-1.9453016246666679</c:v>
                </c:pt>
                <c:pt idx="23">
                  <c:v>-3.1980500421333331</c:v>
                </c:pt>
                <c:pt idx="24">
                  <c:v>-2.9915519957333352</c:v>
                </c:pt>
                <c:pt idx="25">
                  <c:v>-1.5563166719999999</c:v>
                </c:pt>
                <c:pt idx="26">
                  <c:v>-2.3761384819999991</c:v>
                </c:pt>
                <c:pt idx="27">
                  <c:v>-2.7635856608000009</c:v>
                </c:pt>
                <c:pt idx="28">
                  <c:v>-2.6633965598666669</c:v>
                </c:pt>
                <c:pt idx="29">
                  <c:v>-2.3597348397333349</c:v>
                </c:pt>
                <c:pt idx="30">
                  <c:v>-2.0529938281333329</c:v>
                </c:pt>
                <c:pt idx="31">
                  <c:v>-2.1249511872000011</c:v>
                </c:pt>
                <c:pt idx="32">
                  <c:v>-1.8901880573333321</c:v>
                </c:pt>
                <c:pt idx="33">
                  <c:v>-1.501392939599999</c:v>
                </c:pt>
                <c:pt idx="34">
                  <c:v>-1.100236060666665</c:v>
                </c:pt>
                <c:pt idx="35">
                  <c:v>-0.31846395453333309</c:v>
                </c:pt>
                <c:pt idx="36">
                  <c:v>-0.39042260133333512</c:v>
                </c:pt>
                <c:pt idx="37">
                  <c:v>-6.0268059333333013E-2</c:v>
                </c:pt>
                <c:pt idx="38">
                  <c:v>-0.18449174773333321</c:v>
                </c:pt>
                <c:pt idx="39">
                  <c:v>4.0005159999995099E-4</c:v>
                </c:pt>
                <c:pt idx="40">
                  <c:v>-3.0377626666666663E-4</c:v>
                </c:pt>
                <c:pt idx="41">
                  <c:v>1.9500000000005621E-4</c:v>
                </c:pt>
                <c:pt idx="42">
                  <c:v>-1.233333333305886E-5</c:v>
                </c:pt>
                <c:pt idx="43">
                  <c:v>3.3466666666703842E-4</c:v>
                </c:pt>
                <c:pt idx="44">
                  <c:v>-1.3033333333301031E-4</c:v>
                </c:pt>
                <c:pt idx="45">
                  <c:v>9.8666666666968883E-5</c:v>
                </c:pt>
                <c:pt idx="46">
                  <c:v>-1.593333333330671E-4</c:v>
                </c:pt>
                <c:pt idx="47">
                  <c:v>1.2233333333300231E-4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B5D-47F3-8FBD-12908E5CE517}"/>
            </c:ext>
          </c:extLst>
        </c:ser>
        <c:ser>
          <c:idx val="10"/>
          <c:order val="10"/>
          <c:tx>
            <c:v>BES_TR3_one363_C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Net_kW!$M$2:$M$49</c:f>
              <c:numCache>
                <c:formatCode>#,##0.000</c:formatCode>
                <c:ptCount val="48"/>
                <c:pt idx="0">
                  <c:v>0</c:v>
                </c:pt>
                <c:pt idx="1">
                  <c:v>-1.043333333330121E-4</c:v>
                </c:pt>
                <c:pt idx="2">
                  <c:v>-3.6700000000000621E-4</c:v>
                </c:pt>
                <c:pt idx="3">
                  <c:v>1.5199999999999941E-4</c:v>
                </c:pt>
                <c:pt idx="4">
                  <c:v>1.8999999999989861E-4</c:v>
                </c:pt>
                <c:pt idx="5">
                  <c:v>0</c:v>
                </c:pt>
                <c:pt idx="6">
                  <c:v>0</c:v>
                </c:pt>
                <c:pt idx="7">
                  <c:v>-3.7840173333333888E-4</c:v>
                </c:pt>
                <c:pt idx="8">
                  <c:v>1.327537333333968E-4</c:v>
                </c:pt>
                <c:pt idx="9">
                  <c:v>-2.8677860000000249E-4</c:v>
                </c:pt>
                <c:pt idx="10">
                  <c:v>-3.2814413333401288E-4</c:v>
                </c:pt>
                <c:pt idx="11">
                  <c:v>7.1011733334014338E-5</c:v>
                </c:pt>
                <c:pt idx="12">
                  <c:v>-2.882963333340482E-4</c:v>
                </c:pt>
                <c:pt idx="13">
                  <c:v>-1.9958386666596439E-4</c:v>
                </c:pt>
                <c:pt idx="14">
                  <c:v>2.0272599999926481E-5</c:v>
                </c:pt>
                <c:pt idx="15">
                  <c:v>2.8954999999997181E-5</c:v>
                </c:pt>
                <c:pt idx="16">
                  <c:v>-3.6869913333403842E-4</c:v>
                </c:pt>
                <c:pt idx="17">
                  <c:v>4.9959986666703315E-4</c:v>
                </c:pt>
                <c:pt idx="18">
                  <c:v>-0.16040168133333399</c:v>
                </c:pt>
                <c:pt idx="19">
                  <c:v>-1.1485113697333329</c:v>
                </c:pt>
                <c:pt idx="20">
                  <c:v>-1.3660344715333339</c:v>
                </c:pt>
                <c:pt idx="21">
                  <c:v>-1.5876525606</c:v>
                </c:pt>
                <c:pt idx="22">
                  <c:v>-1.6384889623333341</c:v>
                </c:pt>
                <c:pt idx="23">
                  <c:v>-1.6009603544</c:v>
                </c:pt>
                <c:pt idx="24">
                  <c:v>-1.6637216645333339</c:v>
                </c:pt>
                <c:pt idx="25">
                  <c:v>-1.6551608360000001</c:v>
                </c:pt>
                <c:pt idx="26">
                  <c:v>-1.568832241</c:v>
                </c:pt>
                <c:pt idx="27">
                  <c:v>-1.535072163733334</c:v>
                </c:pt>
                <c:pt idx="28">
                  <c:v>-1.4294879465999999</c:v>
                </c:pt>
                <c:pt idx="29">
                  <c:v>-1.371019086533334</c:v>
                </c:pt>
                <c:pt idx="30">
                  <c:v>-1.2222222474</c:v>
                </c:pt>
                <c:pt idx="31">
                  <c:v>-1.100516593600001</c:v>
                </c:pt>
                <c:pt idx="32">
                  <c:v>-0.84519436199999887</c:v>
                </c:pt>
                <c:pt idx="33">
                  <c:v>-3.496364666657481E-4</c:v>
                </c:pt>
                <c:pt idx="34">
                  <c:v>4.2013633333404238E-4</c:v>
                </c:pt>
                <c:pt idx="35">
                  <c:v>-1.6281060000000741E-4</c:v>
                </c:pt>
                <c:pt idx="36">
                  <c:v>-8.0467333334000024E-5</c:v>
                </c:pt>
                <c:pt idx="37">
                  <c:v>1.9397033333298089E-4</c:v>
                </c:pt>
                <c:pt idx="38">
                  <c:v>-4.2770719999962742E-4</c:v>
                </c:pt>
                <c:pt idx="39">
                  <c:v>-2.926408666670266E-4</c:v>
                </c:pt>
                <c:pt idx="40">
                  <c:v>-2.2055480000038319E-4</c:v>
                </c:pt>
                <c:pt idx="41">
                  <c:v>-5.0000000000005596E-4</c:v>
                </c:pt>
                <c:pt idx="42">
                  <c:v>2.8799999999984388E-4</c:v>
                </c:pt>
                <c:pt idx="43">
                  <c:v>-3.3733333333302312E-4</c:v>
                </c:pt>
                <c:pt idx="44">
                  <c:v>-3.3533333333302112E-4</c:v>
                </c:pt>
                <c:pt idx="45">
                  <c:v>-3.5333333333298361E-4</c:v>
                </c:pt>
                <c:pt idx="46">
                  <c:v>1.5199999999999941E-4</c:v>
                </c:pt>
                <c:pt idx="47">
                  <c:v>1.8999999999989861E-4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B5D-47F3-8FBD-12908E5CE517}"/>
            </c:ext>
          </c:extLst>
        </c:ser>
        <c:ser>
          <c:idx val="11"/>
          <c:order val="11"/>
          <c:tx>
            <c:v>BES_TR3_one366_B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Net_kW!$N$2:$N$49</c:f>
              <c:numCache>
                <c:formatCode>#,##0.000</c:formatCode>
                <c:ptCount val="48"/>
                <c:pt idx="0">
                  <c:v>3.9466666666698741E-4</c:v>
                </c:pt>
                <c:pt idx="1">
                  <c:v>2.1533333333401131E-4</c:v>
                </c:pt>
                <c:pt idx="2">
                  <c:v>-4.9099999999990818E-4</c:v>
                </c:pt>
                <c:pt idx="3">
                  <c:v>2.8366666666701512E-4</c:v>
                </c:pt>
                <c:pt idx="4">
                  <c:v>0.29093733333333299</c:v>
                </c:pt>
                <c:pt idx="5">
                  <c:v>9.5999999999999905E-2</c:v>
                </c:pt>
                <c:pt idx="6">
                  <c:v>4.4999999999999998E-2</c:v>
                </c:pt>
                <c:pt idx="7">
                  <c:v>0.1849375982666667</c:v>
                </c:pt>
                <c:pt idx="8">
                  <c:v>0.1064367537333334</c:v>
                </c:pt>
                <c:pt idx="9">
                  <c:v>5.1054221399999988E-2</c:v>
                </c:pt>
                <c:pt idx="10">
                  <c:v>-3.5314413333401018E-4</c:v>
                </c:pt>
                <c:pt idx="11">
                  <c:v>-5.0988266665996651E-5</c:v>
                </c:pt>
                <c:pt idx="12">
                  <c:v>-1.7929633333407799E-4</c:v>
                </c:pt>
                <c:pt idx="13">
                  <c:v>-1.2925053333257E-4</c:v>
                </c:pt>
                <c:pt idx="14">
                  <c:v>2.409392666670174E-4</c:v>
                </c:pt>
                <c:pt idx="15">
                  <c:v>-3.6637833333319492E-4</c:v>
                </c:pt>
                <c:pt idx="16">
                  <c:v>4.6063419999886612E-4</c:v>
                </c:pt>
                <c:pt idx="17">
                  <c:v>6.453320000021634E-5</c:v>
                </c:pt>
                <c:pt idx="18">
                  <c:v>-4.4234800000064739E-4</c:v>
                </c:pt>
                <c:pt idx="19">
                  <c:v>-3.5236973333296889E-4</c:v>
                </c:pt>
                <c:pt idx="20">
                  <c:v>-0.98029747153333402</c:v>
                </c:pt>
                <c:pt idx="21">
                  <c:v>-1.5966525605999999</c:v>
                </c:pt>
                <c:pt idx="22">
                  <c:v>-1.6308222956666669</c:v>
                </c:pt>
                <c:pt idx="23">
                  <c:v>-0.64292668773332995</c:v>
                </c:pt>
                <c:pt idx="24">
                  <c:v>-1.5167143978666671</c:v>
                </c:pt>
                <c:pt idx="25">
                  <c:v>-1.548104702666667</c:v>
                </c:pt>
                <c:pt idx="26">
                  <c:v>-1.5168192410000001</c:v>
                </c:pt>
                <c:pt idx="27">
                  <c:v>-1.3267251637333339</c:v>
                </c:pt>
                <c:pt idx="28">
                  <c:v>-1.4772879466</c:v>
                </c:pt>
                <c:pt idx="29">
                  <c:v>-1.1520490865333339</c:v>
                </c:pt>
                <c:pt idx="30">
                  <c:v>-1.2306766473999999</c:v>
                </c:pt>
                <c:pt idx="31">
                  <c:v>-1.041194393600001</c:v>
                </c:pt>
                <c:pt idx="32">
                  <c:v>-0.56091736199999886</c:v>
                </c:pt>
                <c:pt idx="33">
                  <c:v>-0.79552630313333295</c:v>
                </c:pt>
                <c:pt idx="34">
                  <c:v>-0.58294786366666596</c:v>
                </c:pt>
                <c:pt idx="35">
                  <c:v>-0.47367081059999999</c:v>
                </c:pt>
                <c:pt idx="36">
                  <c:v>-0.35593180066666702</c:v>
                </c:pt>
                <c:pt idx="37">
                  <c:v>-0.14407136300000001</c:v>
                </c:pt>
                <c:pt idx="38">
                  <c:v>-2.4204053333358799E-4</c:v>
                </c:pt>
                <c:pt idx="39">
                  <c:v>-3.4030753332991992E-4</c:v>
                </c:pt>
                <c:pt idx="40">
                  <c:v>2.174451999996663E-4</c:v>
                </c:pt>
                <c:pt idx="41">
                  <c:v>-2.9966666666703112E-4</c:v>
                </c:pt>
                <c:pt idx="42">
                  <c:v>-4.9933333333296304E-4</c:v>
                </c:pt>
                <c:pt idx="43">
                  <c:v>3.2299999999996221E-4</c:v>
                </c:pt>
                <c:pt idx="44">
                  <c:v>-1.933333333329901E-4</c:v>
                </c:pt>
                <c:pt idx="45">
                  <c:v>-4.2266666666695979E-4</c:v>
                </c:pt>
                <c:pt idx="46">
                  <c:v>-4.639999999999922E-4</c:v>
                </c:pt>
                <c:pt idx="47">
                  <c:v>-2.319999999999961E-4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B5D-47F3-8FBD-12908E5CE517}"/>
            </c:ext>
          </c:extLst>
        </c:ser>
        <c:ser>
          <c:idx val="12"/>
          <c:order val="12"/>
          <c:tx>
            <c:v>BES_TR3_one371_C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Net_kW!$O$2:$O$49</c:f>
              <c:numCache>
                <c:formatCode>#,##0.000</c:formatCode>
                <c:ptCount val="48"/>
                <c:pt idx="0">
                  <c:v>-1.413333333333128E-4</c:v>
                </c:pt>
                <c:pt idx="1">
                  <c:v>6.9388939039072284E-18</c:v>
                </c:pt>
                <c:pt idx="2">
                  <c:v>6.9388939039072284E-18</c:v>
                </c:pt>
                <c:pt idx="3">
                  <c:v>2.226666666670096E-4</c:v>
                </c:pt>
                <c:pt idx="4">
                  <c:v>6.9388939039072284E-18</c:v>
                </c:pt>
                <c:pt idx="5">
                  <c:v>-2.1199999999999E-4</c:v>
                </c:pt>
                <c:pt idx="6">
                  <c:v>4.346666666669996E-4</c:v>
                </c:pt>
                <c:pt idx="7">
                  <c:v>-4.4080346666666709E-4</c:v>
                </c:pt>
                <c:pt idx="8">
                  <c:v>2.6550746666680058E-4</c:v>
                </c:pt>
                <c:pt idx="9">
                  <c:v>-3.5089053333300582E-4</c:v>
                </c:pt>
                <c:pt idx="10">
                  <c:v>-3.402882666680429E-4</c:v>
                </c:pt>
                <c:pt idx="11">
                  <c:v>4.6535680000137081E-4</c:v>
                </c:pt>
                <c:pt idx="12">
                  <c:v>-1.9259333335019949E-5</c:v>
                </c:pt>
                <c:pt idx="13">
                  <c:v>2.588322666678966E-4</c:v>
                </c:pt>
                <c:pt idx="14">
                  <c:v>4.0545200000074999E-5</c:v>
                </c:pt>
                <c:pt idx="15">
                  <c:v>-0.70846288999999985</c:v>
                </c:pt>
                <c:pt idx="16">
                  <c:v>-2.0471472649333351</c:v>
                </c:pt>
                <c:pt idx="17">
                  <c:v>-2.4925982669333329</c:v>
                </c:pt>
                <c:pt idx="18">
                  <c:v>-1.8401401626666669</c:v>
                </c:pt>
                <c:pt idx="19">
                  <c:v>-2.6670674061333322</c:v>
                </c:pt>
                <c:pt idx="20">
                  <c:v>-1.6143605430666681</c:v>
                </c:pt>
                <c:pt idx="21">
                  <c:v>-1.15150415453333</c:v>
                </c:pt>
                <c:pt idx="22">
                  <c:v>-0.77174125799999782</c:v>
                </c:pt>
                <c:pt idx="23">
                  <c:v>-2.6969477087999998</c:v>
                </c:pt>
                <c:pt idx="24">
                  <c:v>-3.2030306624000011</c:v>
                </c:pt>
                <c:pt idx="25">
                  <c:v>-2.885191338666667</c:v>
                </c:pt>
                <c:pt idx="26">
                  <c:v>3.6151800000017159E-4</c:v>
                </c:pt>
                <c:pt idx="27">
                  <c:v>-1.4166079999800021E-4</c:v>
                </c:pt>
                <c:pt idx="28">
                  <c:v>-2.4977852265333329</c:v>
                </c:pt>
                <c:pt idx="29">
                  <c:v>-2.4896438397333349</c:v>
                </c:pt>
                <c:pt idx="30">
                  <c:v>-4.364948000001867E-4</c:v>
                </c:pt>
                <c:pt idx="31">
                  <c:v>2.6281280000195467E-4</c:v>
                </c:pt>
                <c:pt idx="32">
                  <c:v>2.4727600000118422E-4</c:v>
                </c:pt>
                <c:pt idx="33">
                  <c:v>-1.1186632729333319</c:v>
                </c:pt>
                <c:pt idx="34">
                  <c:v>-0.2261280606666618</c:v>
                </c:pt>
                <c:pt idx="35">
                  <c:v>-0.60835462120000006</c:v>
                </c:pt>
                <c:pt idx="36">
                  <c:v>-0.82191626800000106</c:v>
                </c:pt>
                <c:pt idx="37">
                  <c:v>-0.42452805933333299</c:v>
                </c:pt>
                <c:pt idx="38">
                  <c:v>-0.2675956810666662</c:v>
                </c:pt>
                <c:pt idx="39">
                  <c:v>4.64051600000015E-4</c:v>
                </c:pt>
                <c:pt idx="40">
                  <c:v>4.0289040000029969E-4</c:v>
                </c:pt>
                <c:pt idx="41">
                  <c:v>-7.8333333333013844E-5</c:v>
                </c:pt>
                <c:pt idx="42">
                  <c:v>-4.740000000000022E-4</c:v>
                </c:pt>
                <c:pt idx="43">
                  <c:v>-4.270000000000107E-4</c:v>
                </c:pt>
                <c:pt idx="44">
                  <c:v>7.6666666666946881E-5</c:v>
                </c:pt>
                <c:pt idx="45">
                  <c:v>2.0000000000003351E-4</c:v>
                </c:pt>
                <c:pt idx="46">
                  <c:v>6.0666666666986391E-5</c:v>
                </c:pt>
                <c:pt idx="47">
                  <c:v>1.819999999999877E-4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B5D-47F3-8FBD-12908E5CE517}"/>
            </c:ext>
          </c:extLst>
        </c:ser>
        <c:ser>
          <c:idx val="13"/>
          <c:order val="13"/>
          <c:tx>
            <c:v>BES_TR3_one375_C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Net_kW!$P$2:$P$49</c:f>
              <c:numCache>
                <c:formatCode>#,##0.000</c:formatCode>
                <c:ptCount val="48"/>
                <c:pt idx="0">
                  <c:v>4.286666666669936E-4</c:v>
                </c:pt>
                <c:pt idx="1">
                  <c:v>-1.5266666666702289E-4</c:v>
                </c:pt>
                <c:pt idx="2">
                  <c:v>8.0333333332988088E-5</c:v>
                </c:pt>
                <c:pt idx="3">
                  <c:v>-9.6666666669908974E-6</c:v>
                </c:pt>
                <c:pt idx="4">
                  <c:v>3.3799999999999109E-4</c:v>
                </c:pt>
                <c:pt idx="5">
                  <c:v>-3.5666666666700492E-4</c:v>
                </c:pt>
                <c:pt idx="6">
                  <c:v>-1.5333333333394931E-5</c:v>
                </c:pt>
                <c:pt idx="7">
                  <c:v>-4.3413679999967919E-4</c:v>
                </c:pt>
                <c:pt idx="8">
                  <c:v>-1.3515920000020659E-4</c:v>
                </c:pt>
                <c:pt idx="9">
                  <c:v>-3.4289053333301679E-4</c:v>
                </c:pt>
                <c:pt idx="10">
                  <c:v>-1.7728826666796321E-4</c:v>
                </c:pt>
                <c:pt idx="11">
                  <c:v>-4.9397653333205227E-4</c:v>
                </c:pt>
                <c:pt idx="12">
                  <c:v>-4.2959266666808832E-4</c:v>
                </c:pt>
                <c:pt idx="13">
                  <c:v>-1.0383439999905871E-4</c:v>
                </c:pt>
                <c:pt idx="14">
                  <c:v>4.0621186666700559E-4</c:v>
                </c:pt>
                <c:pt idx="15">
                  <c:v>-3.9062333333284022E-4</c:v>
                </c:pt>
                <c:pt idx="16">
                  <c:v>-0.86953339826666798</c:v>
                </c:pt>
                <c:pt idx="17">
                  <c:v>-2.4524877335999999</c:v>
                </c:pt>
                <c:pt idx="18">
                  <c:v>-2.6727593626666679</c:v>
                </c:pt>
                <c:pt idx="19">
                  <c:v>-2.7440154061333319</c:v>
                </c:pt>
                <c:pt idx="20">
                  <c:v>-2.9245469430666682</c:v>
                </c:pt>
                <c:pt idx="21">
                  <c:v>-3.1356611212000001</c:v>
                </c:pt>
                <c:pt idx="22">
                  <c:v>-3.094791924666668</c:v>
                </c:pt>
                <c:pt idx="23">
                  <c:v>-3.3591587087999999</c:v>
                </c:pt>
                <c:pt idx="24">
                  <c:v>-3.3109323290666679</c:v>
                </c:pt>
                <c:pt idx="25">
                  <c:v>-3.165307338666667</c:v>
                </c:pt>
                <c:pt idx="26">
                  <c:v>-3.1806988153333329</c:v>
                </c:pt>
                <c:pt idx="27">
                  <c:v>-2.304021660800001</c:v>
                </c:pt>
                <c:pt idx="28">
                  <c:v>-2.6506678932000001</c:v>
                </c:pt>
                <c:pt idx="29">
                  <c:v>-2.1657495064000019</c:v>
                </c:pt>
                <c:pt idx="30">
                  <c:v>-2.5017424281333329</c:v>
                </c:pt>
                <c:pt idx="31">
                  <c:v>-2.2726592538666681</c:v>
                </c:pt>
                <c:pt idx="32">
                  <c:v>-1.5398105239999991</c:v>
                </c:pt>
                <c:pt idx="33">
                  <c:v>-1.680892672933332</c:v>
                </c:pt>
                <c:pt idx="34">
                  <c:v>-1.203724193999999</c:v>
                </c:pt>
                <c:pt idx="35">
                  <c:v>-0.67036595453333303</c:v>
                </c:pt>
                <c:pt idx="36">
                  <c:v>-0.79891693466666802</c:v>
                </c:pt>
                <c:pt idx="37">
                  <c:v>-0.37123105933333311</c:v>
                </c:pt>
                <c:pt idx="38">
                  <c:v>-8.3390414400000168E-2</c:v>
                </c:pt>
                <c:pt idx="39">
                  <c:v>-1.0161506666700459E-4</c:v>
                </c:pt>
                <c:pt idx="40">
                  <c:v>2.93890400000274E-4</c:v>
                </c:pt>
                <c:pt idx="41">
                  <c:v>-4.8333333332983841E-5</c:v>
                </c:pt>
                <c:pt idx="42">
                  <c:v>-4.1099999999993919E-4</c:v>
                </c:pt>
                <c:pt idx="43">
                  <c:v>7.3333333330261041E-6</c:v>
                </c:pt>
                <c:pt idx="44">
                  <c:v>1.086666666669789E-4</c:v>
                </c:pt>
                <c:pt idx="45">
                  <c:v>3.7566666666699611E-4</c:v>
                </c:pt>
                <c:pt idx="46">
                  <c:v>3.0333333333298912E-4</c:v>
                </c:pt>
                <c:pt idx="47">
                  <c:v>4.2233333333299711E-4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B5D-47F3-8FBD-12908E5CE517}"/>
            </c:ext>
          </c:extLst>
        </c:ser>
        <c:ser>
          <c:idx val="14"/>
          <c:order val="14"/>
          <c:tx>
            <c:v>BES_TR3_one410_B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Net_kW!$Q$2:$Q$49</c:f>
              <c:numCache>
                <c:formatCode>#,##0.000</c:formatCode>
                <c:ptCount val="48"/>
                <c:pt idx="0">
                  <c:v>5.0999999999995493E-5</c:v>
                </c:pt>
                <c:pt idx="1">
                  <c:v>0</c:v>
                </c:pt>
                <c:pt idx="2">
                  <c:v>-3.4999999999998921E-4</c:v>
                </c:pt>
                <c:pt idx="3">
                  <c:v>-4.639999999999922E-4</c:v>
                </c:pt>
                <c:pt idx="4">
                  <c:v>4.5599999999999807E-4</c:v>
                </c:pt>
                <c:pt idx="5">
                  <c:v>3.2000000000009798E-4</c:v>
                </c:pt>
                <c:pt idx="6">
                  <c:v>4.45000000000001E-4</c:v>
                </c:pt>
                <c:pt idx="7">
                  <c:v>-4.5940173333333672E-4</c:v>
                </c:pt>
                <c:pt idx="8">
                  <c:v>4.7275373333335868E-4</c:v>
                </c:pt>
                <c:pt idx="9">
                  <c:v>2.6322139999999158E-4</c:v>
                </c:pt>
                <c:pt idx="10">
                  <c:v>1.0585586666599089E-4</c:v>
                </c:pt>
                <c:pt idx="11">
                  <c:v>-8.6988266665949388E-5</c:v>
                </c:pt>
                <c:pt idx="12">
                  <c:v>3.8470366666598638E-4</c:v>
                </c:pt>
                <c:pt idx="13">
                  <c:v>-2.8558386666599489E-4</c:v>
                </c:pt>
                <c:pt idx="14">
                  <c:v>3.1027260000005002E-4</c:v>
                </c:pt>
                <c:pt idx="15">
                  <c:v>1.5695500000012519E-4</c:v>
                </c:pt>
                <c:pt idx="16">
                  <c:v>4.2263419999893909E-4</c:v>
                </c:pt>
                <c:pt idx="17">
                  <c:v>-3.4546680000002722E-4</c:v>
                </c:pt>
                <c:pt idx="18">
                  <c:v>4.8831866666598778E-4</c:v>
                </c:pt>
                <c:pt idx="19">
                  <c:v>-4.719170306666598E-2</c:v>
                </c:pt>
                <c:pt idx="20">
                  <c:v>-0.97655347153333394</c:v>
                </c:pt>
                <c:pt idx="21">
                  <c:v>-1.4150718939333331</c:v>
                </c:pt>
                <c:pt idx="22">
                  <c:v>-1.407226962333334</c:v>
                </c:pt>
                <c:pt idx="23">
                  <c:v>-1.537924687733333</c:v>
                </c:pt>
                <c:pt idx="24">
                  <c:v>-1.594464664533334</c:v>
                </c:pt>
                <c:pt idx="25">
                  <c:v>-1.493750836</c:v>
                </c:pt>
                <c:pt idx="26">
                  <c:v>-1.5861232409999999</c:v>
                </c:pt>
                <c:pt idx="27">
                  <c:v>-1.515347163733334</c:v>
                </c:pt>
                <c:pt idx="28">
                  <c:v>-1.3173439466000001</c:v>
                </c:pt>
                <c:pt idx="29">
                  <c:v>-1.3123190865333341</c:v>
                </c:pt>
                <c:pt idx="30">
                  <c:v>-1.2925642474000001</c:v>
                </c:pt>
                <c:pt idx="31">
                  <c:v>-1.172791926933334</c:v>
                </c:pt>
                <c:pt idx="32">
                  <c:v>-0.81187402866666591</c:v>
                </c:pt>
                <c:pt idx="33">
                  <c:v>-0.85287563646666598</c:v>
                </c:pt>
                <c:pt idx="34">
                  <c:v>-0.57997986366666598</c:v>
                </c:pt>
                <c:pt idx="35">
                  <c:v>-0.4604148106</c:v>
                </c:pt>
                <c:pt idx="36">
                  <c:v>-0.41445846733333402</c:v>
                </c:pt>
                <c:pt idx="37">
                  <c:v>-0.18859936299999999</c:v>
                </c:pt>
                <c:pt idx="38">
                  <c:v>-1.46803738666666E-2</c:v>
                </c:pt>
                <c:pt idx="39">
                  <c:v>4.6255913333301257E-4</c:v>
                </c:pt>
                <c:pt idx="40">
                  <c:v>-3.2395480000034499E-4</c:v>
                </c:pt>
                <c:pt idx="41">
                  <c:v>3.9833333333294529E-4</c:v>
                </c:pt>
                <c:pt idx="42">
                  <c:v>-2.6333333333300463E-4</c:v>
                </c:pt>
                <c:pt idx="43">
                  <c:v>5.6999999999973738E-5</c:v>
                </c:pt>
                <c:pt idx="44">
                  <c:v>2.000000000000057E-4</c:v>
                </c:pt>
                <c:pt idx="45">
                  <c:v>-2.7233333333298582E-4</c:v>
                </c:pt>
                <c:pt idx="46">
                  <c:v>2.4899999999994371E-4</c:v>
                </c:pt>
                <c:pt idx="47">
                  <c:v>4.943333333300437E-4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B5D-47F3-8FBD-12908E5CE517}"/>
            </c:ext>
          </c:extLst>
        </c:ser>
        <c:ser>
          <c:idx val="15"/>
          <c:order val="15"/>
          <c:tx>
            <c:v>BES_TR3_one50_A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Net_kW!$R$2:$R$49</c:f>
              <c:numCache>
                <c:formatCode>#,##0.000</c:formatCode>
                <c:ptCount val="48"/>
                <c:pt idx="0">
                  <c:v>3.9966666666699241E-4</c:v>
                </c:pt>
                <c:pt idx="1">
                  <c:v>0</c:v>
                </c:pt>
                <c:pt idx="2">
                  <c:v>0</c:v>
                </c:pt>
                <c:pt idx="3">
                  <c:v>-2.4633333333300139E-4</c:v>
                </c:pt>
                <c:pt idx="4">
                  <c:v>-3.8499999999999651E-4</c:v>
                </c:pt>
                <c:pt idx="5">
                  <c:v>0</c:v>
                </c:pt>
                <c:pt idx="6">
                  <c:v>3.6866666666701692E-4</c:v>
                </c:pt>
                <c:pt idx="7">
                  <c:v>-1.5050216666666341E-4</c:v>
                </c:pt>
                <c:pt idx="8">
                  <c:v>2.5960883333375762E-4</c:v>
                </c:pt>
                <c:pt idx="9">
                  <c:v>3.7819341666700529E-4</c:v>
                </c:pt>
                <c:pt idx="10">
                  <c:v>8.7840986499999524E-2</c:v>
                </c:pt>
                <c:pt idx="11">
                  <c:v>3.387646666675459E-4</c:v>
                </c:pt>
                <c:pt idx="12">
                  <c:v>-2.2645375000052151E-4</c:v>
                </c:pt>
                <c:pt idx="13">
                  <c:v>-3.3356316666643959E-4</c:v>
                </c:pt>
                <c:pt idx="14">
                  <c:v>-2.2465925000014761E-4</c:v>
                </c:pt>
                <c:pt idx="15">
                  <c:v>2.2736041666693299E-4</c:v>
                </c:pt>
                <c:pt idx="16">
                  <c:v>-2.0587391666793131E-4</c:v>
                </c:pt>
                <c:pt idx="17">
                  <c:v>2.3916649999988771E-4</c:v>
                </c:pt>
                <c:pt idx="18">
                  <c:v>-4.8493500000090778E-4</c:v>
                </c:pt>
                <c:pt idx="19">
                  <c:v>-3.9362883333193821E-4</c:v>
                </c:pt>
                <c:pt idx="20">
                  <c:v>-0.13120558941666699</c:v>
                </c:pt>
                <c:pt idx="21">
                  <c:v>5.2632583329909062E-5</c:v>
                </c:pt>
                <c:pt idx="22">
                  <c:v>-8.1202916666744951E-5</c:v>
                </c:pt>
                <c:pt idx="23">
                  <c:v>2.088069999997832E-4</c:v>
                </c:pt>
                <c:pt idx="24">
                  <c:v>-1.5344741639999999</c:v>
                </c:pt>
                <c:pt idx="25">
                  <c:v>-2.0814510450000001</c:v>
                </c:pt>
                <c:pt idx="26">
                  <c:v>-2.03072405125</c:v>
                </c:pt>
                <c:pt idx="27">
                  <c:v>-1.840315621333334</c:v>
                </c:pt>
                <c:pt idx="28">
                  <c:v>-1.100411099916667</c:v>
                </c:pt>
                <c:pt idx="29">
                  <c:v>-1.7438688581666679</c:v>
                </c:pt>
                <c:pt idx="30">
                  <c:v>-1.5545939759166669</c:v>
                </c:pt>
                <c:pt idx="31">
                  <c:v>1.3424666661987489E-5</c:v>
                </c:pt>
                <c:pt idx="32">
                  <c:v>-0.70128470249999908</c:v>
                </c:pt>
                <c:pt idx="33">
                  <c:v>-0.42508741225000002</c:v>
                </c:pt>
                <c:pt idx="34">
                  <c:v>-0.68553342958333241</c:v>
                </c:pt>
                <c:pt idx="35">
                  <c:v>-0.54095751324999997</c:v>
                </c:pt>
                <c:pt idx="36">
                  <c:v>-0.50513875083333426</c:v>
                </c:pt>
                <c:pt idx="37">
                  <c:v>4.6912958333296401E-4</c:v>
                </c:pt>
                <c:pt idx="38">
                  <c:v>-3.1340000002377799E-6</c:v>
                </c:pt>
                <c:pt idx="39">
                  <c:v>-3.4296775000008939E-4</c:v>
                </c:pt>
                <c:pt idx="40">
                  <c:v>4.4563983333334439E-4</c:v>
                </c:pt>
                <c:pt idx="41">
                  <c:v>2.426666666694999E-4</c:v>
                </c:pt>
                <c:pt idx="42">
                  <c:v>-1.0133333333017799E-4</c:v>
                </c:pt>
                <c:pt idx="43">
                  <c:v>0.83125900000000008</c:v>
                </c:pt>
                <c:pt idx="44">
                  <c:v>0.956094</c:v>
                </c:pt>
                <c:pt idx="45">
                  <c:v>1.03280533333333</c:v>
                </c:pt>
                <c:pt idx="46">
                  <c:v>0.160399666666667</c:v>
                </c:pt>
                <c:pt idx="47">
                  <c:v>0.127969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B5D-47F3-8FBD-12908E5CE517}"/>
            </c:ext>
          </c:extLst>
        </c:ser>
        <c:ser>
          <c:idx val="16"/>
          <c:order val="16"/>
          <c:tx>
            <c:v>BES_TR3_one423_B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Net_kW!$S$2:$S$49</c:f>
              <c:numCache>
                <c:formatCode>#,##0.000</c:formatCode>
                <c:ptCount val="48"/>
                <c:pt idx="0">
                  <c:v>4.200000000000037E-4</c:v>
                </c:pt>
                <c:pt idx="1">
                  <c:v>0</c:v>
                </c:pt>
                <c:pt idx="2">
                  <c:v>-1.5833333333328811E-4</c:v>
                </c:pt>
                <c:pt idx="3">
                  <c:v>2.6166666666699312E-4</c:v>
                </c:pt>
                <c:pt idx="4">
                  <c:v>0</c:v>
                </c:pt>
                <c:pt idx="5">
                  <c:v>0</c:v>
                </c:pt>
                <c:pt idx="6">
                  <c:v>1.0333333333298329E-4</c:v>
                </c:pt>
                <c:pt idx="7">
                  <c:v>-1.0703033333329949E-5</c:v>
                </c:pt>
                <c:pt idx="8">
                  <c:v>1.6565236666644939E-4</c:v>
                </c:pt>
                <c:pt idx="9">
                  <c:v>-8.1862549999978107E-5</c:v>
                </c:pt>
                <c:pt idx="10">
                  <c:v>6.3914433332201703E-5</c:v>
                </c:pt>
                <c:pt idx="11">
                  <c:v>2.4093720000156751E-4</c:v>
                </c:pt>
                <c:pt idx="12">
                  <c:v>7.1231416665429315E-5</c:v>
                </c:pt>
                <c:pt idx="13">
                  <c:v>4.2814490000198102E-4</c:v>
                </c:pt>
                <c:pt idx="14">
                  <c:v>-2.3585628332994929E-4</c:v>
                </c:pt>
                <c:pt idx="15">
                  <c:v>-3.9049541666602572E-4</c:v>
                </c:pt>
                <c:pt idx="16">
                  <c:v>-3.655681666514532E-5</c:v>
                </c:pt>
                <c:pt idx="17">
                  <c:v>-3.3456690000011058E-4</c:v>
                </c:pt>
                <c:pt idx="18">
                  <c:v>3.0989099999478848E-4</c:v>
                </c:pt>
                <c:pt idx="19">
                  <c:v>-1.132467480366665</c:v>
                </c:pt>
                <c:pt idx="20">
                  <c:v>-2.4722178251833342</c:v>
                </c:pt>
                <c:pt idx="21">
                  <c:v>-2.4703303143833342</c:v>
                </c:pt>
                <c:pt idx="22">
                  <c:v>-2.813499017416667</c:v>
                </c:pt>
                <c:pt idx="23">
                  <c:v>-2.7939898701999999</c:v>
                </c:pt>
                <c:pt idx="24">
                  <c:v>-2.4748984962666678</c:v>
                </c:pt>
                <c:pt idx="25">
                  <c:v>-2.423294129666667</c:v>
                </c:pt>
                <c:pt idx="26">
                  <c:v>-2.3799536717500001</c:v>
                </c:pt>
                <c:pt idx="27">
                  <c:v>-2.5130308698666681</c:v>
                </c:pt>
                <c:pt idx="28">
                  <c:v>-2.22372940655</c:v>
                </c:pt>
                <c:pt idx="29">
                  <c:v>-2.2231330681000019</c:v>
                </c:pt>
                <c:pt idx="30">
                  <c:v>-2.0419087662833331</c:v>
                </c:pt>
                <c:pt idx="31">
                  <c:v>-1.6845795388000011</c:v>
                </c:pt>
                <c:pt idx="32">
                  <c:v>-1.6783650501666649</c:v>
                </c:pt>
                <c:pt idx="33">
                  <c:v>-1.2580053638166651</c:v>
                </c:pt>
                <c:pt idx="34">
                  <c:v>-3.9282614166651353E-3</c:v>
                </c:pt>
                <c:pt idx="35">
                  <c:v>-0.9191772518833331</c:v>
                </c:pt>
                <c:pt idx="36">
                  <c:v>-0.60083298450000144</c:v>
                </c:pt>
                <c:pt idx="37">
                  <c:v>-0.45508371858333341</c:v>
                </c:pt>
                <c:pt idx="38">
                  <c:v>-0.11379438759999951</c:v>
                </c:pt>
                <c:pt idx="39">
                  <c:v>-2.628818333300087E-5</c:v>
                </c:pt>
                <c:pt idx="40">
                  <c:v>3.2336243333364051E-4</c:v>
                </c:pt>
                <c:pt idx="41">
                  <c:v>3.633333333297184E-5</c:v>
                </c:pt>
                <c:pt idx="42">
                  <c:v>-4.323333333329793E-4</c:v>
                </c:pt>
                <c:pt idx="43">
                  <c:v>3.7166666666699211E-4</c:v>
                </c:pt>
                <c:pt idx="44">
                  <c:v>-2.9133333333009048E-4</c:v>
                </c:pt>
                <c:pt idx="45">
                  <c:v>2.5200000000002998E-4</c:v>
                </c:pt>
                <c:pt idx="46">
                  <c:v>-1.7466666666698941E-4</c:v>
                </c:pt>
                <c:pt idx="47">
                  <c:v>2.966666666698314E-5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B5D-47F3-8FBD-12908E5CE517}"/>
            </c:ext>
          </c:extLst>
        </c:ser>
        <c:ser>
          <c:idx val="17"/>
          <c:order val="17"/>
          <c:tx>
            <c:v>BES_TR3_one446_B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Net_kW!$T$2:$T$49</c:f>
              <c:numCache>
                <c:formatCode>#,##0.000</c:formatCode>
                <c:ptCount val="48"/>
                <c:pt idx="0">
                  <c:v>-4.8933333333298079E-4</c:v>
                </c:pt>
                <c:pt idx="1">
                  <c:v>4.106666666669756E-4</c:v>
                </c:pt>
                <c:pt idx="2">
                  <c:v>4.579999999999862E-4</c:v>
                </c:pt>
                <c:pt idx="3">
                  <c:v>-1.466666666669891E-4</c:v>
                </c:pt>
                <c:pt idx="4">
                  <c:v>0</c:v>
                </c:pt>
                <c:pt idx="5">
                  <c:v>4.579999999999862E-4</c:v>
                </c:pt>
                <c:pt idx="6">
                  <c:v>-1.466666666669891E-4</c:v>
                </c:pt>
                <c:pt idx="7">
                  <c:v>-2.118034666666879E-4</c:v>
                </c:pt>
                <c:pt idx="8">
                  <c:v>4.6250746666678938E-4</c:v>
                </c:pt>
                <c:pt idx="9">
                  <c:v>3.1177613333341347E-4</c:v>
                </c:pt>
                <c:pt idx="10">
                  <c:v>1.1771173333197101E-4</c:v>
                </c:pt>
                <c:pt idx="11">
                  <c:v>1.260234666680127E-4</c:v>
                </c:pt>
                <c:pt idx="12">
                  <c:v>3.7474066666498551E-4</c:v>
                </c:pt>
                <c:pt idx="13">
                  <c:v>2.9283226666820822E-4</c:v>
                </c:pt>
                <c:pt idx="14">
                  <c:v>-1.061214666668864E-4</c:v>
                </c:pt>
                <c:pt idx="15">
                  <c:v>-1.6808999999984309E-4</c:v>
                </c:pt>
                <c:pt idx="16">
                  <c:v>-1.2110300649333341</c:v>
                </c:pt>
                <c:pt idx="17">
                  <c:v>-2.2850639336</c:v>
                </c:pt>
                <c:pt idx="18">
                  <c:v>-2.5211690293333349</c:v>
                </c:pt>
                <c:pt idx="19">
                  <c:v>-2.9183834061333318</c:v>
                </c:pt>
                <c:pt idx="20">
                  <c:v>-2.9631556097333349</c:v>
                </c:pt>
                <c:pt idx="21">
                  <c:v>-3.0628471211999999</c:v>
                </c:pt>
                <c:pt idx="22">
                  <c:v>-3.2081245913333349</c:v>
                </c:pt>
                <c:pt idx="23">
                  <c:v>-3.3345327087999999</c:v>
                </c:pt>
                <c:pt idx="24">
                  <c:v>-3.2690573290666678</c:v>
                </c:pt>
                <c:pt idx="25">
                  <c:v>-3.3638790053333332</c:v>
                </c:pt>
                <c:pt idx="26">
                  <c:v>-3.0961968153333328</c:v>
                </c:pt>
                <c:pt idx="27">
                  <c:v>-3.0634273274666679</c:v>
                </c:pt>
                <c:pt idx="28">
                  <c:v>-2.9273105598666671</c:v>
                </c:pt>
                <c:pt idx="29">
                  <c:v>-2.6582711730666682</c:v>
                </c:pt>
                <c:pt idx="30">
                  <c:v>-2.508178828133333</c:v>
                </c:pt>
                <c:pt idx="31">
                  <c:v>-2.2602561872000009</c:v>
                </c:pt>
                <c:pt idx="32">
                  <c:v>-1.799293390666665</c:v>
                </c:pt>
                <c:pt idx="33">
                  <c:v>-1.703081272933332</c:v>
                </c:pt>
                <c:pt idx="34">
                  <c:v>-1.1255420606666651</c:v>
                </c:pt>
                <c:pt idx="35">
                  <c:v>-0.80542628786666703</c:v>
                </c:pt>
                <c:pt idx="36">
                  <c:v>-0.48783460133333501</c:v>
                </c:pt>
                <c:pt idx="37">
                  <c:v>-0.23194972599999999</c:v>
                </c:pt>
                <c:pt idx="38">
                  <c:v>2.8591893333385082E-4</c:v>
                </c:pt>
                <c:pt idx="39">
                  <c:v>-1.5794839999999641E-4</c:v>
                </c:pt>
                <c:pt idx="40">
                  <c:v>3.6122373333324909E-4</c:v>
                </c:pt>
                <c:pt idx="41">
                  <c:v>-4.9933333333307406E-4</c:v>
                </c:pt>
                <c:pt idx="42">
                  <c:v>2.9266666666705188E-4</c:v>
                </c:pt>
                <c:pt idx="43">
                  <c:v>-4.7166666666698109E-4</c:v>
                </c:pt>
                <c:pt idx="44">
                  <c:v>5.6333333333991042E-5</c:v>
                </c:pt>
                <c:pt idx="45">
                  <c:v>-2.333333333329746E-4</c:v>
                </c:pt>
                <c:pt idx="46">
                  <c:v>-1.333333333297659E-5</c:v>
                </c:pt>
                <c:pt idx="47">
                  <c:v>3.8266666666608717E-4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B5D-47F3-8FBD-12908E5CE517}"/>
            </c:ext>
          </c:extLst>
        </c:ser>
        <c:ser>
          <c:idx val="18"/>
          <c:order val="18"/>
          <c:tx>
            <c:v>BES_TR3_one469_A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Net_kW!$U$2:$U$49</c:f>
              <c:numCache>
                <c:formatCode>#,##0.000</c:formatCode>
                <c:ptCount val="48"/>
                <c:pt idx="0">
                  <c:v>0</c:v>
                </c:pt>
                <c:pt idx="1">
                  <c:v>3.799999999999637E-5</c:v>
                </c:pt>
                <c:pt idx="2">
                  <c:v>-2.3200000000001E-4</c:v>
                </c:pt>
                <c:pt idx="3">
                  <c:v>-1.14000000000003E-4</c:v>
                </c:pt>
                <c:pt idx="4">
                  <c:v>-1.939999999999997E-4</c:v>
                </c:pt>
                <c:pt idx="5">
                  <c:v>-1.14000000000003E-4</c:v>
                </c:pt>
                <c:pt idx="6">
                  <c:v>0</c:v>
                </c:pt>
                <c:pt idx="7">
                  <c:v>3.7329696666665862E-4</c:v>
                </c:pt>
                <c:pt idx="8">
                  <c:v>-2.0968096666655611E-4</c:v>
                </c:pt>
                <c:pt idx="9">
                  <c:v>7.6137449999999496E-5</c:v>
                </c:pt>
                <c:pt idx="10">
                  <c:v>4.4124776666548682E-4</c:v>
                </c:pt>
                <c:pt idx="11">
                  <c:v>-2.397294666655059E-4</c:v>
                </c:pt>
                <c:pt idx="12">
                  <c:v>-1.2276858333448709E-4</c:v>
                </c:pt>
                <c:pt idx="13">
                  <c:v>-1.375217666650386E-4</c:v>
                </c:pt>
                <c:pt idx="14">
                  <c:v>1.547705000026767E-5</c:v>
                </c:pt>
                <c:pt idx="15">
                  <c:v>-4.397954166668328E-4</c:v>
                </c:pt>
                <c:pt idx="16">
                  <c:v>-0.81671312348333513</c:v>
                </c:pt>
                <c:pt idx="17">
                  <c:v>-2.1097443002333329</c:v>
                </c:pt>
                <c:pt idx="18">
                  <c:v>-2.2078114423333348</c:v>
                </c:pt>
                <c:pt idx="19">
                  <c:v>-2.4285018136999978</c:v>
                </c:pt>
                <c:pt idx="20">
                  <c:v>-2.5272398251833339</c:v>
                </c:pt>
                <c:pt idx="21">
                  <c:v>-2.76146798105</c:v>
                </c:pt>
                <c:pt idx="22">
                  <c:v>-2.8705856840833341</c:v>
                </c:pt>
                <c:pt idx="23">
                  <c:v>-2.9182548702000002</c:v>
                </c:pt>
                <c:pt idx="24">
                  <c:v>-2.7414601629333348</c:v>
                </c:pt>
                <c:pt idx="25">
                  <c:v>-2.9300504630000002</c:v>
                </c:pt>
                <c:pt idx="26">
                  <c:v>-2.7941276717500001</c:v>
                </c:pt>
                <c:pt idx="27">
                  <c:v>-2.6058615365333351</c:v>
                </c:pt>
                <c:pt idx="28">
                  <c:v>-2.4457927398833328</c:v>
                </c:pt>
                <c:pt idx="29">
                  <c:v>-2.1392134014333348</c:v>
                </c:pt>
                <c:pt idx="30">
                  <c:v>-2.013987766283333</c:v>
                </c:pt>
                <c:pt idx="31">
                  <c:v>-2.0779818721333339</c:v>
                </c:pt>
                <c:pt idx="32">
                  <c:v>-1.560022383499998</c:v>
                </c:pt>
                <c:pt idx="33">
                  <c:v>-1.4120603638166651</c:v>
                </c:pt>
                <c:pt idx="34">
                  <c:v>-1.0897249280833321</c:v>
                </c:pt>
                <c:pt idx="35">
                  <c:v>-0.88791591855000007</c:v>
                </c:pt>
                <c:pt idx="36">
                  <c:v>-0.44230565116666748</c:v>
                </c:pt>
                <c:pt idx="37">
                  <c:v>-0.31027755191666689</c:v>
                </c:pt>
                <c:pt idx="38">
                  <c:v>-0.17020098759999949</c:v>
                </c:pt>
                <c:pt idx="39">
                  <c:v>2.370451500000037E-4</c:v>
                </c:pt>
                <c:pt idx="40">
                  <c:v>-3.8063756666634202E-4</c:v>
                </c:pt>
                <c:pt idx="41">
                  <c:v>0</c:v>
                </c:pt>
                <c:pt idx="42">
                  <c:v>-3.0800000000003053E-4</c:v>
                </c:pt>
                <c:pt idx="43">
                  <c:v>0</c:v>
                </c:pt>
                <c:pt idx="44">
                  <c:v>-4.0300000000000058E-4</c:v>
                </c:pt>
                <c:pt idx="45">
                  <c:v>9.5000000000011742E-5</c:v>
                </c:pt>
                <c:pt idx="46">
                  <c:v>0</c:v>
                </c:pt>
                <c:pt idx="47">
                  <c:v>3.6500000000000421E-4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B5D-47F3-8FBD-12908E5CE517}"/>
            </c:ext>
          </c:extLst>
        </c:ser>
        <c:ser>
          <c:idx val="19"/>
          <c:order val="19"/>
          <c:tx>
            <c:v>BES_TR3_one477_A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Net_kW!$V$2:$V$49</c:f>
              <c:numCache>
                <c:formatCode>#,##0.000</c:formatCode>
                <c:ptCount val="48"/>
                <c:pt idx="0">
                  <c:v>5.3333333333016597E-5</c:v>
                </c:pt>
                <c:pt idx="1">
                  <c:v>6.0000000000004487E-5</c:v>
                </c:pt>
                <c:pt idx="2">
                  <c:v>2.7999999999889221E-5</c:v>
                </c:pt>
                <c:pt idx="3">
                  <c:v>0</c:v>
                </c:pt>
                <c:pt idx="4">
                  <c:v>7.7333333332985088E-5</c:v>
                </c:pt>
                <c:pt idx="5">
                  <c:v>6.4000000000008495E-5</c:v>
                </c:pt>
                <c:pt idx="6">
                  <c:v>0</c:v>
                </c:pt>
                <c:pt idx="7">
                  <c:v>-2.0230129999998511E-4</c:v>
                </c:pt>
                <c:pt idx="8">
                  <c:v>3.8156530000005301E-4</c:v>
                </c:pt>
                <c:pt idx="9">
                  <c:v>-1.9375061666668849E-4</c:v>
                </c:pt>
                <c:pt idx="10">
                  <c:v>8.5391899999493967E-5</c:v>
                </c:pt>
                <c:pt idx="11">
                  <c:v>-1.434078666664729E-4</c:v>
                </c:pt>
                <c:pt idx="12">
                  <c:v>6.6527749999378827E-5</c:v>
                </c:pt>
                <c:pt idx="13">
                  <c:v>-1.00937899999487E-4</c:v>
                </c:pt>
                <c:pt idx="14">
                  <c:v>-3.1212888333298489E-4</c:v>
                </c:pt>
                <c:pt idx="15">
                  <c:v>2.3788291666704259E-4</c:v>
                </c:pt>
                <c:pt idx="16">
                  <c:v>1.7314231666643029E-4</c:v>
                </c:pt>
                <c:pt idx="17">
                  <c:v>2.0423323333407239E-4</c:v>
                </c:pt>
                <c:pt idx="18">
                  <c:v>-2.11760999999866E-4</c:v>
                </c:pt>
                <c:pt idx="19">
                  <c:v>-1.2511063333220379E-4</c:v>
                </c:pt>
                <c:pt idx="20">
                  <c:v>3.3731301666706243E-4</c:v>
                </c:pt>
                <c:pt idx="21">
                  <c:v>-2.720742045000013E-2</c:v>
                </c:pt>
                <c:pt idx="22">
                  <c:v>-1.208602055083333</c:v>
                </c:pt>
                <c:pt idx="23">
                  <c:v>-1.0097108491333331</c:v>
                </c:pt>
                <c:pt idx="24">
                  <c:v>-1.2569304984000009</c:v>
                </c:pt>
                <c:pt idx="25">
                  <c:v>-1.1328172936666669</c:v>
                </c:pt>
                <c:pt idx="26">
                  <c:v>-1.0808544307500001</c:v>
                </c:pt>
                <c:pt idx="27">
                  <c:v>-0.667449039466667</c:v>
                </c:pt>
                <c:pt idx="28">
                  <c:v>-0.69297212661666707</c:v>
                </c:pt>
                <c:pt idx="29">
                  <c:v>-0.73017698156666699</c:v>
                </c:pt>
                <c:pt idx="30">
                  <c:v>-0.64239018554999994</c:v>
                </c:pt>
                <c:pt idx="31">
                  <c:v>-0.55584594520000041</c:v>
                </c:pt>
                <c:pt idx="32">
                  <c:v>-0.37999102149999953</c:v>
                </c:pt>
                <c:pt idx="33">
                  <c:v>-0.50371006068333246</c:v>
                </c:pt>
                <c:pt idx="34">
                  <c:v>-2.4639774999940522E-4</c:v>
                </c:pt>
                <c:pt idx="35">
                  <c:v>1.302253833299627E-4</c:v>
                </c:pt>
                <c:pt idx="36">
                  <c:v>3.2981616666548358E-4</c:v>
                </c:pt>
                <c:pt idx="37">
                  <c:v>-4.2585558333299751E-4</c:v>
                </c:pt>
                <c:pt idx="38">
                  <c:v>-9.494706666979269E-5</c:v>
                </c:pt>
                <c:pt idx="39">
                  <c:v>-3.6664731666691258E-4</c:v>
                </c:pt>
                <c:pt idx="40">
                  <c:v>4.6825056666699449E-4</c:v>
                </c:pt>
                <c:pt idx="41">
                  <c:v>-2.07999999999986E-4</c:v>
                </c:pt>
                <c:pt idx="42">
                  <c:v>4.5600000000001201E-4</c:v>
                </c:pt>
                <c:pt idx="43">
                  <c:v>2.3866666666694239E-4</c:v>
                </c:pt>
                <c:pt idx="44">
                  <c:v>0.36727666666666597</c:v>
                </c:pt>
                <c:pt idx="45">
                  <c:v>0.89271033333333405</c:v>
                </c:pt>
                <c:pt idx="46">
                  <c:v>0.98620533333333305</c:v>
                </c:pt>
                <c:pt idx="47">
                  <c:v>0.67667100000000002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B5D-47F3-8FBD-12908E5CE517}"/>
            </c:ext>
          </c:extLst>
        </c:ser>
        <c:ser>
          <c:idx val="20"/>
          <c:order val="20"/>
          <c:tx>
            <c:v>BES_TR3_one480_A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Net_kW!$W$2:$W$49</c:f>
              <c:numCache>
                <c:formatCode>#,##0.000</c:formatCode>
                <c:ptCount val="48"/>
                <c:pt idx="0">
                  <c:v>-9.3333333333001089E-5</c:v>
                </c:pt>
                <c:pt idx="1">
                  <c:v>0</c:v>
                </c:pt>
                <c:pt idx="2">
                  <c:v>0</c:v>
                </c:pt>
                <c:pt idx="3">
                  <c:v>-5.1333333333014597E-5</c:v>
                </c:pt>
                <c:pt idx="4">
                  <c:v>-4.2000000000097508E-5</c:v>
                </c:pt>
                <c:pt idx="5">
                  <c:v>0</c:v>
                </c:pt>
                <c:pt idx="6">
                  <c:v>-7.9333333333014844E-5</c:v>
                </c:pt>
                <c:pt idx="7">
                  <c:v>-4.5480346666666732E-4</c:v>
                </c:pt>
                <c:pt idx="8">
                  <c:v>-2.143333319940682E-8</c:v>
                </c:pt>
                <c:pt idx="9">
                  <c:v>4.2644279999998203E-4</c:v>
                </c:pt>
                <c:pt idx="10">
                  <c:v>-3.4495493333458471E-4</c:v>
                </c:pt>
                <c:pt idx="11">
                  <c:v>5.3356800000958771E-5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4.0545200000074999E-5</c:v>
                </c:pt>
                <c:pt idx="15">
                  <c:v>-0.93405208999999978</c:v>
                </c:pt>
                <c:pt idx="16">
                  <c:v>-2.1775775316000008</c:v>
                </c:pt>
                <c:pt idx="17">
                  <c:v>-2.4270959336</c:v>
                </c:pt>
                <c:pt idx="18">
                  <c:v>-2.6090663626666681</c:v>
                </c:pt>
                <c:pt idx="19">
                  <c:v>-2.9027448727999978</c:v>
                </c:pt>
                <c:pt idx="20">
                  <c:v>-2.9901022764000009</c:v>
                </c:pt>
                <c:pt idx="21">
                  <c:v>-3.2333051211999999</c:v>
                </c:pt>
                <c:pt idx="22">
                  <c:v>-3.2350712580000009</c:v>
                </c:pt>
                <c:pt idx="23">
                  <c:v>-3.3795667088000001</c:v>
                </c:pt>
                <c:pt idx="24">
                  <c:v>-3.3475233290666679</c:v>
                </c:pt>
                <c:pt idx="25">
                  <c:v>-3.3133730053333328</c:v>
                </c:pt>
                <c:pt idx="26">
                  <c:v>-3.2871584820000002</c:v>
                </c:pt>
                <c:pt idx="27">
                  <c:v>-3.0142706608000012</c:v>
                </c:pt>
                <c:pt idx="28">
                  <c:v>-2.9404798932</c:v>
                </c:pt>
                <c:pt idx="29">
                  <c:v>-2.6522671730666678</c:v>
                </c:pt>
                <c:pt idx="30">
                  <c:v>-2.3511612947999998</c:v>
                </c:pt>
                <c:pt idx="31">
                  <c:v>-2.2802529872000008</c:v>
                </c:pt>
                <c:pt idx="32">
                  <c:v>-1.959112723999999</c:v>
                </c:pt>
                <c:pt idx="33">
                  <c:v>-1.5695083395999989</c:v>
                </c:pt>
                <c:pt idx="34">
                  <c:v>-1.380352593999999</c:v>
                </c:pt>
                <c:pt idx="35">
                  <c:v>-1.0894380212000001</c:v>
                </c:pt>
                <c:pt idx="36">
                  <c:v>-0.73256960133333504</c:v>
                </c:pt>
                <c:pt idx="37">
                  <c:v>-0.35585815933333298</c:v>
                </c:pt>
                <c:pt idx="38">
                  <c:v>-0.13761074773333321</c:v>
                </c:pt>
                <c:pt idx="39">
                  <c:v>-3.9948399999989448E-5</c:v>
                </c:pt>
                <c:pt idx="40">
                  <c:v>1.75557066666332E-4</c:v>
                </c:pt>
                <c:pt idx="41">
                  <c:v>-3.99333333332974E-4</c:v>
                </c:pt>
                <c:pt idx="42">
                  <c:v>1.7666666666699141E-4</c:v>
                </c:pt>
                <c:pt idx="43">
                  <c:v>4.4700000000003071E-4</c:v>
                </c:pt>
                <c:pt idx="44">
                  <c:v>1.833333333329801E-4</c:v>
                </c:pt>
                <c:pt idx="45">
                  <c:v>-1.6599999999999951E-4</c:v>
                </c:pt>
                <c:pt idx="46">
                  <c:v>-2.4266666666705741E-4</c:v>
                </c:pt>
                <c:pt idx="47">
                  <c:v>-8.2666666667008393E-5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B5D-47F3-8FBD-12908E5CE517}"/>
            </c:ext>
          </c:extLst>
        </c:ser>
        <c:ser>
          <c:idx val="21"/>
          <c:order val="21"/>
          <c:tx>
            <c:v>BES_TR3_one482_B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-4.0533333333300781E-4</c:v>
                </c:pt>
                <c:pt idx="3">
                  <c:v>0</c:v>
                </c:pt>
                <c:pt idx="4">
                  <c:v>2.24000000000002E-4</c:v>
                </c:pt>
                <c:pt idx="5">
                  <c:v>3.7066666666658871E-4</c:v>
                </c:pt>
                <c:pt idx="6">
                  <c:v>0</c:v>
                </c:pt>
                <c:pt idx="7">
                  <c:v>4.6852986666634511E-4</c:v>
                </c:pt>
                <c:pt idx="8">
                  <c:v>-4.9159199999902058E-5</c:v>
                </c:pt>
                <c:pt idx="9">
                  <c:v>4.2644280000000978E-4</c:v>
                </c:pt>
                <c:pt idx="10">
                  <c:v>2.5437839999897788E-4</c:v>
                </c:pt>
                <c:pt idx="11">
                  <c:v>1.420234666681397E-4</c:v>
                </c:pt>
                <c:pt idx="12">
                  <c:v>1.934073333318409E-4</c:v>
                </c:pt>
                <c:pt idx="13">
                  <c:v>-2.5850106666513989E-4</c:v>
                </c:pt>
                <c:pt idx="14">
                  <c:v>4.0545199999852948E-5</c:v>
                </c:pt>
                <c:pt idx="15">
                  <c:v>-0.64603142333333285</c:v>
                </c:pt>
                <c:pt idx="16">
                  <c:v>-2.2113293982666682</c:v>
                </c:pt>
                <c:pt idx="17">
                  <c:v>-2.482903066933333</c:v>
                </c:pt>
                <c:pt idx="18">
                  <c:v>-2.6051746960000011</c:v>
                </c:pt>
                <c:pt idx="19">
                  <c:v>-2.7362234061333321</c:v>
                </c:pt>
                <c:pt idx="20">
                  <c:v>-2.8337457430666682</c:v>
                </c:pt>
                <c:pt idx="21">
                  <c:v>-3.1096907545333332</c:v>
                </c:pt>
                <c:pt idx="22">
                  <c:v>-2.822070224666668</c:v>
                </c:pt>
                <c:pt idx="23">
                  <c:v>-2.4316650088</c:v>
                </c:pt>
                <c:pt idx="24">
                  <c:v>-3.3749648957333349</c:v>
                </c:pt>
                <c:pt idx="25">
                  <c:v>-3.3125828386666671</c:v>
                </c:pt>
                <c:pt idx="26">
                  <c:v>-3.1964421486666672</c:v>
                </c:pt>
                <c:pt idx="27">
                  <c:v>-3.125576394133335</c:v>
                </c:pt>
                <c:pt idx="28">
                  <c:v>-2.0935158265333329</c:v>
                </c:pt>
                <c:pt idx="29">
                  <c:v>-2.751704839733335</c:v>
                </c:pt>
                <c:pt idx="30">
                  <c:v>-2.5312618281333328</c:v>
                </c:pt>
                <c:pt idx="31">
                  <c:v>-2.363527853866668</c:v>
                </c:pt>
                <c:pt idx="32">
                  <c:v>-2.0322613906666649</c:v>
                </c:pt>
                <c:pt idx="33">
                  <c:v>-1.791071272933332</c:v>
                </c:pt>
                <c:pt idx="34">
                  <c:v>-1.486211727333332</c:v>
                </c:pt>
                <c:pt idx="35">
                  <c:v>-1.038009954533333</c:v>
                </c:pt>
                <c:pt idx="36">
                  <c:v>-0.57300046800000104</c:v>
                </c:pt>
                <c:pt idx="37">
                  <c:v>3.1940666670060569E-5</c:v>
                </c:pt>
                <c:pt idx="38">
                  <c:v>-2.1808106666618141E-4</c:v>
                </c:pt>
                <c:pt idx="39">
                  <c:v>5.1599999995044499E-8</c:v>
                </c:pt>
                <c:pt idx="40">
                  <c:v>2.3622373333331839E-4</c:v>
                </c:pt>
                <c:pt idx="41">
                  <c:v>0</c:v>
                </c:pt>
                <c:pt idx="42">
                  <c:v>-4.0533333333300781E-4</c:v>
                </c:pt>
                <c:pt idx="43">
                  <c:v>0</c:v>
                </c:pt>
                <c:pt idx="44">
                  <c:v>-4.0533333333300781E-4</c:v>
                </c:pt>
                <c:pt idx="45">
                  <c:v>0</c:v>
                </c:pt>
                <c:pt idx="46">
                  <c:v>-3.1466666666669918E-4</c:v>
                </c:pt>
                <c:pt idx="47">
                  <c:v>-9.0666666666988638E-5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B5D-47F3-8FBD-12908E5CE517}"/>
            </c:ext>
          </c:extLst>
        </c:ser>
        <c:ser>
          <c:idx val="22"/>
          <c:order val="22"/>
          <c:tx>
            <c:v>BES_TR3_one521_C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Net_kW!$Y$2:$Y$49</c:f>
              <c:numCache>
                <c:formatCode>#,##0.000</c:formatCode>
                <c:ptCount val="48"/>
                <c:pt idx="0">
                  <c:v>-1.819999999999877E-4</c:v>
                </c:pt>
                <c:pt idx="1">
                  <c:v>-1.03999999999993E-4</c:v>
                </c:pt>
                <c:pt idx="2">
                  <c:v>0</c:v>
                </c:pt>
                <c:pt idx="3">
                  <c:v>0</c:v>
                </c:pt>
                <c:pt idx="4">
                  <c:v>-2.8599999999998071E-4</c:v>
                </c:pt>
                <c:pt idx="5">
                  <c:v>0</c:v>
                </c:pt>
                <c:pt idx="6">
                  <c:v>-1.4300000000000421E-4</c:v>
                </c:pt>
                <c:pt idx="7">
                  <c:v>4.1619653333331558E-4</c:v>
                </c:pt>
                <c:pt idx="8">
                  <c:v>-2.143333319940682E-8</c:v>
                </c:pt>
                <c:pt idx="9">
                  <c:v>1.4044280000000481E-4</c:v>
                </c:pt>
                <c:pt idx="10">
                  <c:v>-3.4028826666798739E-4</c:v>
                </c:pt>
                <c:pt idx="11">
                  <c:v>-1.4397653333209079E-4</c:v>
                </c:pt>
                <c:pt idx="12">
                  <c:v>8.1407333331950937E-5</c:v>
                </c:pt>
                <c:pt idx="13">
                  <c:v>1.288322666679331E-4</c:v>
                </c:pt>
                <c:pt idx="14">
                  <c:v>-1.1545479999997001E-4</c:v>
                </c:pt>
                <c:pt idx="15">
                  <c:v>-0.40030742333333319</c:v>
                </c:pt>
                <c:pt idx="16">
                  <c:v>-2.0200363982666678</c:v>
                </c:pt>
                <c:pt idx="17">
                  <c:v>-2.375272266933333</c:v>
                </c:pt>
                <c:pt idx="18">
                  <c:v>-2.5455373626666682</c:v>
                </c:pt>
                <c:pt idx="19">
                  <c:v>-2.6455274061333318</c:v>
                </c:pt>
                <c:pt idx="20">
                  <c:v>-2.9449189430666678</c:v>
                </c:pt>
                <c:pt idx="21">
                  <c:v>-2.9450781211999999</c:v>
                </c:pt>
                <c:pt idx="22">
                  <c:v>-3.1559469246666678</c:v>
                </c:pt>
                <c:pt idx="23">
                  <c:v>-2.0676470421333302</c:v>
                </c:pt>
                <c:pt idx="24">
                  <c:v>-3.1774339957333351</c:v>
                </c:pt>
                <c:pt idx="25">
                  <c:v>-3.266855005333333</c:v>
                </c:pt>
                <c:pt idx="26">
                  <c:v>-3.1334444819999998</c:v>
                </c:pt>
                <c:pt idx="27">
                  <c:v>-3.1633343274666679</c:v>
                </c:pt>
                <c:pt idx="28">
                  <c:v>-2.9187812265333331</c:v>
                </c:pt>
                <c:pt idx="29">
                  <c:v>-2.568762506400001</c:v>
                </c:pt>
                <c:pt idx="30">
                  <c:v>-1.42016582813333</c:v>
                </c:pt>
                <c:pt idx="31">
                  <c:v>-2.2108945205333339</c:v>
                </c:pt>
                <c:pt idx="32">
                  <c:v>-2.071436723999998</c:v>
                </c:pt>
                <c:pt idx="33">
                  <c:v>-1.6763536062666651</c:v>
                </c:pt>
                <c:pt idx="34">
                  <c:v>-1.290576727333332</c:v>
                </c:pt>
                <c:pt idx="35">
                  <c:v>-1.060368954533333</c:v>
                </c:pt>
                <c:pt idx="36">
                  <c:v>-0.68477193466666808</c:v>
                </c:pt>
                <c:pt idx="37">
                  <c:v>-0.48198072600000003</c:v>
                </c:pt>
                <c:pt idx="38">
                  <c:v>-0.2063507477333332</c:v>
                </c:pt>
                <c:pt idx="39">
                  <c:v>2.160516000000445E-4</c:v>
                </c:pt>
                <c:pt idx="40">
                  <c:v>3.9522373333311661E-4</c:v>
                </c:pt>
                <c:pt idx="41">
                  <c:v>3.5333333333301131E-4</c:v>
                </c:pt>
                <c:pt idx="42">
                  <c:v>-4.1800000000002951E-4</c:v>
                </c:pt>
                <c:pt idx="43">
                  <c:v>-5.1999999999996487E-5</c:v>
                </c:pt>
                <c:pt idx="44">
                  <c:v>1.2666666666699691E-4</c:v>
                </c:pt>
                <c:pt idx="45">
                  <c:v>-2.9566666666699942E-4</c:v>
                </c:pt>
                <c:pt idx="46">
                  <c:v>2.7499999999999752E-4</c:v>
                </c:pt>
                <c:pt idx="47">
                  <c:v>3.5933333333293399E-4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B5D-47F3-8FBD-12908E5CE517}"/>
            </c:ext>
          </c:extLst>
        </c:ser>
        <c:ser>
          <c:idx val="23"/>
          <c:order val="23"/>
          <c:tx>
            <c:v>BES_TR3_one528_C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Net_kW!$Z$2:$Z$49</c:f>
              <c:numCache>
                <c:formatCode>#,##0.000</c:formatCode>
                <c:ptCount val="48"/>
                <c:pt idx="0">
                  <c:v>-4.326666666669976E-4</c:v>
                </c:pt>
                <c:pt idx="1">
                  <c:v>-1.7666666666596439E-5</c:v>
                </c:pt>
                <c:pt idx="2">
                  <c:v>4.9666666667030901E-5</c:v>
                </c:pt>
                <c:pt idx="3">
                  <c:v>-1.799999999999996E-4</c:v>
                </c:pt>
                <c:pt idx="4">
                  <c:v>-2.1200000000000391E-4</c:v>
                </c:pt>
                <c:pt idx="5">
                  <c:v>-5.0999999999995493E-5</c:v>
                </c:pt>
                <c:pt idx="6">
                  <c:v>1.15000000000004E-4</c:v>
                </c:pt>
                <c:pt idx="7">
                  <c:v>2.41196533333321E-4</c:v>
                </c:pt>
                <c:pt idx="8">
                  <c:v>2.655074666667988E-4</c:v>
                </c:pt>
                <c:pt idx="9">
                  <c:v>1.084427999999832E-4</c:v>
                </c:pt>
                <c:pt idx="10">
                  <c:v>-2.5862160000106332E-4</c:v>
                </c:pt>
                <c:pt idx="11">
                  <c:v>-8.7643199998543864E-5</c:v>
                </c:pt>
                <c:pt idx="12">
                  <c:v>-5.4259333335138222E-5</c:v>
                </c:pt>
                <c:pt idx="13">
                  <c:v>2.4649893333483769E-4</c:v>
                </c:pt>
                <c:pt idx="14">
                  <c:v>4.0545200000074999E-5</c:v>
                </c:pt>
                <c:pt idx="15">
                  <c:v>-0.2167740899999997</c:v>
                </c:pt>
                <c:pt idx="16">
                  <c:v>-2.2163293982666681</c:v>
                </c:pt>
                <c:pt idx="17">
                  <c:v>-2.4153609336000001</c:v>
                </c:pt>
                <c:pt idx="18">
                  <c:v>-2.6070133626666681</c:v>
                </c:pt>
                <c:pt idx="19">
                  <c:v>-2.9183834061333318</c:v>
                </c:pt>
                <c:pt idx="20">
                  <c:v>-2.9836819430666681</c:v>
                </c:pt>
                <c:pt idx="21">
                  <c:v>-3.1567801212000002</c:v>
                </c:pt>
                <c:pt idx="22">
                  <c:v>-3.2772429246666679</c:v>
                </c:pt>
                <c:pt idx="23">
                  <c:v>-3.2701547087999998</c:v>
                </c:pt>
                <c:pt idx="24">
                  <c:v>-3.3787763290666679</c:v>
                </c:pt>
                <c:pt idx="25">
                  <c:v>-3.302266672</c:v>
                </c:pt>
                <c:pt idx="26">
                  <c:v>-3.2420434820000001</c:v>
                </c:pt>
                <c:pt idx="27">
                  <c:v>-3.0976346608000012</c:v>
                </c:pt>
                <c:pt idx="28">
                  <c:v>-2.842099559866667</c:v>
                </c:pt>
                <c:pt idx="29">
                  <c:v>-2.7061581730666679</c:v>
                </c:pt>
                <c:pt idx="30">
                  <c:v>-2.6311284948</c:v>
                </c:pt>
                <c:pt idx="31">
                  <c:v>-2.2764138538666678</c:v>
                </c:pt>
                <c:pt idx="32">
                  <c:v>-2.0501180573333322</c:v>
                </c:pt>
                <c:pt idx="33">
                  <c:v>-1.6913712729333319</c:v>
                </c:pt>
                <c:pt idx="34">
                  <c:v>-1.2096727273333321</c:v>
                </c:pt>
                <c:pt idx="35">
                  <c:v>-0.99208595453333304</c:v>
                </c:pt>
                <c:pt idx="36">
                  <c:v>-0.468693268000001</c:v>
                </c:pt>
                <c:pt idx="37">
                  <c:v>-0.122725392666666</c:v>
                </c:pt>
                <c:pt idx="38">
                  <c:v>-2.7550414400000171E-2</c:v>
                </c:pt>
                <c:pt idx="39">
                  <c:v>3.2338493333300411E-4</c:v>
                </c:pt>
                <c:pt idx="40">
                  <c:v>-2.4044293333380651E-4</c:v>
                </c:pt>
                <c:pt idx="41">
                  <c:v>3.66666666670179E-5</c:v>
                </c:pt>
                <c:pt idx="42">
                  <c:v>-2.40000000000018E-4</c:v>
                </c:pt>
                <c:pt idx="43">
                  <c:v>-1.236666666665914E-4</c:v>
                </c:pt>
                <c:pt idx="44">
                  <c:v>4.7566666666704061E-4</c:v>
                </c:pt>
                <c:pt idx="45">
                  <c:v>-1.3266666666700291E-4</c:v>
                </c:pt>
                <c:pt idx="46">
                  <c:v>1.6466666666703489E-4</c:v>
                </c:pt>
                <c:pt idx="47">
                  <c:v>3.3379999999999521E-4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B5D-47F3-8FBD-12908E5CE517}"/>
            </c:ext>
          </c:extLst>
        </c:ser>
        <c:ser>
          <c:idx val="24"/>
          <c:order val="24"/>
          <c:tx>
            <c:v>BES_TR3_one61_A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Net_kW!$AA$2:$AA$49</c:f>
              <c:numCache>
                <c:formatCode>#,##0.000</c:formatCode>
                <c:ptCount val="48"/>
                <c:pt idx="0">
                  <c:v>2.6666666666924628E-6</c:v>
                </c:pt>
                <c:pt idx="1">
                  <c:v>-4.2599999999998189E-4</c:v>
                </c:pt>
                <c:pt idx="2">
                  <c:v>0</c:v>
                </c:pt>
                <c:pt idx="3">
                  <c:v>-3.7000000000000921E-4</c:v>
                </c:pt>
                <c:pt idx="4">
                  <c:v>-5.3333333332988841E-5</c:v>
                </c:pt>
                <c:pt idx="5">
                  <c:v>0</c:v>
                </c:pt>
                <c:pt idx="6">
                  <c:v>-4.3800000000002171E-4</c:v>
                </c:pt>
                <c:pt idx="7">
                  <c:v>-1.3783549999968339E-4</c:v>
                </c:pt>
                <c:pt idx="8">
                  <c:v>-8.2057833333246122E-5</c:v>
                </c:pt>
                <c:pt idx="9">
                  <c:v>-4.0847325000002021E-4</c:v>
                </c:pt>
                <c:pt idx="10">
                  <c:v>2.889864999995051E-4</c:v>
                </c:pt>
                <c:pt idx="11">
                  <c:v>-3.3390199999944192E-4</c:v>
                </c:pt>
                <c:pt idx="12">
                  <c:v>3.0021291666548772E-4</c:v>
                </c:pt>
                <c:pt idx="13">
                  <c:v>4.1177016666760208E-4</c:v>
                </c:pt>
                <c:pt idx="14">
                  <c:v>-2.099925833330962E-4</c:v>
                </c:pt>
                <c:pt idx="15">
                  <c:v>-1.413062499999729E-4</c:v>
                </c:pt>
                <c:pt idx="16">
                  <c:v>-2.0587391666793131E-4</c:v>
                </c:pt>
                <c:pt idx="17">
                  <c:v>-7.1500166667126663E-5</c:v>
                </c:pt>
                <c:pt idx="18">
                  <c:v>-1.3071182683333351</c:v>
                </c:pt>
                <c:pt idx="19">
                  <c:v>-1.804989628833332</c:v>
                </c:pt>
                <c:pt idx="20">
                  <c:v>-1.8365615894166669</c:v>
                </c:pt>
                <c:pt idx="21">
                  <c:v>-1.8174330340833329</c:v>
                </c:pt>
                <c:pt idx="22">
                  <c:v>-2.066611202916667</c:v>
                </c:pt>
                <c:pt idx="23">
                  <c:v>-1.894333526333333</c:v>
                </c:pt>
                <c:pt idx="24">
                  <c:v>-2.0401198306666668</c:v>
                </c:pt>
                <c:pt idx="25">
                  <c:v>-1.9737383783333331</c:v>
                </c:pt>
                <c:pt idx="26">
                  <c:v>-1.8878600512499999</c:v>
                </c:pt>
                <c:pt idx="27">
                  <c:v>-1.959333954666667</c:v>
                </c:pt>
                <c:pt idx="28">
                  <c:v>-1.6380287665833331</c:v>
                </c:pt>
                <c:pt idx="29">
                  <c:v>-1.7162058581666679</c:v>
                </c:pt>
                <c:pt idx="30">
                  <c:v>-1.54370230925</c:v>
                </c:pt>
                <c:pt idx="31">
                  <c:v>-1.2949162420000011</c:v>
                </c:pt>
                <c:pt idx="32">
                  <c:v>-1.3071250358333319</c:v>
                </c:pt>
                <c:pt idx="33">
                  <c:v>-1.103544545583333</c:v>
                </c:pt>
                <c:pt idx="34">
                  <c:v>-0.83125432958333245</c:v>
                </c:pt>
                <c:pt idx="35">
                  <c:v>-0.53639484658333303</c:v>
                </c:pt>
                <c:pt idx="36">
                  <c:v>-0.42472375083333452</c:v>
                </c:pt>
                <c:pt idx="37">
                  <c:v>-0.185205870416667</c:v>
                </c:pt>
                <c:pt idx="38">
                  <c:v>-0.16519913399999989</c:v>
                </c:pt>
                <c:pt idx="39">
                  <c:v>-3.5430108333330679E-4</c:v>
                </c:pt>
                <c:pt idx="40">
                  <c:v>-3.9636016666672052E-4</c:v>
                </c:pt>
                <c:pt idx="41">
                  <c:v>0</c:v>
                </c:pt>
                <c:pt idx="42">
                  <c:v>-4.2333333333299811E-4</c:v>
                </c:pt>
                <c:pt idx="43">
                  <c:v>0</c:v>
                </c:pt>
                <c:pt idx="44">
                  <c:v>1.066666666701965E-5</c:v>
                </c:pt>
                <c:pt idx="45">
                  <c:v>4.0000000000040004E-6</c:v>
                </c:pt>
                <c:pt idx="46">
                  <c:v>2.6666666666924628E-6</c:v>
                </c:pt>
                <c:pt idx="47">
                  <c:v>1.1999999999984251E-5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B5D-47F3-8FBD-12908E5CE517}"/>
            </c:ext>
          </c:extLst>
        </c:ser>
        <c:ser>
          <c:idx val="25"/>
          <c:order val="25"/>
          <c:tx>
            <c:v>BES_TR3_one544_A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Net_kW!$AB$2:$AB$49</c:f>
              <c:numCache>
                <c:formatCode>#,##0.000</c:formatCode>
                <c:ptCount val="48"/>
                <c:pt idx="0">
                  <c:v>-2.0166666666704411E-4</c:v>
                </c:pt>
                <c:pt idx="1">
                  <c:v>-3.7733333332989888E-4</c:v>
                </c:pt>
                <c:pt idx="2">
                  <c:v>3.5666666666700492E-4</c:v>
                </c:pt>
                <c:pt idx="3">
                  <c:v>-3.8000000000000528E-4</c:v>
                </c:pt>
                <c:pt idx="4">
                  <c:v>-7.1666666666997392E-5</c:v>
                </c:pt>
                <c:pt idx="5">
                  <c:v>9.7548333333332987E-2</c:v>
                </c:pt>
                <c:pt idx="6">
                  <c:v>4.2999999999999997E-2</c:v>
                </c:pt>
                <c:pt idx="7">
                  <c:v>0.1801691965333333</c:v>
                </c:pt>
                <c:pt idx="8">
                  <c:v>7.1182174133333803E-2</c:v>
                </c:pt>
                <c:pt idx="9">
                  <c:v>1.8810946666661391E-4</c:v>
                </c:pt>
                <c:pt idx="10">
                  <c:v>-2.9528826666802571E-4</c:v>
                </c:pt>
                <c:pt idx="11">
                  <c:v>-2.379765333319073E-4</c:v>
                </c:pt>
                <c:pt idx="12">
                  <c:v>-6.1926000001100157E-5</c:v>
                </c:pt>
                <c:pt idx="13">
                  <c:v>2.588322666678966E-4</c:v>
                </c:pt>
                <c:pt idx="14">
                  <c:v>4.0054519999999089E-4</c:v>
                </c:pt>
                <c:pt idx="15">
                  <c:v>3.7857666666707418E-4</c:v>
                </c:pt>
                <c:pt idx="16">
                  <c:v>-0.56021873160000113</c:v>
                </c:pt>
                <c:pt idx="17">
                  <c:v>-2.2024332669333329</c:v>
                </c:pt>
                <c:pt idx="18">
                  <c:v>-2.5541536960000011</c:v>
                </c:pt>
                <c:pt idx="19">
                  <c:v>-2.8338014061333321</c:v>
                </c:pt>
                <c:pt idx="20">
                  <c:v>-3.032388943066668</c:v>
                </c:pt>
                <c:pt idx="21">
                  <c:v>-3.1778117878666672</c:v>
                </c:pt>
                <c:pt idx="22">
                  <c:v>-3.2290245913333351</c:v>
                </c:pt>
                <c:pt idx="23">
                  <c:v>-3.3136411088000002</c:v>
                </c:pt>
                <c:pt idx="24">
                  <c:v>-3.0328596624000008</c:v>
                </c:pt>
                <c:pt idx="25">
                  <c:v>-3.271251672</c:v>
                </c:pt>
                <c:pt idx="26">
                  <c:v>-3.2774684820000002</c:v>
                </c:pt>
                <c:pt idx="27">
                  <c:v>-3.0163343274666681</c:v>
                </c:pt>
                <c:pt idx="28">
                  <c:v>-2.8569932265333331</c:v>
                </c:pt>
                <c:pt idx="29">
                  <c:v>-2.6054558397333349</c:v>
                </c:pt>
                <c:pt idx="30">
                  <c:v>-2.5970701614666671</c:v>
                </c:pt>
                <c:pt idx="31">
                  <c:v>-2.331963853866668</c:v>
                </c:pt>
                <c:pt idx="32">
                  <c:v>-2.0486833906666648</c:v>
                </c:pt>
                <c:pt idx="33">
                  <c:v>-1.7073312729333321</c:v>
                </c:pt>
                <c:pt idx="34">
                  <c:v>-1.4315917273333321</c:v>
                </c:pt>
                <c:pt idx="35">
                  <c:v>-1.0110929545333329</c:v>
                </c:pt>
                <c:pt idx="36">
                  <c:v>-0.86555693466666805</c:v>
                </c:pt>
                <c:pt idx="37">
                  <c:v>-0.36563405933333298</c:v>
                </c:pt>
                <c:pt idx="38">
                  <c:v>-0.26677408106666622</c:v>
                </c:pt>
                <c:pt idx="39">
                  <c:v>-1.8281733332986549E-5</c:v>
                </c:pt>
                <c:pt idx="40">
                  <c:v>1.6989040000026101E-4</c:v>
                </c:pt>
                <c:pt idx="41">
                  <c:v>-1.3000000000001899E-4</c:v>
                </c:pt>
                <c:pt idx="42">
                  <c:v>-4.503333333329973E-4</c:v>
                </c:pt>
                <c:pt idx="43">
                  <c:v>-2.9299999999998771E-4</c:v>
                </c:pt>
                <c:pt idx="44">
                  <c:v>9.6666666665967682E-5</c:v>
                </c:pt>
                <c:pt idx="45">
                  <c:v>2.3999999999996249E-4</c:v>
                </c:pt>
                <c:pt idx="46">
                  <c:v>-1.649999999999707E-4</c:v>
                </c:pt>
                <c:pt idx="47">
                  <c:v>3.3500000000002972E-4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B5D-47F3-8FBD-12908E5CE517}"/>
            </c:ext>
          </c:extLst>
        </c:ser>
        <c:ser>
          <c:idx val="26"/>
          <c:order val="26"/>
          <c:tx>
            <c:v>BES_TR3_one552_B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Net_kW!$AC$2:$AC$49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2.2999999999998019E-4</c:v>
                </c:pt>
                <c:pt idx="3">
                  <c:v>0</c:v>
                </c:pt>
                <c:pt idx="4">
                  <c:v>3.3500000000000202E-4</c:v>
                </c:pt>
                <c:pt idx="5">
                  <c:v>-1.04999999999994E-4</c:v>
                </c:pt>
                <c:pt idx="6">
                  <c:v>0</c:v>
                </c:pt>
                <c:pt idx="7">
                  <c:v>2.1929696666667109E-4</c:v>
                </c:pt>
                <c:pt idx="8">
                  <c:v>4.8231903333343691E-4</c:v>
                </c:pt>
                <c:pt idx="9">
                  <c:v>-2.6862550000002899E-5</c:v>
                </c:pt>
                <c:pt idx="10">
                  <c:v>8.2247766665488609E-5</c:v>
                </c:pt>
                <c:pt idx="11">
                  <c:v>-1.2572946666533641E-4</c:v>
                </c:pt>
                <c:pt idx="12">
                  <c:v>3.0123141666538178E-4</c:v>
                </c:pt>
                <c:pt idx="13">
                  <c:v>-2.3521766664869052E-5</c:v>
                </c:pt>
                <c:pt idx="14">
                  <c:v>-1.045229500000744E-4</c:v>
                </c:pt>
                <c:pt idx="15">
                  <c:v>2.4450458333413749E-4</c:v>
                </c:pt>
                <c:pt idx="16">
                  <c:v>-0.70998289015000116</c:v>
                </c:pt>
                <c:pt idx="17">
                  <c:v>-1.8886089002333331</c:v>
                </c:pt>
                <c:pt idx="18">
                  <c:v>-2.1300094423333351</c:v>
                </c:pt>
                <c:pt idx="19">
                  <c:v>-2.3530854803666652</c:v>
                </c:pt>
                <c:pt idx="20">
                  <c:v>-2.3490258251833338</c:v>
                </c:pt>
                <c:pt idx="21">
                  <c:v>-2.7611479810500001</c:v>
                </c:pt>
                <c:pt idx="22">
                  <c:v>-2.795119184083334</c:v>
                </c:pt>
                <c:pt idx="23">
                  <c:v>-2.8322289035333328</c:v>
                </c:pt>
                <c:pt idx="24">
                  <c:v>-2.9581711629333349</c:v>
                </c:pt>
                <c:pt idx="25">
                  <c:v>-2.8494164629999998</c:v>
                </c:pt>
                <c:pt idx="26">
                  <c:v>-2.7783986717500002</c:v>
                </c:pt>
                <c:pt idx="27">
                  <c:v>-2.7541538698666681</c:v>
                </c:pt>
                <c:pt idx="28">
                  <c:v>-2.4929144065500002</c:v>
                </c:pt>
                <c:pt idx="29">
                  <c:v>-2.424591401433335</c:v>
                </c:pt>
                <c:pt idx="30">
                  <c:v>-2.2493587996166671</c:v>
                </c:pt>
                <c:pt idx="31">
                  <c:v>-1.8327632054666669</c:v>
                </c:pt>
                <c:pt idx="32">
                  <c:v>-1.751545050166665</c:v>
                </c:pt>
                <c:pt idx="33">
                  <c:v>-1.3155243638166649</c:v>
                </c:pt>
                <c:pt idx="34">
                  <c:v>-1.2063862614166649</c:v>
                </c:pt>
                <c:pt idx="35">
                  <c:v>-0.93567541855000003</c:v>
                </c:pt>
                <c:pt idx="36">
                  <c:v>-0.51217345116666746</c:v>
                </c:pt>
                <c:pt idx="37">
                  <c:v>-0.43589358524999999</c:v>
                </c:pt>
                <c:pt idx="38">
                  <c:v>2.006790666665009E-4</c:v>
                </c:pt>
                <c:pt idx="39">
                  <c:v>-2.332881833330136E-4</c:v>
                </c:pt>
                <c:pt idx="40">
                  <c:v>-2.9697090000035947E-4</c:v>
                </c:pt>
                <c:pt idx="41">
                  <c:v>3.9499999999992319E-4</c:v>
                </c:pt>
                <c:pt idx="42">
                  <c:v>-4.0366666666702411E-4</c:v>
                </c:pt>
                <c:pt idx="43">
                  <c:v>-2.6266666666707739E-4</c:v>
                </c:pt>
                <c:pt idx="44">
                  <c:v>-1.2000000000012E-4</c:v>
                </c:pt>
                <c:pt idx="45">
                  <c:v>4.6399999999996439E-4</c:v>
                </c:pt>
                <c:pt idx="46">
                  <c:v>-4.283333333339745E-4</c:v>
                </c:pt>
                <c:pt idx="47">
                  <c:v>-1.750000000001056E-4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B5D-47F3-8FBD-12908E5CE517}"/>
            </c:ext>
          </c:extLst>
        </c:ser>
        <c:ser>
          <c:idx val="27"/>
          <c:order val="27"/>
          <c:tx>
            <c:v>BES_TR3_one559_C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Net_kW!$AD$2:$AD$49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-2.346666666669939E-4</c:v>
                </c:pt>
                <c:pt idx="2">
                  <c:v>3.6000000000008248E-5</c:v>
                </c:pt>
                <c:pt idx="3">
                  <c:v>1.733333333329978E-4</c:v>
                </c:pt>
                <c:pt idx="4">
                  <c:v>-9.4000000000010742E-5</c:v>
                </c:pt>
                <c:pt idx="5">
                  <c:v>-1.0466666666703039E-4</c:v>
                </c:pt>
                <c:pt idx="6">
                  <c:v>-6.9388939039072284E-18</c:v>
                </c:pt>
                <c:pt idx="7">
                  <c:v>3.6052986666634812E-4</c:v>
                </c:pt>
                <c:pt idx="8">
                  <c:v>2.6550746666679538E-4</c:v>
                </c:pt>
                <c:pt idx="9">
                  <c:v>-1.3889053333300541E-4</c:v>
                </c:pt>
                <c:pt idx="10">
                  <c:v>2.6378399998971961E-5</c:v>
                </c:pt>
                <c:pt idx="11">
                  <c:v>1.420234666680287E-4</c:v>
                </c:pt>
                <c:pt idx="12">
                  <c:v>-1.172593333350624E-4</c:v>
                </c:pt>
                <c:pt idx="13">
                  <c:v>2.588322666678966E-4</c:v>
                </c:pt>
                <c:pt idx="14">
                  <c:v>-4.5454800000177542E-5</c:v>
                </c:pt>
                <c:pt idx="15">
                  <c:v>2.6124333333310551E-4</c:v>
                </c:pt>
                <c:pt idx="16">
                  <c:v>-1.4497027316000011</c:v>
                </c:pt>
                <c:pt idx="17">
                  <c:v>-2.2804762669333338</c:v>
                </c:pt>
                <c:pt idx="18">
                  <c:v>-2.708575362666668</c:v>
                </c:pt>
                <c:pt idx="19">
                  <c:v>-2.8800874061333319</c:v>
                </c:pt>
                <c:pt idx="20">
                  <c:v>-2.864046943066668</c:v>
                </c:pt>
                <c:pt idx="21">
                  <c:v>-3.1907617878666672</c:v>
                </c:pt>
                <c:pt idx="22">
                  <c:v>-3.232941924666668</c:v>
                </c:pt>
                <c:pt idx="23">
                  <c:v>-3.3169747088000001</c:v>
                </c:pt>
                <c:pt idx="24">
                  <c:v>-3.382481329066668</c:v>
                </c:pt>
                <c:pt idx="25">
                  <c:v>-3.2136936719999998</c:v>
                </c:pt>
                <c:pt idx="26">
                  <c:v>-3.1469851486666669</c:v>
                </c:pt>
                <c:pt idx="27">
                  <c:v>-2.7962336608000009</c:v>
                </c:pt>
                <c:pt idx="28">
                  <c:v>-2.8578945598666672</c:v>
                </c:pt>
                <c:pt idx="29">
                  <c:v>-2.638383906400001</c:v>
                </c:pt>
                <c:pt idx="30">
                  <c:v>-2.5533884948000001</c:v>
                </c:pt>
                <c:pt idx="31">
                  <c:v>-2.321005853866668</c:v>
                </c:pt>
                <c:pt idx="32">
                  <c:v>-1.9790387239999989</c:v>
                </c:pt>
                <c:pt idx="33">
                  <c:v>-1.666065939599999</c:v>
                </c:pt>
                <c:pt idx="34">
                  <c:v>-1.3618597273333319</c:v>
                </c:pt>
                <c:pt idx="35">
                  <c:v>-0.9296356212000001</c:v>
                </c:pt>
                <c:pt idx="36">
                  <c:v>-0.57139193466666804</c:v>
                </c:pt>
                <c:pt idx="37">
                  <c:v>-0.42980505933333302</c:v>
                </c:pt>
                <c:pt idx="38">
                  <c:v>7.8585599999791977E-5</c:v>
                </c:pt>
                <c:pt idx="39">
                  <c:v>-4.4761506666701761E-4</c:v>
                </c:pt>
                <c:pt idx="40">
                  <c:v>-4.2677626666676177E-4</c:v>
                </c:pt>
                <c:pt idx="41">
                  <c:v>2.3133333332991951E-4</c:v>
                </c:pt>
                <c:pt idx="42">
                  <c:v>3.6700000000011718E-4</c:v>
                </c:pt>
                <c:pt idx="43">
                  <c:v>-3.7500000000001421E-4</c:v>
                </c:pt>
                <c:pt idx="44">
                  <c:v>-6.0000000000171028E-5</c:v>
                </c:pt>
                <c:pt idx="45">
                  <c:v>0.46131300000000008</c:v>
                </c:pt>
                <c:pt idx="46">
                  <c:v>0.87497366666666698</c:v>
                </c:pt>
                <c:pt idx="47">
                  <c:v>0.52163599999999999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B5D-47F3-8FBD-12908E5CE517}"/>
            </c:ext>
          </c:extLst>
        </c:ser>
        <c:ser>
          <c:idx val="28"/>
          <c:order val="28"/>
          <c:tx>
            <c:v>BES_TR3_one570_B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Net_kW!$AE$2:$AE$49</c:f>
              <c:numCache>
                <c:formatCode>#,##0.000</c:formatCode>
                <c:ptCount val="48"/>
                <c:pt idx="0">
                  <c:v>0</c:v>
                </c:pt>
                <c:pt idx="1">
                  <c:v>-3.2000000000004247E-5</c:v>
                </c:pt>
                <c:pt idx="2">
                  <c:v>0</c:v>
                </c:pt>
                <c:pt idx="3">
                  <c:v>-3.2000000000004247E-5</c:v>
                </c:pt>
                <c:pt idx="4">
                  <c:v>0</c:v>
                </c:pt>
                <c:pt idx="5">
                  <c:v>-3.2000000000004247E-5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-3.0086939999990001E-4</c:v>
                </c:pt>
                <c:pt idx="9">
                  <c:v>-4.3016789999997251E-4</c:v>
                </c:pt>
                <c:pt idx="10">
                  <c:v>4.2145046666569602E-4</c:v>
                </c:pt>
                <c:pt idx="11">
                  <c:v>1.4785093333430371E-4</c:v>
                </c:pt>
                <c:pt idx="12">
                  <c:v>3.2772216666898668E-4</c:v>
                </c:pt>
                <c:pt idx="13">
                  <c:v>4.5412420000112702E-4</c:v>
                </c:pt>
                <c:pt idx="14">
                  <c:v>-1.3625776666659209E-4</c:v>
                </c:pt>
                <c:pt idx="15">
                  <c:v>2.8509916666652479E-4</c:v>
                </c:pt>
                <c:pt idx="16">
                  <c:v>-4.6704870000091597E-4</c:v>
                </c:pt>
                <c:pt idx="17">
                  <c:v>-1.1074882001999999</c:v>
                </c:pt>
                <c:pt idx="18">
                  <c:v>-1.9644635220000011</c:v>
                </c:pt>
                <c:pt idx="19">
                  <c:v>-2.183787554599999</c:v>
                </c:pt>
                <c:pt idx="20">
                  <c:v>-2.3140067073000008</c:v>
                </c:pt>
                <c:pt idx="21">
                  <c:v>-2.3505108409000002</c:v>
                </c:pt>
                <c:pt idx="22">
                  <c:v>-2.4977334435000009</c:v>
                </c:pt>
                <c:pt idx="23">
                  <c:v>-2.5311750316000001</c:v>
                </c:pt>
                <c:pt idx="24">
                  <c:v>-2.5398609968000012</c:v>
                </c:pt>
                <c:pt idx="25">
                  <c:v>-2.4603852540000002</c:v>
                </c:pt>
                <c:pt idx="26">
                  <c:v>-2.2918621948333331</c:v>
                </c:pt>
                <c:pt idx="27">
                  <c:v>-2.0457614122666681</c:v>
                </c:pt>
                <c:pt idx="28">
                  <c:v>-2.0563829198999999</c:v>
                </c:pt>
                <c:pt idx="29">
                  <c:v>-1.810182629800001</c:v>
                </c:pt>
                <c:pt idx="30">
                  <c:v>-1.7447723711000001</c:v>
                </c:pt>
                <c:pt idx="31">
                  <c:v>-1.4372575570666679</c:v>
                </c:pt>
                <c:pt idx="32">
                  <c:v>-1.2090323763333319</c:v>
                </c:pt>
                <c:pt idx="33">
                  <c:v>-1.164947121366666</c:v>
                </c:pt>
                <c:pt idx="34">
                  <c:v>-0.87559612883333204</c:v>
                </c:pt>
                <c:pt idx="35">
                  <c:v>-0.52934288256666617</c:v>
                </c:pt>
                <c:pt idx="36">
                  <c:v>2.6363233332893371E-4</c:v>
                </c:pt>
                <c:pt idx="37">
                  <c:v>3.9128883333017228E-4</c:v>
                </c:pt>
                <c:pt idx="38">
                  <c:v>-1.9922746666695129E-4</c:v>
                </c:pt>
                <c:pt idx="39">
                  <c:v>1.973720333329487E-4</c:v>
                </c:pt>
                <c:pt idx="40">
                  <c:v>4.2834466666974442E-5</c:v>
                </c:pt>
                <c:pt idx="41">
                  <c:v>-3.5999999999980492E-5</c:v>
                </c:pt>
                <c:pt idx="42">
                  <c:v>5.266666666697839E-5</c:v>
                </c:pt>
                <c:pt idx="43">
                  <c:v>4.1766666666703811E-4</c:v>
                </c:pt>
                <c:pt idx="44">
                  <c:v>-3.8066666666700111E-4</c:v>
                </c:pt>
                <c:pt idx="45">
                  <c:v>0</c:v>
                </c:pt>
                <c:pt idx="46">
                  <c:v>-3.2000000000004247E-5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B5D-47F3-8FBD-12908E5CE517}"/>
            </c:ext>
          </c:extLst>
        </c:ser>
        <c:ser>
          <c:idx val="29"/>
          <c:order val="29"/>
          <c:tx>
            <c:v>BES_TR3_one605_A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Net_kW!$AF$2:$AF$49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2.6550746666679619E-4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2.9535680000136733E-4</c:v>
                </c:pt>
                <c:pt idx="12">
                  <c:v>8.1407333331950937E-5</c:v>
                </c:pt>
                <c:pt idx="13">
                  <c:v>2.442989333348855E-4</c:v>
                </c:pt>
                <c:pt idx="14">
                  <c:v>-1.031214666671332E-4</c:v>
                </c:pt>
                <c:pt idx="15">
                  <c:v>-0.88781728999999987</c:v>
                </c:pt>
                <c:pt idx="16">
                  <c:v>-2.105116331600001</c:v>
                </c:pt>
                <c:pt idx="17">
                  <c:v>-2.4836509335999999</c:v>
                </c:pt>
                <c:pt idx="18">
                  <c:v>-2.619032696000001</c:v>
                </c:pt>
                <c:pt idx="19">
                  <c:v>-2.7302044061333319</c:v>
                </c:pt>
                <c:pt idx="20">
                  <c:v>-2.9688676097333349</c:v>
                </c:pt>
                <c:pt idx="21">
                  <c:v>-3.1903051212000002</c:v>
                </c:pt>
                <c:pt idx="22">
                  <c:v>-2.018677924666668</c:v>
                </c:pt>
                <c:pt idx="23">
                  <c:v>-3.2510307088000001</c:v>
                </c:pt>
                <c:pt idx="24">
                  <c:v>-3.1955129957333348</c:v>
                </c:pt>
                <c:pt idx="25">
                  <c:v>-3.3185306720000001</c:v>
                </c:pt>
                <c:pt idx="26">
                  <c:v>-3.284158482</c:v>
                </c:pt>
                <c:pt idx="27">
                  <c:v>-3.1603343274666682</c:v>
                </c:pt>
                <c:pt idx="28">
                  <c:v>-3.0125078932</c:v>
                </c:pt>
                <c:pt idx="29">
                  <c:v>-2.8251901730666682</c:v>
                </c:pt>
                <c:pt idx="30">
                  <c:v>-2.6261284948000001</c:v>
                </c:pt>
                <c:pt idx="31">
                  <c:v>-2.3865838538666679</c:v>
                </c:pt>
                <c:pt idx="32">
                  <c:v>-2.1168000573333319</c:v>
                </c:pt>
                <c:pt idx="33">
                  <c:v>-1.791071272933332</c:v>
                </c:pt>
                <c:pt idx="34">
                  <c:v>-1.486211727333332</c:v>
                </c:pt>
                <c:pt idx="35">
                  <c:v>-1.1729496211999999</c:v>
                </c:pt>
                <c:pt idx="36">
                  <c:v>-0.82910573466666804</c:v>
                </c:pt>
                <c:pt idx="37">
                  <c:v>-0.50327165933333307</c:v>
                </c:pt>
                <c:pt idx="38">
                  <c:v>-0.25681561440000023</c:v>
                </c:pt>
                <c:pt idx="39">
                  <c:v>4.667182666670544E-4</c:v>
                </c:pt>
                <c:pt idx="40">
                  <c:v>1.362237333333294E-4</c:v>
                </c:pt>
                <c:pt idx="41">
                  <c:v>1.2666666666699691E-4</c:v>
                </c:pt>
                <c:pt idx="42">
                  <c:v>0</c:v>
                </c:pt>
                <c:pt idx="43">
                  <c:v>0</c:v>
                </c:pt>
                <c:pt idx="44">
                  <c:v>-2.5466666666701387E-4</c:v>
                </c:pt>
                <c:pt idx="45">
                  <c:v>1.2500000000004169E-4</c:v>
                </c:pt>
                <c:pt idx="46">
                  <c:v>-3.8366666666700411E-4</c:v>
                </c:pt>
                <c:pt idx="47">
                  <c:v>-1.3666666666700691E-4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B5D-47F3-8FBD-12908E5CE517}"/>
            </c:ext>
          </c:extLst>
        </c:ser>
        <c:ser>
          <c:idx val="30"/>
          <c:order val="30"/>
          <c:tx>
            <c:v>BES_TR3_one614_B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-4.5266666666698979E-4</c:v>
                </c:pt>
                <c:pt idx="2">
                  <c:v>3.0199999999999672E-4</c:v>
                </c:pt>
                <c:pt idx="3">
                  <c:v>4.3400000000000377E-4</c:v>
                </c:pt>
                <c:pt idx="4">
                  <c:v>4.1533333333299011E-4</c:v>
                </c:pt>
                <c:pt idx="5">
                  <c:v>0</c:v>
                </c:pt>
                <c:pt idx="6">
                  <c:v>0</c:v>
                </c:pt>
                <c:pt idx="7">
                  <c:v>2.6873073333300018E-4</c:v>
                </c:pt>
                <c:pt idx="8">
                  <c:v>-3.0086939999990348E-4</c:v>
                </c:pt>
                <c:pt idx="9">
                  <c:v>-1.8483456666669451E-4</c:v>
                </c:pt>
                <c:pt idx="10">
                  <c:v>-4.0121620000102548E-4</c:v>
                </c:pt>
                <c:pt idx="11">
                  <c:v>-3.9348239999892343E-4</c:v>
                </c:pt>
                <c:pt idx="12">
                  <c:v>6.105549999879667E-5</c:v>
                </c:pt>
                <c:pt idx="13">
                  <c:v>-4.5654246666593229E-4</c:v>
                </c:pt>
                <c:pt idx="14">
                  <c:v>-4.6959109999988868E-4</c:v>
                </c:pt>
                <c:pt idx="15">
                  <c:v>6.8432499999770968E-5</c:v>
                </c:pt>
                <c:pt idx="16">
                  <c:v>-4.6238203333404121E-4</c:v>
                </c:pt>
                <c:pt idx="17">
                  <c:v>-1.3023848668666671</c:v>
                </c:pt>
                <c:pt idx="18">
                  <c:v>-1.842357522000001</c:v>
                </c:pt>
                <c:pt idx="19">
                  <c:v>-1.912847554599999</c:v>
                </c:pt>
                <c:pt idx="20">
                  <c:v>-1.8008040406333341</c:v>
                </c:pt>
                <c:pt idx="21">
                  <c:v>-1.9900121742333341</c:v>
                </c:pt>
                <c:pt idx="22">
                  <c:v>-2.311648776833334</c:v>
                </c:pt>
                <c:pt idx="23">
                  <c:v>-2.1835240316000002</c:v>
                </c:pt>
                <c:pt idx="24">
                  <c:v>-1.055633663466671</c:v>
                </c:pt>
                <c:pt idx="25">
                  <c:v>-2.2504769206666668</c:v>
                </c:pt>
                <c:pt idx="26">
                  <c:v>-2.0414328615000001</c:v>
                </c:pt>
                <c:pt idx="27">
                  <c:v>-1.9460887456000009</c:v>
                </c:pt>
                <c:pt idx="28">
                  <c:v>-2.1989613865666668</c:v>
                </c:pt>
                <c:pt idx="29">
                  <c:v>-1.9673576964666679</c:v>
                </c:pt>
                <c:pt idx="30">
                  <c:v>-1.503031037766666</c:v>
                </c:pt>
                <c:pt idx="31">
                  <c:v>-1.0810182237333339</c:v>
                </c:pt>
                <c:pt idx="32">
                  <c:v>-0.94004104299999902</c:v>
                </c:pt>
                <c:pt idx="33">
                  <c:v>-0.56422545469999907</c:v>
                </c:pt>
                <c:pt idx="34">
                  <c:v>-0.81733912883333315</c:v>
                </c:pt>
                <c:pt idx="35">
                  <c:v>-0.61073221590000015</c:v>
                </c:pt>
                <c:pt idx="36">
                  <c:v>-0.23336536766666799</c:v>
                </c:pt>
                <c:pt idx="37">
                  <c:v>-4.3471116667004322E-4</c:v>
                </c:pt>
                <c:pt idx="38">
                  <c:v>4.4010586666709539E-4</c:v>
                </c:pt>
                <c:pt idx="39">
                  <c:v>3.5137203333301947E-4</c:v>
                </c:pt>
                <c:pt idx="40">
                  <c:v>2.218344666700123E-4</c:v>
                </c:pt>
                <c:pt idx="41">
                  <c:v>4.1799999999991838E-4</c:v>
                </c:pt>
                <c:pt idx="42">
                  <c:v>-1.5733333333300961E-4</c:v>
                </c:pt>
                <c:pt idx="43">
                  <c:v>-4.7966666666587893E-4</c:v>
                </c:pt>
                <c:pt idx="44">
                  <c:v>0.24400866666667009</c:v>
                </c:pt>
                <c:pt idx="45">
                  <c:v>1.6348533333333299</c:v>
                </c:pt>
                <c:pt idx="46">
                  <c:v>0.76022833333333395</c:v>
                </c:pt>
                <c:pt idx="47">
                  <c:v>7.2622666666666599E-2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B5D-47F3-8FBD-12908E5CE517}"/>
            </c:ext>
          </c:extLst>
        </c:ser>
        <c:ser>
          <c:idx val="31"/>
          <c:order val="31"/>
          <c:tx>
            <c:v>BES_TR3_one617_A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Net_kW!$AH$2:$AH$49</c:f>
              <c:numCache>
                <c:formatCode>#,##0.000</c:formatCode>
                <c:ptCount val="48"/>
                <c:pt idx="0">
                  <c:v>-4.699999999999982E-4</c:v>
                </c:pt>
                <c:pt idx="1">
                  <c:v>-6.4000000000008495E-5</c:v>
                </c:pt>
                <c:pt idx="2">
                  <c:v>-6.9388939039072284E-18</c:v>
                </c:pt>
                <c:pt idx="3">
                  <c:v>-1.8800000000000761E-4</c:v>
                </c:pt>
                <c:pt idx="4">
                  <c:v>1.5399999999998751E-4</c:v>
                </c:pt>
                <c:pt idx="5">
                  <c:v>-6.9388939039072284E-18</c:v>
                </c:pt>
                <c:pt idx="6">
                  <c:v>-3.4000000000006247E-5</c:v>
                </c:pt>
                <c:pt idx="7">
                  <c:v>-4.4080346666667408E-4</c:v>
                </c:pt>
                <c:pt idx="8">
                  <c:v>2.6550746666679538E-4</c:v>
                </c:pt>
                <c:pt idx="9">
                  <c:v>3.9244280000000348E-4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4.7407333331861423E-5</c:v>
                </c:pt>
                <c:pt idx="13">
                  <c:v>2.5883226666811859E-4</c:v>
                </c:pt>
                <c:pt idx="14">
                  <c:v>4.9354519999988966E-4</c:v>
                </c:pt>
                <c:pt idx="15">
                  <c:v>-0.5366130899999999</c:v>
                </c:pt>
                <c:pt idx="16">
                  <c:v>-2.2208293982666678</c:v>
                </c:pt>
                <c:pt idx="17">
                  <c:v>-2.488164600266666</c:v>
                </c:pt>
                <c:pt idx="18">
                  <c:v>-2.5640623626666681</c:v>
                </c:pt>
                <c:pt idx="19">
                  <c:v>-2.9303834061333318</c:v>
                </c:pt>
                <c:pt idx="20">
                  <c:v>-3.0891029430666679</c:v>
                </c:pt>
                <c:pt idx="21">
                  <c:v>-3.0982451212000002</c:v>
                </c:pt>
                <c:pt idx="22">
                  <c:v>-3.3489779246666682</c:v>
                </c:pt>
                <c:pt idx="23">
                  <c:v>-3.3488487087999999</c:v>
                </c:pt>
                <c:pt idx="24">
                  <c:v>-3.2872333290666682</c:v>
                </c:pt>
                <c:pt idx="25">
                  <c:v>-3.3823216719999998</c:v>
                </c:pt>
                <c:pt idx="26">
                  <c:v>-3.3011584819999999</c:v>
                </c:pt>
                <c:pt idx="27">
                  <c:v>-3.010701660800001</c:v>
                </c:pt>
                <c:pt idx="28">
                  <c:v>-2.7636442932</c:v>
                </c:pt>
                <c:pt idx="29">
                  <c:v>-1.671236773066668</c:v>
                </c:pt>
                <c:pt idx="30">
                  <c:v>-2.5882572948</c:v>
                </c:pt>
                <c:pt idx="31">
                  <c:v>-2.3134147538666681</c:v>
                </c:pt>
                <c:pt idx="32">
                  <c:v>-2.0268379573333322</c:v>
                </c:pt>
                <c:pt idx="33">
                  <c:v>-1.781328806266665</c:v>
                </c:pt>
                <c:pt idx="34">
                  <c:v>-1.300913427333332</c:v>
                </c:pt>
                <c:pt idx="35">
                  <c:v>-1.1644227212</c:v>
                </c:pt>
                <c:pt idx="36">
                  <c:v>-0.88291693466666799</c:v>
                </c:pt>
                <c:pt idx="37">
                  <c:v>-0.48531472599999997</c:v>
                </c:pt>
                <c:pt idx="38">
                  <c:v>-0.12817178106666621</c:v>
                </c:pt>
                <c:pt idx="39">
                  <c:v>-1.7794839999998871E-4</c:v>
                </c:pt>
                <c:pt idx="40">
                  <c:v>-1.7762666666976119E-6</c:v>
                </c:pt>
                <c:pt idx="41">
                  <c:v>4.0999999999957737E-5</c:v>
                </c:pt>
                <c:pt idx="42">
                  <c:v>4.1233333333301481E-4</c:v>
                </c:pt>
                <c:pt idx="43">
                  <c:v>1.8700000000004821E-4</c:v>
                </c:pt>
                <c:pt idx="44">
                  <c:v>2.8900000000003923E-4</c:v>
                </c:pt>
                <c:pt idx="45">
                  <c:v>7.8000000000022496E-5</c:v>
                </c:pt>
                <c:pt idx="46">
                  <c:v>-3.3733333333296761E-4</c:v>
                </c:pt>
                <c:pt idx="47">
                  <c:v>-4.7666666667001152E-5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B5D-47F3-8FBD-12908E5CE517}"/>
            </c:ext>
          </c:extLst>
        </c:ser>
        <c:ser>
          <c:idx val="32"/>
          <c:order val="32"/>
          <c:tx>
            <c:v>BES_TR3_one73_A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Net_kW!$AI$2:$AI$49</c:f>
              <c:numCache>
                <c:formatCode>#,##0.000</c:formatCode>
                <c:ptCount val="48"/>
                <c:pt idx="0">
                  <c:v>-1.3900000000000021E-4</c:v>
                </c:pt>
                <c:pt idx="1">
                  <c:v>3.356666666669561E-4</c:v>
                </c:pt>
                <c:pt idx="2">
                  <c:v>-1.07999999999997E-4</c:v>
                </c:pt>
                <c:pt idx="3">
                  <c:v>4.703333333330173E-4</c:v>
                </c:pt>
                <c:pt idx="4">
                  <c:v>-4.379999999999939E-4</c:v>
                </c:pt>
                <c:pt idx="5">
                  <c:v>8.5333333332993089E-5</c:v>
                </c:pt>
                <c:pt idx="6">
                  <c:v>4.1966666666701241E-4</c:v>
                </c:pt>
                <c:pt idx="7">
                  <c:v>6.3991630299999658E-2</c:v>
                </c:pt>
                <c:pt idx="8">
                  <c:v>0.11013131903333349</c:v>
                </c:pt>
                <c:pt idx="9">
                  <c:v>-2.2452921666699099E-4</c:v>
                </c:pt>
                <c:pt idx="10">
                  <c:v>2.310810999985036E-4</c:v>
                </c:pt>
                <c:pt idx="11">
                  <c:v>4.8960386666752065E-4</c:v>
                </c:pt>
                <c:pt idx="12">
                  <c:v>1.432314166652793E-4</c:v>
                </c:pt>
                <c:pt idx="13">
                  <c:v>-3.5585509999802589E-4</c:v>
                </c:pt>
                <c:pt idx="14">
                  <c:v>1.8347705000021361E-4</c:v>
                </c:pt>
                <c:pt idx="15">
                  <c:v>3.3450458333295069E-4</c:v>
                </c:pt>
                <c:pt idx="16">
                  <c:v>-2.8822348333501502E-4</c:v>
                </c:pt>
                <c:pt idx="17">
                  <c:v>-1.124762900233333</c:v>
                </c:pt>
                <c:pt idx="18">
                  <c:v>-2.1978309423333351</c:v>
                </c:pt>
                <c:pt idx="19">
                  <c:v>-2.3612208136999979</c:v>
                </c:pt>
                <c:pt idx="20">
                  <c:v>-2.6037998251833341</c:v>
                </c:pt>
                <c:pt idx="21">
                  <c:v>-2.6703536477166669</c:v>
                </c:pt>
                <c:pt idx="22">
                  <c:v>-1.1361483507500041</c:v>
                </c:pt>
                <c:pt idx="23">
                  <c:v>-0.91989253686667016</c:v>
                </c:pt>
                <c:pt idx="24">
                  <c:v>-2.3716308296000008</c:v>
                </c:pt>
                <c:pt idx="25">
                  <c:v>-2.5863494629999999</c:v>
                </c:pt>
                <c:pt idx="26">
                  <c:v>-2.5392770050833331</c:v>
                </c:pt>
                <c:pt idx="27">
                  <c:v>-2.1400835365333348</c:v>
                </c:pt>
                <c:pt idx="28">
                  <c:v>-2.5790440732166671</c:v>
                </c:pt>
                <c:pt idx="29">
                  <c:v>-2.2333484014333349</c:v>
                </c:pt>
                <c:pt idx="30">
                  <c:v>-2.1420927662833331</c:v>
                </c:pt>
                <c:pt idx="31">
                  <c:v>-2.0623512054666668</c:v>
                </c:pt>
                <c:pt idx="32">
                  <c:v>-1.495056716833332</c:v>
                </c:pt>
                <c:pt idx="33">
                  <c:v>-1.5441483638166651</c:v>
                </c:pt>
                <c:pt idx="34">
                  <c:v>-1.1060489280833321</c:v>
                </c:pt>
                <c:pt idx="35">
                  <c:v>-0.82625225188333307</c:v>
                </c:pt>
                <c:pt idx="36">
                  <c:v>-0.71653311783333451</c:v>
                </c:pt>
                <c:pt idx="37">
                  <c:v>-0.20912255191666701</c:v>
                </c:pt>
                <c:pt idx="38">
                  <c:v>1.7534573333344289E-4</c:v>
                </c:pt>
                <c:pt idx="39">
                  <c:v>-3.3362151666604939E-4</c:v>
                </c:pt>
                <c:pt idx="40">
                  <c:v>2.100290999996757E-4</c:v>
                </c:pt>
                <c:pt idx="41">
                  <c:v>-1.809999999999867E-4</c:v>
                </c:pt>
                <c:pt idx="42">
                  <c:v>-4.8833333333409001E-4</c:v>
                </c:pt>
                <c:pt idx="43">
                  <c:v>-3.356666666669561E-4</c:v>
                </c:pt>
                <c:pt idx="44">
                  <c:v>3.4033333333405302E-4</c:v>
                </c:pt>
                <c:pt idx="45">
                  <c:v>-4.2666666666602021E-4</c:v>
                </c:pt>
                <c:pt idx="46">
                  <c:v>-4.9666666667058663E-5</c:v>
                </c:pt>
                <c:pt idx="47">
                  <c:v>4.1333333333004603E-5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B5D-47F3-8FBD-12908E5CE517}"/>
            </c:ext>
          </c:extLst>
        </c:ser>
        <c:ser>
          <c:idx val="33"/>
          <c:order val="33"/>
          <c:tx>
            <c:v>BES_TR3_one76_A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Net_kW!$AJ$2:$AJ$49</c:f>
              <c:numCache>
                <c:formatCode>#,##0.000</c:formatCode>
                <c:ptCount val="48"/>
                <c:pt idx="0">
                  <c:v>9.1666666667017394E-5</c:v>
                </c:pt>
                <c:pt idx="1">
                  <c:v>0</c:v>
                </c:pt>
                <c:pt idx="2">
                  <c:v>9.0000000000006741E-5</c:v>
                </c:pt>
                <c:pt idx="3">
                  <c:v>0</c:v>
                </c:pt>
                <c:pt idx="4">
                  <c:v>0</c:v>
                </c:pt>
                <c:pt idx="5">
                  <c:v>3.5499999999999421E-4</c:v>
                </c:pt>
                <c:pt idx="6">
                  <c:v>-2.6500000000011242E-4</c:v>
                </c:pt>
                <c:pt idx="7">
                  <c:v>-3.105021666666638E-4</c:v>
                </c:pt>
                <c:pt idx="8">
                  <c:v>2.8260883333372511E-4</c:v>
                </c:pt>
                <c:pt idx="9">
                  <c:v>-4.7513991666671418E-4</c:v>
                </c:pt>
                <c:pt idx="10">
                  <c:v>8.5653166665783376E-5</c:v>
                </c:pt>
                <c:pt idx="11">
                  <c:v>5.4313333345268333E-6</c:v>
                </c:pt>
                <c:pt idx="12">
                  <c:v>5.0879583332497091E-5</c:v>
                </c:pt>
                <c:pt idx="13">
                  <c:v>-4.9822983333247528E-4</c:v>
                </c:pt>
                <c:pt idx="14">
                  <c:v>-2.2465925000014761E-4</c:v>
                </c:pt>
                <c:pt idx="15">
                  <c:v>-3.713062499997033E-4</c:v>
                </c:pt>
                <c:pt idx="16">
                  <c:v>1.141260833319446E-4</c:v>
                </c:pt>
                <c:pt idx="17">
                  <c:v>-0.15355683349999991</c:v>
                </c:pt>
                <c:pt idx="18">
                  <c:v>3.0373166666208817E-4</c:v>
                </c:pt>
                <c:pt idx="19">
                  <c:v>-1.1184389621666651</c:v>
                </c:pt>
                <c:pt idx="20">
                  <c:v>-1.5628909227500001</c:v>
                </c:pt>
                <c:pt idx="21">
                  <c:v>-1.5783863674166669</c:v>
                </c:pt>
                <c:pt idx="22">
                  <c:v>-2.0067528695833339</c:v>
                </c:pt>
                <c:pt idx="23">
                  <c:v>-2.1024791930000002</c:v>
                </c:pt>
                <c:pt idx="24">
                  <c:v>-2.1105508306666669</c:v>
                </c:pt>
                <c:pt idx="25">
                  <c:v>-2.0954510449999999</c:v>
                </c:pt>
                <c:pt idx="26">
                  <c:v>-1.9144840512500001</c:v>
                </c:pt>
                <c:pt idx="27">
                  <c:v>-1.9513672879999999</c:v>
                </c:pt>
                <c:pt idx="28">
                  <c:v>-1.7895630665833331</c:v>
                </c:pt>
                <c:pt idx="29">
                  <c:v>-1.5362285248333341</c:v>
                </c:pt>
                <c:pt idx="30">
                  <c:v>-1.4709909759166671</c:v>
                </c:pt>
                <c:pt idx="31">
                  <c:v>-1.394095208666668</c:v>
                </c:pt>
                <c:pt idx="32">
                  <c:v>-1.2586694691666649</c:v>
                </c:pt>
                <c:pt idx="33">
                  <c:v>-0.91845554558333298</c:v>
                </c:pt>
                <c:pt idx="34">
                  <c:v>-0.81788566291666542</c:v>
                </c:pt>
                <c:pt idx="35">
                  <c:v>-0.56969251325000003</c:v>
                </c:pt>
                <c:pt idx="36">
                  <c:v>-0.27724008416666751</c:v>
                </c:pt>
                <c:pt idx="37">
                  <c:v>2.7079624999998281E-4</c:v>
                </c:pt>
                <c:pt idx="38">
                  <c:v>-2.5313400000019642E-4</c:v>
                </c:pt>
                <c:pt idx="39">
                  <c:v>3.063655833329681E-4</c:v>
                </c:pt>
                <c:pt idx="40">
                  <c:v>-3.5236016666666947E-4</c:v>
                </c:pt>
                <c:pt idx="41">
                  <c:v>-2.8000000000000252E-4</c:v>
                </c:pt>
                <c:pt idx="42">
                  <c:v>-3.523333333329548E-4</c:v>
                </c:pt>
                <c:pt idx="43">
                  <c:v>2.9866666666694691E-4</c:v>
                </c:pt>
                <c:pt idx="44">
                  <c:v>4.9266666666702985E-4</c:v>
                </c:pt>
                <c:pt idx="45">
                  <c:v>3.5833333333301631E-4</c:v>
                </c:pt>
                <c:pt idx="46">
                  <c:v>-6.3333333333026598E-5</c:v>
                </c:pt>
                <c:pt idx="47">
                  <c:v>-4.0000000000001151E-4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6B5D-47F3-8FBD-12908E5CE517}"/>
            </c:ext>
          </c:extLst>
        </c:ser>
        <c:ser>
          <c:idx val="34"/>
          <c:order val="34"/>
          <c:tx>
            <c:v>BES_TR3_one137_A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Net_kW!$AK$2:$AK$49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-6.9388939039072284E-18</c:v>
                </c:pt>
                <c:pt idx="2">
                  <c:v>4.6566666666697509E-4</c:v>
                </c:pt>
                <c:pt idx="3">
                  <c:v>2.193333333329883E-4</c:v>
                </c:pt>
                <c:pt idx="4">
                  <c:v>-3.5200000000001902E-4</c:v>
                </c:pt>
                <c:pt idx="5">
                  <c:v>2.1000000000000191E-4</c:v>
                </c:pt>
                <c:pt idx="6">
                  <c:v>-6.9388939039072284E-18</c:v>
                </c:pt>
                <c:pt idx="7">
                  <c:v>-4.4080346666667408E-4</c:v>
                </c:pt>
                <c:pt idx="8">
                  <c:v>4.7550746666678861E-4</c:v>
                </c:pt>
                <c:pt idx="9">
                  <c:v>4.2644279999998203E-4</c:v>
                </c:pt>
                <c:pt idx="10">
                  <c:v>4.4304506666537069E-4</c:v>
                </c:pt>
                <c:pt idx="11">
                  <c:v>-4.3130986666528592E-4</c:v>
                </c:pt>
                <c:pt idx="12">
                  <c:v>8.1407333331950937E-5</c:v>
                </c:pt>
                <c:pt idx="13">
                  <c:v>4.6883226666794009E-4</c:v>
                </c:pt>
                <c:pt idx="14">
                  <c:v>4.0545199999852948E-5</c:v>
                </c:pt>
                <c:pt idx="15">
                  <c:v>-0.34130775666666652</c:v>
                </c:pt>
                <c:pt idx="16">
                  <c:v>-2.200437731600001</c:v>
                </c:pt>
                <c:pt idx="17">
                  <c:v>-2.3800262669333332</c:v>
                </c:pt>
                <c:pt idx="18">
                  <c:v>-1.798228629333334</c:v>
                </c:pt>
                <c:pt idx="19">
                  <c:v>-2.7237084061333321</c:v>
                </c:pt>
                <c:pt idx="20">
                  <c:v>-2.9527532764000011</c:v>
                </c:pt>
                <c:pt idx="21">
                  <c:v>-3.0160387878666661</c:v>
                </c:pt>
                <c:pt idx="22">
                  <c:v>-3.0508829246666682</c:v>
                </c:pt>
                <c:pt idx="23">
                  <c:v>-2.3399500421333301</c:v>
                </c:pt>
                <c:pt idx="24">
                  <c:v>-2.9967429957333338</c:v>
                </c:pt>
                <c:pt idx="25">
                  <c:v>-2.7457583386666671</c:v>
                </c:pt>
                <c:pt idx="26">
                  <c:v>-1.847617482</c:v>
                </c:pt>
                <c:pt idx="27">
                  <c:v>-1.194224327466668</c:v>
                </c:pt>
                <c:pt idx="28">
                  <c:v>-1.545598666600756E-4</c:v>
                </c:pt>
                <c:pt idx="29">
                  <c:v>-0.61184017306666827</c:v>
                </c:pt>
                <c:pt idx="30">
                  <c:v>-2.6027018281333332</c:v>
                </c:pt>
                <c:pt idx="31">
                  <c:v>-2.3910758538666679</c:v>
                </c:pt>
                <c:pt idx="32">
                  <c:v>-1.9593970573333319</c:v>
                </c:pt>
                <c:pt idx="33">
                  <c:v>-1.704771272933332</c:v>
                </c:pt>
                <c:pt idx="34">
                  <c:v>-1.328349727333332</c:v>
                </c:pt>
                <c:pt idx="35">
                  <c:v>-0.48434562120000002</c:v>
                </c:pt>
                <c:pt idx="36">
                  <c:v>3.4279866666220288E-4</c:v>
                </c:pt>
                <c:pt idx="37">
                  <c:v>-1.2965933333403121E-4</c:v>
                </c:pt>
                <c:pt idx="38">
                  <c:v>2.7252266666805139E-5</c:v>
                </c:pt>
                <c:pt idx="39">
                  <c:v>1.600515999999885E-4</c:v>
                </c:pt>
                <c:pt idx="40">
                  <c:v>-1.137762666666708E-4</c:v>
                </c:pt>
                <c:pt idx="41">
                  <c:v>-3.5799999999996951E-4</c:v>
                </c:pt>
                <c:pt idx="42">
                  <c:v>4.916666666670011E-4</c:v>
                </c:pt>
                <c:pt idx="43">
                  <c:v>-4.9499999999996769E-4</c:v>
                </c:pt>
                <c:pt idx="44">
                  <c:v>3.2333333333300912E-4</c:v>
                </c:pt>
                <c:pt idx="45">
                  <c:v>2.1000000000000191E-4</c:v>
                </c:pt>
                <c:pt idx="46">
                  <c:v>-6.9388939039072284E-18</c:v>
                </c:pt>
                <c:pt idx="47">
                  <c:v>-6.9388939039072284E-18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B5D-47F3-8FBD-12908E5CE517}"/>
            </c:ext>
          </c:extLst>
        </c:ser>
        <c:ser>
          <c:idx val="35"/>
          <c:order val="35"/>
          <c:tx>
            <c:v>BES_TR3_one176_A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Net_kW!$AL$2:$AL$49</c:f>
              <c:numCache>
                <c:formatCode>#,##0.000</c:formatCode>
                <c:ptCount val="48"/>
                <c:pt idx="0">
                  <c:v>-6.6666666666992391E-5</c:v>
                </c:pt>
                <c:pt idx="1">
                  <c:v>9.9999999999891842E-5</c:v>
                </c:pt>
                <c:pt idx="2">
                  <c:v>6.9388939039072284E-18</c:v>
                </c:pt>
                <c:pt idx="3">
                  <c:v>3.3333333332996602E-5</c:v>
                </c:pt>
                <c:pt idx="4">
                  <c:v>6.9388939039072284E-18</c:v>
                </c:pt>
                <c:pt idx="5">
                  <c:v>6.9388939039072284E-18</c:v>
                </c:pt>
                <c:pt idx="6">
                  <c:v>2.000000000000057E-4</c:v>
                </c:pt>
                <c:pt idx="7">
                  <c:v>1.129315999996716E-4</c:v>
                </c:pt>
                <c:pt idx="8">
                  <c:v>-1.3391293333329951E-4</c:v>
                </c:pt>
                <c:pt idx="9">
                  <c:v>1.322139999999916E-5</c:v>
                </c:pt>
                <c:pt idx="10">
                  <c:v>3.2985586666600669E-4</c:v>
                </c:pt>
                <c:pt idx="11">
                  <c:v>4.3450666670219462E-6</c:v>
                </c:pt>
                <c:pt idx="12">
                  <c:v>1.4070366666585341E-4</c:v>
                </c:pt>
                <c:pt idx="13">
                  <c:v>-4.8858386666594811E-4</c:v>
                </c:pt>
                <c:pt idx="14">
                  <c:v>-3.1306073333303708E-4</c:v>
                </c:pt>
                <c:pt idx="15">
                  <c:v>-1.8504499999993931E-4</c:v>
                </c:pt>
                <c:pt idx="16">
                  <c:v>3.8770086666595199E-4</c:v>
                </c:pt>
                <c:pt idx="17">
                  <c:v>-4.3813346666698999E-4</c:v>
                </c:pt>
                <c:pt idx="18">
                  <c:v>-8.7287681333333866E-2</c:v>
                </c:pt>
                <c:pt idx="19">
                  <c:v>-1.294158369733333</c:v>
                </c:pt>
                <c:pt idx="20">
                  <c:v>-1.5280044715333341</c:v>
                </c:pt>
                <c:pt idx="21">
                  <c:v>-1.532819227266667</c:v>
                </c:pt>
                <c:pt idx="22">
                  <c:v>-1.570288962333334</c:v>
                </c:pt>
                <c:pt idx="23">
                  <c:v>-1.6727833543999999</c:v>
                </c:pt>
                <c:pt idx="24">
                  <c:v>-1.679240664533334</c:v>
                </c:pt>
                <c:pt idx="25">
                  <c:v>-1.5268108359999999</c:v>
                </c:pt>
                <c:pt idx="26">
                  <c:v>-1.613221241</c:v>
                </c:pt>
                <c:pt idx="27">
                  <c:v>-1.435140030400001</c:v>
                </c:pt>
                <c:pt idx="28">
                  <c:v>-1.3965699465999999</c:v>
                </c:pt>
                <c:pt idx="29">
                  <c:v>-1.397095086533334</c:v>
                </c:pt>
                <c:pt idx="30">
                  <c:v>-2.9091406667003378E-4</c:v>
                </c:pt>
                <c:pt idx="31">
                  <c:v>-0.74174192693333407</c:v>
                </c:pt>
                <c:pt idx="32">
                  <c:v>-0.94758569533333292</c:v>
                </c:pt>
                <c:pt idx="33">
                  <c:v>-0.60914986979999897</c:v>
                </c:pt>
                <c:pt idx="34">
                  <c:v>-0.36126476366666588</c:v>
                </c:pt>
                <c:pt idx="35">
                  <c:v>-0.23170194393333299</c:v>
                </c:pt>
                <c:pt idx="36">
                  <c:v>-2.9222934000001029E-2</c:v>
                </c:pt>
                <c:pt idx="37">
                  <c:v>-3.4749633333008839E-4</c:v>
                </c:pt>
                <c:pt idx="38">
                  <c:v>4.5629280000039982E-4</c:v>
                </c:pt>
                <c:pt idx="39">
                  <c:v>-1.6330753333329559E-4</c:v>
                </c:pt>
                <c:pt idx="40">
                  <c:v>-2.8975480000034692E-4</c:v>
                </c:pt>
                <c:pt idx="41">
                  <c:v>-3.1466666666690729E-4</c:v>
                </c:pt>
                <c:pt idx="42">
                  <c:v>2.5800000000003598E-4</c:v>
                </c:pt>
                <c:pt idx="43">
                  <c:v>-2.9733333333403777E-4</c:v>
                </c:pt>
                <c:pt idx="44">
                  <c:v>-3.9199999999994789E-4</c:v>
                </c:pt>
                <c:pt idx="45">
                  <c:v>-3.6733333333005552E-4</c:v>
                </c:pt>
                <c:pt idx="46">
                  <c:v>-1.9066666666700541E-4</c:v>
                </c:pt>
                <c:pt idx="47">
                  <c:v>-1.6666666666970139E-5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6B5D-47F3-8FBD-12908E5CE517}"/>
            </c:ext>
          </c:extLst>
        </c:ser>
        <c:ser>
          <c:idx val="36"/>
          <c:order val="36"/>
          <c:tx>
            <c:v>BES_TR3_two130_C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Net_kW!$AM$2:$AM$49</c:f>
              <c:numCache>
                <c:formatCode>#,##0.000</c:formatCode>
                <c:ptCount val="48"/>
                <c:pt idx="0">
                  <c:v>0</c:v>
                </c:pt>
                <c:pt idx="1">
                  <c:v>-3.1000000000000472E-4</c:v>
                </c:pt>
                <c:pt idx="2">
                  <c:v>0</c:v>
                </c:pt>
                <c:pt idx="3">
                  <c:v>0</c:v>
                </c:pt>
                <c:pt idx="4">
                  <c:v>-3.1000000000000472E-4</c:v>
                </c:pt>
                <c:pt idx="5">
                  <c:v>0</c:v>
                </c:pt>
                <c:pt idx="6">
                  <c:v>0</c:v>
                </c:pt>
                <c:pt idx="7">
                  <c:v>-3.3080346666666821E-4</c:v>
                </c:pt>
                <c:pt idx="8">
                  <c:v>-1.5449253333330029E-4</c:v>
                </c:pt>
                <c:pt idx="9">
                  <c:v>-9.855719999998791E-5</c:v>
                </c:pt>
                <c:pt idx="10">
                  <c:v>-1.2528826666807771E-4</c:v>
                </c:pt>
                <c:pt idx="11">
                  <c:v>1.420234666681397E-4</c:v>
                </c:pt>
                <c:pt idx="12">
                  <c:v>-2.8359266666810878E-4</c:v>
                </c:pt>
                <c:pt idx="13">
                  <c:v>3.1383226666803488E-4</c:v>
                </c:pt>
                <c:pt idx="14">
                  <c:v>4.0545199999852948E-5</c:v>
                </c:pt>
                <c:pt idx="15">
                  <c:v>-0.29593608999999987</c:v>
                </c:pt>
                <c:pt idx="16">
                  <c:v>-2.2153293982666682</c:v>
                </c:pt>
                <c:pt idx="17">
                  <c:v>-2.4797842669333332</c:v>
                </c:pt>
                <c:pt idx="18">
                  <c:v>-2.6044836960000008</c:v>
                </c:pt>
                <c:pt idx="19">
                  <c:v>-2.7816882061333321</c:v>
                </c:pt>
                <c:pt idx="20">
                  <c:v>-2.4778560097333351</c:v>
                </c:pt>
                <c:pt idx="21">
                  <c:v>-2.7910912545333328</c:v>
                </c:pt>
                <c:pt idx="22">
                  <c:v>-1.4255089246666679</c:v>
                </c:pt>
                <c:pt idx="23">
                  <c:v>-0.41186670879999993</c:v>
                </c:pt>
                <c:pt idx="24">
                  <c:v>-1.8343779957333379</c:v>
                </c:pt>
                <c:pt idx="25">
                  <c:v>-3.3693216719999999</c:v>
                </c:pt>
                <c:pt idx="26">
                  <c:v>-3.0609184819999999</c:v>
                </c:pt>
                <c:pt idx="27">
                  <c:v>-3.022224327466668</c:v>
                </c:pt>
                <c:pt idx="28">
                  <c:v>-3.015345759866666</c:v>
                </c:pt>
                <c:pt idx="29">
                  <c:v>-2.8071071730666679</c:v>
                </c:pt>
                <c:pt idx="30">
                  <c:v>-2.4343503614666671</c:v>
                </c:pt>
                <c:pt idx="31">
                  <c:v>-2.383969053866668</c:v>
                </c:pt>
                <c:pt idx="32">
                  <c:v>-1.8772080573333321</c:v>
                </c:pt>
                <c:pt idx="33">
                  <c:v>-1.4593842729333319</c:v>
                </c:pt>
                <c:pt idx="34">
                  <c:v>-1.173635060666665</c:v>
                </c:pt>
                <c:pt idx="35">
                  <c:v>-0.82706962120000005</c:v>
                </c:pt>
                <c:pt idx="36">
                  <c:v>-0.49167793466666798</c:v>
                </c:pt>
                <c:pt idx="37">
                  <c:v>-0.35167539266666697</c:v>
                </c:pt>
                <c:pt idx="38">
                  <c:v>-0.12628774773333321</c:v>
                </c:pt>
                <c:pt idx="39">
                  <c:v>2.8105159999980422E-4</c:v>
                </c:pt>
                <c:pt idx="40">
                  <c:v>-2.5977626666673359E-4</c:v>
                </c:pt>
                <c:pt idx="41">
                  <c:v>-1.3333333333298561E-4</c:v>
                </c:pt>
                <c:pt idx="42">
                  <c:v>2.170000000000227E-4</c:v>
                </c:pt>
                <c:pt idx="43">
                  <c:v>-1.7000000000000351E-4</c:v>
                </c:pt>
                <c:pt idx="44">
                  <c:v>7.4333333333009843E-5</c:v>
                </c:pt>
                <c:pt idx="45">
                  <c:v>-4.3499999999996319E-4</c:v>
                </c:pt>
                <c:pt idx="46">
                  <c:v>2.7333333333301463E-4</c:v>
                </c:pt>
                <c:pt idx="47">
                  <c:v>2.9166666666702312E-4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B5D-47F3-8FBD-12908E5CE517}"/>
            </c:ext>
          </c:extLst>
        </c:ser>
        <c:ser>
          <c:idx val="37"/>
          <c:order val="37"/>
          <c:tx>
            <c:v>BES_TR3_two249_A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Net_kW!$AN$2:$AN$49</c:f>
              <c:numCache>
                <c:formatCode>#,##0.000</c:formatCode>
                <c:ptCount val="48"/>
                <c:pt idx="0">
                  <c:v>-3.3166666666660521E-4</c:v>
                </c:pt>
                <c:pt idx="1">
                  <c:v>2.7199999999999452E-4</c:v>
                </c:pt>
                <c:pt idx="2">
                  <c:v>5.2333333333015597E-5</c:v>
                </c:pt>
                <c:pt idx="3">
                  <c:v>-2.376666666669969E-4</c:v>
                </c:pt>
                <c:pt idx="4">
                  <c:v>2.303333333329993E-4</c:v>
                </c:pt>
                <c:pt idx="5">
                  <c:v>4.6733333333340288E-4</c:v>
                </c:pt>
                <c:pt idx="6">
                  <c:v>-3.4899999999998821E-4</c:v>
                </c:pt>
                <c:pt idx="7">
                  <c:v>4.3352986666653209E-4</c:v>
                </c:pt>
                <c:pt idx="8">
                  <c:v>-2.1333333199426929E-8</c:v>
                </c:pt>
                <c:pt idx="9">
                  <c:v>3.6610946666700012E-4</c:v>
                </c:pt>
                <c:pt idx="10">
                  <c:v>-2.8728826666801771E-4</c:v>
                </c:pt>
                <c:pt idx="11">
                  <c:v>1.420234666681397E-4</c:v>
                </c:pt>
                <c:pt idx="12">
                  <c:v>-3.709260000009929E-4</c:v>
                </c:pt>
                <c:pt idx="13">
                  <c:v>-2.961677333321866E-4</c:v>
                </c:pt>
                <c:pt idx="14">
                  <c:v>-6.2121466666731351E-5</c:v>
                </c:pt>
                <c:pt idx="15">
                  <c:v>4.6924333333397961E-4</c:v>
                </c:pt>
                <c:pt idx="16">
                  <c:v>-1.9333293982666679</c:v>
                </c:pt>
                <c:pt idx="17">
                  <c:v>-2.3240559336</c:v>
                </c:pt>
                <c:pt idx="18">
                  <c:v>-2.4054716960000011</c:v>
                </c:pt>
                <c:pt idx="19">
                  <c:v>-2.695141572799999</c:v>
                </c:pt>
                <c:pt idx="20">
                  <c:v>-2.8365422764000008</c:v>
                </c:pt>
                <c:pt idx="21">
                  <c:v>-3.0461917878666669</c:v>
                </c:pt>
                <c:pt idx="22">
                  <c:v>-3.2324785913333351</c:v>
                </c:pt>
                <c:pt idx="23">
                  <c:v>-3.2511323754666668</c:v>
                </c:pt>
                <c:pt idx="24">
                  <c:v>-3.2816183290666681</c:v>
                </c:pt>
                <c:pt idx="25">
                  <c:v>-3.1698024720000002</c:v>
                </c:pt>
                <c:pt idx="26">
                  <c:v>-3.036854348666667</c:v>
                </c:pt>
                <c:pt idx="27">
                  <c:v>-2.332367127466668</c:v>
                </c:pt>
                <c:pt idx="28">
                  <c:v>-2.8818378932000002</c:v>
                </c:pt>
                <c:pt idx="29">
                  <c:v>-2.5588568397333349</c:v>
                </c:pt>
                <c:pt idx="30">
                  <c:v>-2.4025724947999998</c:v>
                </c:pt>
                <c:pt idx="31">
                  <c:v>-1.9715321872000009</c:v>
                </c:pt>
                <c:pt idx="32">
                  <c:v>-1.8744917239999981</c:v>
                </c:pt>
                <c:pt idx="33">
                  <c:v>-0.78008493960000203</c:v>
                </c:pt>
                <c:pt idx="34">
                  <c:v>-1.1954537273333321</c:v>
                </c:pt>
                <c:pt idx="35">
                  <c:v>-0.95026395453333312</c:v>
                </c:pt>
                <c:pt idx="36">
                  <c:v>-0.56843993466666798</c:v>
                </c:pt>
                <c:pt idx="37">
                  <c:v>-0.39855989266666703</c:v>
                </c:pt>
                <c:pt idx="38">
                  <c:v>-0.2103000810666662</c:v>
                </c:pt>
                <c:pt idx="39">
                  <c:v>-3.8281733332978802E-5</c:v>
                </c:pt>
                <c:pt idx="40">
                  <c:v>2.3355706666627901E-4</c:v>
                </c:pt>
                <c:pt idx="41">
                  <c:v>3.1333333333405378E-4</c:v>
                </c:pt>
                <c:pt idx="42">
                  <c:v>-1.793333333329761E-4</c:v>
                </c:pt>
                <c:pt idx="43">
                  <c:v>-4.283333333329753E-4</c:v>
                </c:pt>
                <c:pt idx="44">
                  <c:v>2.1933333333301611E-4</c:v>
                </c:pt>
                <c:pt idx="45">
                  <c:v>-3.4199999999995351E-4</c:v>
                </c:pt>
                <c:pt idx="46">
                  <c:v>-2.096666666668856E-4</c:v>
                </c:pt>
                <c:pt idx="47">
                  <c:v>4.6999999999997039E-4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6B5D-47F3-8FBD-12908E5CE517}"/>
            </c:ext>
          </c:extLst>
        </c:ser>
        <c:ser>
          <c:idx val="38"/>
          <c:order val="38"/>
          <c:tx>
            <c:v>BES_TR3_two267_C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Net_kW!$AO$2:$AO$49</c:f>
              <c:numCache>
                <c:formatCode>#,##0.000</c:formatCode>
                <c:ptCount val="48"/>
                <c:pt idx="0">
                  <c:v>-1.2433333333297661E-4</c:v>
                </c:pt>
                <c:pt idx="1">
                  <c:v>5.7000000000001487E-5</c:v>
                </c:pt>
                <c:pt idx="2">
                  <c:v>0</c:v>
                </c:pt>
                <c:pt idx="3">
                  <c:v>-6.7333333333002843E-5</c:v>
                </c:pt>
                <c:pt idx="4">
                  <c:v>0</c:v>
                </c:pt>
                <c:pt idx="5">
                  <c:v>5.7000000000001487E-5</c:v>
                </c:pt>
                <c:pt idx="6">
                  <c:v>-1.2433333333297661E-4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3.5910946666699311E-4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-3.3825933333508917E-4</c:v>
                </c:pt>
                <c:pt idx="13">
                  <c:v>-3.8883439999848329E-4</c:v>
                </c:pt>
                <c:pt idx="14">
                  <c:v>4.0545199999852948E-5</c:v>
                </c:pt>
                <c:pt idx="15">
                  <c:v>-0.60769342333333309</c:v>
                </c:pt>
                <c:pt idx="16">
                  <c:v>-2.2073293982666682</c:v>
                </c:pt>
                <c:pt idx="17">
                  <c:v>-2.2242872669333331</c:v>
                </c:pt>
                <c:pt idx="18">
                  <c:v>-0.51010536266666806</c:v>
                </c:pt>
                <c:pt idx="19">
                  <c:v>4.0659386666797888E-4</c:v>
                </c:pt>
                <c:pt idx="20">
                  <c:v>-2.1608062764000011</c:v>
                </c:pt>
                <c:pt idx="21">
                  <c:v>-3.2263051211999998</c:v>
                </c:pt>
                <c:pt idx="22">
                  <c:v>-3.3279779246666679</c:v>
                </c:pt>
                <c:pt idx="23">
                  <c:v>-3.2360667088000001</c:v>
                </c:pt>
                <c:pt idx="24">
                  <c:v>-3.3854813290666681</c:v>
                </c:pt>
                <c:pt idx="25">
                  <c:v>-3.3613216719999999</c:v>
                </c:pt>
                <c:pt idx="26">
                  <c:v>-3.1492491486666672</c:v>
                </c:pt>
                <c:pt idx="27">
                  <c:v>-3.0804043274666681</c:v>
                </c:pt>
                <c:pt idx="28">
                  <c:v>-2.9753382265333328</c:v>
                </c:pt>
                <c:pt idx="29">
                  <c:v>-2.5640668397333339</c:v>
                </c:pt>
                <c:pt idx="30">
                  <c:v>-2.5927191614666669</c:v>
                </c:pt>
                <c:pt idx="31">
                  <c:v>-2.3825838538666679</c:v>
                </c:pt>
                <c:pt idx="32">
                  <c:v>1.5460933333799609E-4</c:v>
                </c:pt>
                <c:pt idx="33">
                  <c:v>1.153937333380206E-4</c:v>
                </c:pt>
                <c:pt idx="34">
                  <c:v>-2.817273333328707E-4</c:v>
                </c:pt>
                <c:pt idx="35">
                  <c:v>-0.44591098786666711</c:v>
                </c:pt>
                <c:pt idx="36">
                  <c:v>-0.85589393466666808</c:v>
                </c:pt>
                <c:pt idx="37">
                  <c:v>-0.56807102600000003</c:v>
                </c:pt>
                <c:pt idx="38">
                  <c:v>-7.719628106666615E-2</c:v>
                </c:pt>
                <c:pt idx="39">
                  <c:v>-3.7528173333301051E-4</c:v>
                </c:pt>
                <c:pt idx="40">
                  <c:v>-6.4109600000639144E-5</c:v>
                </c:pt>
                <c:pt idx="41">
                  <c:v>-2.766666666698114E-5</c:v>
                </c:pt>
                <c:pt idx="42">
                  <c:v>-9.0666666667016393E-5</c:v>
                </c:pt>
                <c:pt idx="43">
                  <c:v>-2.206666666668688E-4</c:v>
                </c:pt>
                <c:pt idx="44">
                  <c:v>3.3933333333302512E-4</c:v>
                </c:pt>
                <c:pt idx="45">
                  <c:v>4.359999999999919E-4</c:v>
                </c:pt>
                <c:pt idx="46">
                  <c:v>-3.4666666666960388E-5</c:v>
                </c:pt>
                <c:pt idx="47">
                  <c:v>1.709999999999906E-4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B5D-47F3-8FBD-12908E5CE517}"/>
            </c:ext>
          </c:extLst>
        </c:ser>
        <c:ser>
          <c:idx val="39"/>
          <c:order val="39"/>
          <c:tx>
            <c:v>BES_TR3_two292_B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2.6550746666679619E-4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7.0545199999827446E-5</c:v>
                </c:pt>
                <c:pt idx="15">
                  <c:v>-1.2148408900000001</c:v>
                </c:pt>
                <c:pt idx="16">
                  <c:v>-2.146566731600001</c:v>
                </c:pt>
                <c:pt idx="17">
                  <c:v>-2.3417949336000001</c:v>
                </c:pt>
                <c:pt idx="18">
                  <c:v>-2.5511453626666678</c:v>
                </c:pt>
                <c:pt idx="19">
                  <c:v>-2.7789534061333319</c:v>
                </c:pt>
                <c:pt idx="20">
                  <c:v>-3.0870089430666678</c:v>
                </c:pt>
                <c:pt idx="21">
                  <c:v>-3.2303051211999998</c:v>
                </c:pt>
                <c:pt idx="22">
                  <c:v>-3.3319779246666679</c:v>
                </c:pt>
                <c:pt idx="23">
                  <c:v>-3.3765667088</c:v>
                </c:pt>
                <c:pt idx="24">
                  <c:v>-3.3894813290666681</c:v>
                </c:pt>
                <c:pt idx="25">
                  <c:v>-3.3653216719999999</c:v>
                </c:pt>
                <c:pt idx="26">
                  <c:v>-3.284158482</c:v>
                </c:pt>
                <c:pt idx="27">
                  <c:v>-3.1603343274666682</c:v>
                </c:pt>
                <c:pt idx="28">
                  <c:v>-3.0125078932</c:v>
                </c:pt>
                <c:pt idx="29">
                  <c:v>-2.8251901730666682</c:v>
                </c:pt>
                <c:pt idx="30">
                  <c:v>-2.6261284948000001</c:v>
                </c:pt>
                <c:pt idx="31">
                  <c:v>-2.3865838538666679</c:v>
                </c:pt>
                <c:pt idx="32">
                  <c:v>-2.1168000573333319</c:v>
                </c:pt>
                <c:pt idx="33">
                  <c:v>-1.791071272933332</c:v>
                </c:pt>
                <c:pt idx="34">
                  <c:v>-1.486211727333332</c:v>
                </c:pt>
                <c:pt idx="35">
                  <c:v>-1.1729496211999999</c:v>
                </c:pt>
                <c:pt idx="36">
                  <c:v>-0.86991693466666797</c:v>
                </c:pt>
                <c:pt idx="37">
                  <c:v>-0.57775072599999999</c:v>
                </c:pt>
                <c:pt idx="38">
                  <c:v>-0.31532074773333318</c:v>
                </c:pt>
                <c:pt idx="39">
                  <c:v>-5.4159948399999998E-2</c:v>
                </c:pt>
                <c:pt idx="40">
                  <c:v>2.3622373333331839E-4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6B5D-47F3-8FBD-12908E5CE517}"/>
            </c:ext>
          </c:extLst>
        </c:ser>
        <c:ser>
          <c:idx val="40"/>
          <c:order val="40"/>
          <c:tx>
            <c:v>BES_TR3_two308_A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Net_kW!$AQ$2:$AQ$49</c:f>
              <c:numCache>
                <c:formatCode>#,##0.000</c:formatCode>
                <c:ptCount val="48"/>
                <c:pt idx="0">
                  <c:v>-1.2933333333298161E-4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-3.0086939999989833E-4</c:v>
                </c:pt>
                <c:pt idx="9">
                  <c:v>-4.3016789999998639E-4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-0.48724704870000091</c:v>
                </c:pt>
                <c:pt idx="17">
                  <c:v>-1.7550971002</c:v>
                </c:pt>
                <c:pt idx="18">
                  <c:v>-2.0022045220000009</c:v>
                </c:pt>
                <c:pt idx="19">
                  <c:v>-2.1328446545999991</c:v>
                </c:pt>
                <c:pt idx="20">
                  <c:v>-2.2349327073000009</c:v>
                </c:pt>
                <c:pt idx="21">
                  <c:v>-2.1513738408999998</c:v>
                </c:pt>
                <c:pt idx="22">
                  <c:v>-2.488733443500001</c:v>
                </c:pt>
                <c:pt idx="23">
                  <c:v>-2.2950376316000001</c:v>
                </c:pt>
                <c:pt idx="24">
                  <c:v>-2.5123140968000008</c:v>
                </c:pt>
                <c:pt idx="25">
                  <c:v>-2.5114266540000001</c:v>
                </c:pt>
                <c:pt idx="26">
                  <c:v>-2.4528688614999998</c:v>
                </c:pt>
                <c:pt idx="27">
                  <c:v>-2.3600007456000012</c:v>
                </c:pt>
                <c:pt idx="28">
                  <c:v>-2.2491309198999998</c:v>
                </c:pt>
                <c:pt idx="29">
                  <c:v>-2.1086426298000012</c:v>
                </c:pt>
                <c:pt idx="30">
                  <c:v>-1.9593463711000001</c:v>
                </c:pt>
                <c:pt idx="31">
                  <c:v>-1.777478890400001</c:v>
                </c:pt>
                <c:pt idx="32">
                  <c:v>-1.2974347096666661</c:v>
                </c:pt>
                <c:pt idx="33">
                  <c:v>-1.1464654546999991</c:v>
                </c:pt>
                <c:pt idx="34">
                  <c:v>-0.80884602883333301</c:v>
                </c:pt>
                <c:pt idx="35">
                  <c:v>-0.85788921590000011</c:v>
                </c:pt>
                <c:pt idx="36">
                  <c:v>-0.64025886766666762</c:v>
                </c:pt>
                <c:pt idx="37">
                  <c:v>-0.42306304449999999</c:v>
                </c:pt>
                <c:pt idx="38">
                  <c:v>-0.22624056079999991</c:v>
                </c:pt>
                <c:pt idx="39">
                  <c:v>-3.0369961300000001E-2</c:v>
                </c:pt>
                <c:pt idx="40">
                  <c:v>1.7716779999999571E-4</c:v>
                </c:pt>
                <c:pt idx="41">
                  <c:v>2.7733333333301863E-4</c:v>
                </c:pt>
                <c:pt idx="42">
                  <c:v>-5.8000000000002487E-5</c:v>
                </c:pt>
                <c:pt idx="43">
                  <c:v>-3.956666666669606E-4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B5D-47F3-8FBD-12908E5CE517}"/>
            </c:ext>
          </c:extLst>
        </c:ser>
        <c:ser>
          <c:idx val="41"/>
          <c:order val="41"/>
          <c:tx>
            <c:v>BES_TR3_two313_C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Net_kW!$AR$2:$AR$49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-8.4057833333251591E-5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3.387646666675459E-4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-2.2465925000003659E-4</c:v>
                </c:pt>
                <c:pt idx="15">
                  <c:v>-1.413062499999729E-4</c:v>
                </c:pt>
                <c:pt idx="16">
                  <c:v>-2.0587391666815341E-4</c:v>
                </c:pt>
                <c:pt idx="17">
                  <c:v>-1.3944068334999999</c:v>
                </c:pt>
                <c:pt idx="18">
                  <c:v>-1.6773596016666681</c:v>
                </c:pt>
                <c:pt idx="19">
                  <c:v>-1.800989628833332</c:v>
                </c:pt>
                <c:pt idx="20">
                  <c:v>-1.909505589416667</c:v>
                </c:pt>
                <c:pt idx="21">
                  <c:v>-1.9974213007499999</c:v>
                </c:pt>
                <c:pt idx="22">
                  <c:v>-2.0502782029166671</c:v>
                </c:pt>
                <c:pt idx="23">
                  <c:v>-2.0467178596666669</c:v>
                </c:pt>
                <c:pt idx="24">
                  <c:v>-1.9993308306666671</c:v>
                </c:pt>
                <c:pt idx="25">
                  <c:v>-2.0735290449999999</c:v>
                </c:pt>
                <c:pt idx="26">
                  <c:v>-1.7258757179166671</c:v>
                </c:pt>
                <c:pt idx="27">
                  <c:v>-0.402080621333337</c:v>
                </c:pt>
                <c:pt idx="28">
                  <c:v>-1.696727099916667</c:v>
                </c:pt>
                <c:pt idx="29">
                  <c:v>-1.5674388581666681</c:v>
                </c:pt>
                <c:pt idx="30">
                  <c:v>-1.5409786425833329</c:v>
                </c:pt>
                <c:pt idx="31">
                  <c:v>-1.471739908666668</c:v>
                </c:pt>
                <c:pt idx="32">
                  <c:v>-1.3031250358333319</c:v>
                </c:pt>
                <c:pt idx="33">
                  <c:v>-1.099544545583333</c:v>
                </c:pt>
                <c:pt idx="34">
                  <c:v>-0.90900732958333241</c:v>
                </c:pt>
                <c:pt idx="35">
                  <c:v>-0.71321851324999996</c:v>
                </c:pt>
                <c:pt idx="36">
                  <c:v>-0.52382308416666745</c:v>
                </c:pt>
                <c:pt idx="37">
                  <c:v>-0.34121920374999998</c:v>
                </c:pt>
                <c:pt idx="38">
                  <c:v>4.3653266666683621E-4</c:v>
                </c:pt>
                <c:pt idx="39">
                  <c:v>-2.7030108333303549E-4</c:v>
                </c:pt>
                <c:pt idx="40">
                  <c:v>-2.3702683333370891E-4</c:v>
                </c:pt>
                <c:pt idx="41">
                  <c:v>-4.093333333329841E-4</c:v>
                </c:pt>
                <c:pt idx="42">
                  <c:v>-3.763333333329788E-4</c:v>
                </c:pt>
                <c:pt idx="43">
                  <c:v>-3.7666666666991138E-5</c:v>
                </c:pt>
                <c:pt idx="44">
                  <c:v>-8.3333333329993486E-6</c:v>
                </c:pt>
                <c:pt idx="45">
                  <c:v>4.6333333333303811E-4</c:v>
                </c:pt>
                <c:pt idx="46">
                  <c:v>0</c:v>
                </c:pt>
                <c:pt idx="47">
                  <c:v>-3.2693333333330687E-4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6B5D-47F3-8FBD-12908E5CE517}"/>
            </c:ext>
          </c:extLst>
        </c:ser>
        <c:ser>
          <c:idx val="42"/>
          <c:order val="42"/>
          <c:tx>
            <c:v>BES_TR3_two137_B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Net_kW!$AS$2:$AS$49</c:f>
              <c:numCache>
                <c:formatCode>#,##0.000</c:formatCode>
                <c:ptCount val="48"/>
                <c:pt idx="0">
                  <c:v>-1.199999999990098E-5</c:v>
                </c:pt>
                <c:pt idx="1">
                  <c:v>-3.7433333333292129E-4</c:v>
                </c:pt>
                <c:pt idx="2">
                  <c:v>7.699999999999374E-5</c:v>
                </c:pt>
                <c:pt idx="3">
                  <c:v>1.7999999999988861E-4</c:v>
                </c:pt>
                <c:pt idx="4">
                  <c:v>-8.6666666666013192E-6</c:v>
                </c:pt>
                <c:pt idx="5">
                  <c:v>-8.6666666667012393E-5</c:v>
                </c:pt>
                <c:pt idx="6">
                  <c:v>-2.30000000000008E-4</c:v>
                </c:pt>
                <c:pt idx="7">
                  <c:v>-1.0603636666634E-4</c:v>
                </c:pt>
                <c:pt idx="8">
                  <c:v>4.8231903333344033E-4</c:v>
                </c:pt>
                <c:pt idx="9">
                  <c:v>4.3747078333300488E-4</c:v>
                </c:pt>
                <c:pt idx="10">
                  <c:v>6.2581099998515466E-5</c:v>
                </c:pt>
                <c:pt idx="11">
                  <c:v>-1.257294666654474E-4</c:v>
                </c:pt>
                <c:pt idx="12">
                  <c:v>-4.4176858333455638E-4</c:v>
                </c:pt>
                <c:pt idx="13">
                  <c:v>1.6414490000193899E-4</c:v>
                </c:pt>
                <c:pt idx="14">
                  <c:v>2.8547705000003809E-4</c:v>
                </c:pt>
                <c:pt idx="15">
                  <c:v>-2.782874999995855E-5</c:v>
                </c:pt>
                <c:pt idx="16">
                  <c:v>-0.35438355681666822</c:v>
                </c:pt>
                <c:pt idx="17">
                  <c:v>-2.1033295668999998</c:v>
                </c:pt>
                <c:pt idx="18">
                  <c:v>-2.228574109000002</c:v>
                </c:pt>
                <c:pt idx="19">
                  <c:v>-1.8819404803666651</c:v>
                </c:pt>
                <c:pt idx="20">
                  <c:v>-1.1219551585166641</c:v>
                </c:pt>
                <c:pt idx="21">
                  <c:v>-2.6908337810499998</c:v>
                </c:pt>
                <c:pt idx="22">
                  <c:v>-2.7926123507500011</c:v>
                </c:pt>
                <c:pt idx="23">
                  <c:v>-2.9498108701999999</c:v>
                </c:pt>
                <c:pt idx="24">
                  <c:v>-2.835266496266668</c:v>
                </c:pt>
                <c:pt idx="25">
                  <c:v>-2.9015864630000001</c:v>
                </c:pt>
                <c:pt idx="26">
                  <c:v>-2.832210338416667</c:v>
                </c:pt>
                <c:pt idx="27">
                  <c:v>-2.6672412032000019</c:v>
                </c:pt>
                <c:pt idx="28">
                  <c:v>-2.57154940655</c:v>
                </c:pt>
                <c:pt idx="29">
                  <c:v>-2.3415117347666681</c:v>
                </c:pt>
                <c:pt idx="30">
                  <c:v>-2.3102374329500002</c:v>
                </c:pt>
                <c:pt idx="31">
                  <c:v>-2.0750458721333338</c:v>
                </c:pt>
                <c:pt idx="32">
                  <c:v>-1.6769860501666649</c:v>
                </c:pt>
                <c:pt idx="33">
                  <c:v>-1.573066697149998</c:v>
                </c:pt>
                <c:pt idx="34">
                  <c:v>-1.2701602614166649</c:v>
                </c:pt>
                <c:pt idx="35">
                  <c:v>-0.86168125188333311</c:v>
                </c:pt>
                <c:pt idx="36">
                  <c:v>-0.77355231783333445</c:v>
                </c:pt>
                <c:pt idx="37">
                  <c:v>-0.32421488524999997</c:v>
                </c:pt>
                <c:pt idx="38">
                  <c:v>-0.26229798759999978</c:v>
                </c:pt>
                <c:pt idx="39">
                  <c:v>-2.089288183333302E-3</c:v>
                </c:pt>
                <c:pt idx="40">
                  <c:v>-2.9430423333332012E-4</c:v>
                </c:pt>
                <c:pt idx="41">
                  <c:v>1.199999999999951E-4</c:v>
                </c:pt>
                <c:pt idx="42">
                  <c:v>3.0100000000005123E-4</c:v>
                </c:pt>
                <c:pt idx="43">
                  <c:v>4.870000000000152E-4</c:v>
                </c:pt>
                <c:pt idx="44">
                  <c:v>-1.09999999999999E-4</c:v>
                </c:pt>
                <c:pt idx="45">
                  <c:v>-1.5766666666694459E-4</c:v>
                </c:pt>
                <c:pt idx="46">
                  <c:v>1.2666666666699691E-4</c:v>
                </c:pt>
                <c:pt idx="47">
                  <c:v>-3.6600000000008848E-4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B5D-47F3-8FBD-12908E5CE517}"/>
            </c:ext>
          </c:extLst>
        </c:ser>
        <c:ser>
          <c:idx val="43"/>
          <c:order val="43"/>
          <c:tx>
            <c:v>BES_TR3_two316_A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Net_kW!$AT$2:$AT$49</c:f>
              <c:numCache>
                <c:formatCode>#,##0.000</c:formatCode>
                <c:ptCount val="48"/>
                <c:pt idx="0">
                  <c:v>-8.566666666709466E-5</c:v>
                </c:pt>
                <c:pt idx="1">
                  <c:v>-3.4666666666699491E-4</c:v>
                </c:pt>
                <c:pt idx="2">
                  <c:v>3.3399999999997321E-4</c:v>
                </c:pt>
                <c:pt idx="3">
                  <c:v>0</c:v>
                </c:pt>
                <c:pt idx="4">
                  <c:v>0</c:v>
                </c:pt>
                <c:pt idx="5">
                  <c:v>3.3399999999997321E-4</c:v>
                </c:pt>
                <c:pt idx="6">
                  <c:v>0</c:v>
                </c:pt>
                <c:pt idx="7">
                  <c:v>8.6397400000007285E-5</c:v>
                </c:pt>
                <c:pt idx="8">
                  <c:v>3.6613059999999342E-4</c:v>
                </c:pt>
                <c:pt idx="9">
                  <c:v>-4.3016789999998639E-4</c:v>
                </c:pt>
                <c:pt idx="10">
                  <c:v>3.2878379999898288E-4</c:v>
                </c:pt>
                <c:pt idx="11">
                  <c:v>-3.9348239999892343E-4</c:v>
                </c:pt>
                <c:pt idx="12">
                  <c:v>2.5205549999884891E-4</c:v>
                </c:pt>
                <c:pt idx="13">
                  <c:v>-1.6287579999907381E-4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-3.4904870000107557E-4</c:v>
                </c:pt>
                <c:pt idx="17">
                  <c:v>-1.5204882002</c:v>
                </c:pt>
                <c:pt idx="18">
                  <c:v>-2.0224315220000011</c:v>
                </c:pt>
                <c:pt idx="19">
                  <c:v>-2.081453554599999</c:v>
                </c:pt>
                <c:pt idx="20">
                  <c:v>-2.3010067073000009</c:v>
                </c:pt>
                <c:pt idx="21">
                  <c:v>-2.4084788409</c:v>
                </c:pt>
                <c:pt idx="22">
                  <c:v>-2.484733443500001</c:v>
                </c:pt>
                <c:pt idx="23">
                  <c:v>-2.5181750315999998</c:v>
                </c:pt>
                <c:pt idx="24">
                  <c:v>-2.5278609968000012</c:v>
                </c:pt>
                <c:pt idx="25">
                  <c:v>-1.24335758733333</c:v>
                </c:pt>
                <c:pt idx="26">
                  <c:v>-1.4326188615</c:v>
                </c:pt>
                <c:pt idx="27">
                  <c:v>-2.0764174122666681</c:v>
                </c:pt>
                <c:pt idx="28">
                  <c:v>-1.7182259199000001</c:v>
                </c:pt>
                <c:pt idx="29">
                  <c:v>-1.9241022964666681</c:v>
                </c:pt>
                <c:pt idx="30">
                  <c:v>-1.5053933711</c:v>
                </c:pt>
                <c:pt idx="31">
                  <c:v>-1.2803588904000009</c:v>
                </c:pt>
                <c:pt idx="32">
                  <c:v>-1.3603873763333321</c:v>
                </c:pt>
                <c:pt idx="33">
                  <c:v>-1.149311454699999</c:v>
                </c:pt>
                <c:pt idx="34">
                  <c:v>-1.023836795499999</c:v>
                </c:pt>
                <c:pt idx="35">
                  <c:v>-0.80980221590000012</c:v>
                </c:pt>
                <c:pt idx="36">
                  <c:v>-0.37892903433333402</c:v>
                </c:pt>
                <c:pt idx="37">
                  <c:v>-0.35998197783333302</c:v>
                </c:pt>
                <c:pt idx="38">
                  <c:v>-0.17903656079999991</c:v>
                </c:pt>
                <c:pt idx="39">
                  <c:v>-3.3626130000002918E-4</c:v>
                </c:pt>
                <c:pt idx="40">
                  <c:v>-4.4616553333304282E-4</c:v>
                </c:pt>
                <c:pt idx="41">
                  <c:v>-3.5433333333301231E-4</c:v>
                </c:pt>
                <c:pt idx="42">
                  <c:v>3.656666666669306E-4</c:v>
                </c:pt>
                <c:pt idx="43">
                  <c:v>3.1333333333294361E-4</c:v>
                </c:pt>
                <c:pt idx="44">
                  <c:v>-2.399999999991298E-5</c:v>
                </c:pt>
                <c:pt idx="45">
                  <c:v>2.2833333333294181E-4</c:v>
                </c:pt>
                <c:pt idx="46">
                  <c:v>-1.4066666666701089E-4</c:v>
                </c:pt>
                <c:pt idx="47">
                  <c:v>-3.1666666666596571E-4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6B5D-47F3-8FBD-12908E5CE517}"/>
            </c:ext>
          </c:extLst>
        </c:ser>
        <c:ser>
          <c:idx val="44"/>
          <c:order val="44"/>
          <c:tx>
            <c:v>BES_TR3_two339_A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Net_kW!$AU$2:$AU$49</c:f>
              <c:numCache>
                <c:formatCode>#,##0.000</c:formatCode>
                <c:ptCount val="48"/>
                <c:pt idx="0">
                  <c:v>-2.8099999999997571E-4</c:v>
                </c:pt>
                <c:pt idx="1">
                  <c:v>1.8266666666699741E-4</c:v>
                </c:pt>
                <c:pt idx="2">
                  <c:v>4.6533333333287352E-4</c:v>
                </c:pt>
                <c:pt idx="3">
                  <c:v>0.27841733333333302</c:v>
                </c:pt>
                <c:pt idx="4">
                  <c:v>0.48988799999999999</c:v>
                </c:pt>
                <c:pt idx="5">
                  <c:v>0.56713533333333299</c:v>
                </c:pt>
                <c:pt idx="6">
                  <c:v>0.206956</c:v>
                </c:pt>
                <c:pt idx="7">
                  <c:v>4.9989296966666673E-2</c:v>
                </c:pt>
                <c:pt idx="8">
                  <c:v>0.12704698570000039</c:v>
                </c:pt>
                <c:pt idx="9">
                  <c:v>9.8483470783332999E-2</c:v>
                </c:pt>
                <c:pt idx="10">
                  <c:v>-1.060855666674687E-4</c:v>
                </c:pt>
                <c:pt idx="11">
                  <c:v>6.6038666675649624E-6</c:v>
                </c:pt>
                <c:pt idx="12">
                  <c:v>-7.776858333452541E-5</c:v>
                </c:pt>
                <c:pt idx="13">
                  <c:v>-4.5685509999793261E-4</c:v>
                </c:pt>
                <c:pt idx="14">
                  <c:v>2.8681038333311371E-4</c:v>
                </c:pt>
                <c:pt idx="15">
                  <c:v>-1.7416208333309591E-4</c:v>
                </c:pt>
                <c:pt idx="16">
                  <c:v>-3.6322348333506232E-4</c:v>
                </c:pt>
                <c:pt idx="17">
                  <c:v>-1.2935735668999999</c:v>
                </c:pt>
                <c:pt idx="18">
                  <c:v>-1.851562442333335</c:v>
                </c:pt>
                <c:pt idx="19">
                  <c:v>-2.5149438136999982</c:v>
                </c:pt>
                <c:pt idx="20">
                  <c:v>-2.5504891585166671</c:v>
                </c:pt>
                <c:pt idx="21">
                  <c:v>-2.50473738105</c:v>
                </c:pt>
                <c:pt idx="22">
                  <c:v>-2.8109655174166668</c:v>
                </c:pt>
                <c:pt idx="23">
                  <c:v>-2.7231692035333328</c:v>
                </c:pt>
                <c:pt idx="24">
                  <c:v>-2.887036162933335</c:v>
                </c:pt>
                <c:pt idx="25">
                  <c:v>-2.7257741296666671</c:v>
                </c:pt>
                <c:pt idx="26">
                  <c:v>-2.712721005083333</c:v>
                </c:pt>
                <c:pt idx="27">
                  <c:v>-2.646699536533335</c:v>
                </c:pt>
                <c:pt idx="28">
                  <c:v>-2.40413840655</c:v>
                </c:pt>
                <c:pt idx="29">
                  <c:v>-2.4360154014333348</c:v>
                </c:pt>
                <c:pt idx="30">
                  <c:v>-0.77903676628332996</c:v>
                </c:pt>
                <c:pt idx="31">
                  <c:v>-1.8108098721333341</c:v>
                </c:pt>
                <c:pt idx="32">
                  <c:v>-1.1003050501666649</c:v>
                </c:pt>
                <c:pt idx="33">
                  <c:v>-0.89958303048333199</c:v>
                </c:pt>
                <c:pt idx="34">
                  <c:v>-1.0002152614166651</c:v>
                </c:pt>
                <c:pt idx="35">
                  <c:v>-0.6793095185500001</c:v>
                </c:pt>
                <c:pt idx="36">
                  <c:v>-0.29130665116666737</c:v>
                </c:pt>
                <c:pt idx="37">
                  <c:v>-0.35639655191666703</c:v>
                </c:pt>
                <c:pt idx="38">
                  <c:v>-3.9532093333352961E-4</c:v>
                </c:pt>
                <c:pt idx="39">
                  <c:v>1.097118166669686E-4</c:v>
                </c:pt>
                <c:pt idx="40">
                  <c:v>2.683624333336132E-4</c:v>
                </c:pt>
                <c:pt idx="41">
                  <c:v>-4.250000000000087E-4</c:v>
                </c:pt>
                <c:pt idx="42">
                  <c:v>2.8966666666702112E-4</c:v>
                </c:pt>
                <c:pt idx="43">
                  <c:v>-2.7433333333304327E-4</c:v>
                </c:pt>
                <c:pt idx="44">
                  <c:v>-1.6000000000238049E-5</c:v>
                </c:pt>
                <c:pt idx="45">
                  <c:v>-3.1700000000001172E-4</c:v>
                </c:pt>
                <c:pt idx="46">
                  <c:v>-3.3733333333296761E-4</c:v>
                </c:pt>
                <c:pt idx="47">
                  <c:v>2.5333333332988591E-5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B5D-47F3-8FBD-12908E5CE517}"/>
            </c:ext>
          </c:extLst>
        </c:ser>
        <c:ser>
          <c:idx val="45"/>
          <c:order val="45"/>
          <c:tx>
            <c:v>BES_TR3_two149_B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Net_kW!$AV$2:$AV$49</c:f>
              <c:numCache>
                <c:formatCode>#,##0.000</c:formatCode>
                <c:ptCount val="48"/>
                <c:pt idx="0">
                  <c:v>-7.9999999999941229E-6</c:v>
                </c:pt>
                <c:pt idx="1">
                  <c:v>-4.4033333333301511E-4</c:v>
                </c:pt>
                <c:pt idx="2">
                  <c:v>-2.230000000000287E-4</c:v>
                </c:pt>
                <c:pt idx="3">
                  <c:v>0</c:v>
                </c:pt>
                <c:pt idx="4">
                  <c:v>3.3666666666701262E-4</c:v>
                </c:pt>
                <c:pt idx="5">
                  <c:v>0</c:v>
                </c:pt>
                <c:pt idx="6">
                  <c:v>0</c:v>
                </c:pt>
                <c:pt idx="7">
                  <c:v>-2.2703033333348891E-5</c:v>
                </c:pt>
                <c:pt idx="8">
                  <c:v>-1.6901429999954809E-4</c:v>
                </c:pt>
                <c:pt idx="9">
                  <c:v>4.9813745000001908E-4</c:v>
                </c:pt>
                <c:pt idx="10">
                  <c:v>-1.13085566667448E-4</c:v>
                </c:pt>
                <c:pt idx="11">
                  <c:v>-3.4672946666558507E-4</c:v>
                </c:pt>
                <c:pt idx="12">
                  <c:v>6.9231416665482826E-5</c:v>
                </c:pt>
                <c:pt idx="13">
                  <c:v>3.1714490000189782E-4</c:v>
                </c:pt>
                <c:pt idx="14">
                  <c:v>2.8147704999992312E-4</c:v>
                </c:pt>
                <c:pt idx="15">
                  <c:v>-4.6716208333341669E-4</c:v>
                </c:pt>
                <c:pt idx="16">
                  <c:v>-1.1650712234833349</c:v>
                </c:pt>
                <c:pt idx="17">
                  <c:v>-2.1467805669</c:v>
                </c:pt>
                <c:pt idx="18">
                  <c:v>-2.2945154423333349</c:v>
                </c:pt>
                <c:pt idx="19">
                  <c:v>-2.3671834803666649</c:v>
                </c:pt>
                <c:pt idx="20">
                  <c:v>-2.3953571585166671</c:v>
                </c:pt>
                <c:pt idx="21">
                  <c:v>-2.5634546477166662</c:v>
                </c:pt>
                <c:pt idx="22">
                  <c:v>-2.6335816840833339</c:v>
                </c:pt>
                <c:pt idx="23">
                  <c:v>-2.8026508701999999</c:v>
                </c:pt>
                <c:pt idx="24">
                  <c:v>-2.9621711629333349</c:v>
                </c:pt>
                <c:pt idx="25">
                  <c:v>-2.7783581296666671</c:v>
                </c:pt>
                <c:pt idx="26">
                  <c:v>-2.8483503384166671</c:v>
                </c:pt>
                <c:pt idx="27">
                  <c:v>-2.6336555365333352</c:v>
                </c:pt>
                <c:pt idx="28">
                  <c:v>-2.5759947398833329</c:v>
                </c:pt>
                <c:pt idx="29">
                  <c:v>-2.468416401433335</c:v>
                </c:pt>
                <c:pt idx="30">
                  <c:v>-2.1099007662833329</c:v>
                </c:pt>
                <c:pt idx="31">
                  <c:v>-2.084635872133334</c:v>
                </c:pt>
                <c:pt idx="32">
                  <c:v>-1.742226383499998</c:v>
                </c:pt>
                <c:pt idx="33">
                  <c:v>-1.5635623638166649</c:v>
                </c:pt>
                <c:pt idx="34">
                  <c:v>-1.203572928083332</c:v>
                </c:pt>
                <c:pt idx="35">
                  <c:v>-0.93160658521666706</c:v>
                </c:pt>
                <c:pt idx="36">
                  <c:v>-0.75755231783333443</c:v>
                </c:pt>
                <c:pt idx="37">
                  <c:v>-0.34789888525000001</c:v>
                </c:pt>
                <c:pt idx="38">
                  <c:v>-0.24195198759999981</c:v>
                </c:pt>
                <c:pt idx="39">
                  <c:v>-4.7709548499999949E-3</c:v>
                </c:pt>
                <c:pt idx="40">
                  <c:v>4.936243333367174E-5</c:v>
                </c:pt>
                <c:pt idx="41">
                  <c:v>0</c:v>
                </c:pt>
                <c:pt idx="42">
                  <c:v>0</c:v>
                </c:pt>
                <c:pt idx="43">
                  <c:v>-3.66666666670179E-5</c:v>
                </c:pt>
                <c:pt idx="44">
                  <c:v>-9.0000000000006741E-5</c:v>
                </c:pt>
                <c:pt idx="45">
                  <c:v>-3.3600000000000302E-4</c:v>
                </c:pt>
                <c:pt idx="46">
                  <c:v>-1.163333333329963E-4</c:v>
                </c:pt>
                <c:pt idx="47">
                  <c:v>2.8899999999998371E-4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6B5D-47F3-8FBD-12908E5CE517}"/>
            </c:ext>
          </c:extLst>
        </c:ser>
        <c:ser>
          <c:idx val="46"/>
          <c:order val="46"/>
          <c:tx>
            <c:v>BES_TR3_two225_C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Net_kW!$AW$2:$AW$49</c:f>
              <c:numCache>
                <c:formatCode>#,##0.000</c:formatCode>
                <c:ptCount val="48"/>
                <c:pt idx="0">
                  <c:v>3.5066666666699892E-4</c:v>
                </c:pt>
                <c:pt idx="1">
                  <c:v>4.9000000000021249E-5</c:v>
                </c:pt>
                <c:pt idx="2">
                  <c:v>3.0566666666650982E-4</c:v>
                </c:pt>
                <c:pt idx="3">
                  <c:v>3.7799999999998951E-4</c:v>
                </c:pt>
                <c:pt idx="4">
                  <c:v>-3.8866666666698141E-4</c:v>
                </c:pt>
                <c:pt idx="5">
                  <c:v>3.7799999999998951E-4</c:v>
                </c:pt>
                <c:pt idx="6">
                  <c:v>0</c:v>
                </c:pt>
                <c:pt idx="7">
                  <c:v>-4.3640173333332749E-4</c:v>
                </c:pt>
                <c:pt idx="8">
                  <c:v>4.3808706666639829E-4</c:v>
                </c:pt>
                <c:pt idx="9">
                  <c:v>1.132213999999951E-4</c:v>
                </c:pt>
                <c:pt idx="10">
                  <c:v>-3.2614413333401088E-4</c:v>
                </c:pt>
                <c:pt idx="11">
                  <c:v>4.9567840000100394E-4</c:v>
                </c:pt>
                <c:pt idx="12">
                  <c:v>2.6137033333301091E-4</c:v>
                </c:pt>
                <c:pt idx="13">
                  <c:v>1.294161333340593E-4</c:v>
                </c:pt>
                <c:pt idx="14">
                  <c:v>-1.2839406666698139E-4</c:v>
                </c:pt>
                <c:pt idx="15">
                  <c:v>-3.1304499999984531E-4</c:v>
                </c:pt>
                <c:pt idx="16">
                  <c:v>8.3008666658807018E-6</c:v>
                </c:pt>
                <c:pt idx="17">
                  <c:v>4.0753320000019849E-4</c:v>
                </c:pt>
                <c:pt idx="18">
                  <c:v>-3.6348000000963048E-5</c:v>
                </c:pt>
                <c:pt idx="19">
                  <c:v>-1.5103639999880511E-4</c:v>
                </c:pt>
                <c:pt idx="20">
                  <c:v>-1.036563804866667</c:v>
                </c:pt>
                <c:pt idx="21">
                  <c:v>-1.4794125605999999</c:v>
                </c:pt>
                <c:pt idx="22">
                  <c:v>-1.6424889623333341</c:v>
                </c:pt>
                <c:pt idx="23">
                  <c:v>-1.566172021066667</c:v>
                </c:pt>
                <c:pt idx="24">
                  <c:v>-1.502908664533334</c:v>
                </c:pt>
                <c:pt idx="25">
                  <c:v>-1.6311148360000001</c:v>
                </c:pt>
                <c:pt idx="26">
                  <c:v>-1.1822809076666669</c:v>
                </c:pt>
                <c:pt idx="27">
                  <c:v>-1.4435284970666671</c:v>
                </c:pt>
                <c:pt idx="28">
                  <c:v>-1.3890769465999999</c:v>
                </c:pt>
                <c:pt idx="29">
                  <c:v>-4.1075320000397148E-4</c:v>
                </c:pt>
                <c:pt idx="30">
                  <c:v>4.1575259999948599E-4</c:v>
                </c:pt>
                <c:pt idx="31">
                  <c:v>-1.165936000036005E-4</c:v>
                </c:pt>
                <c:pt idx="32">
                  <c:v>-3.5089533333187978E-4</c:v>
                </c:pt>
                <c:pt idx="33">
                  <c:v>-1.7763646666590921E-4</c:v>
                </c:pt>
                <c:pt idx="34">
                  <c:v>2.856696666670433E-4</c:v>
                </c:pt>
                <c:pt idx="35">
                  <c:v>-1.096439333330701E-4</c:v>
                </c:pt>
                <c:pt idx="36">
                  <c:v>-3.1713399999999577E-4</c:v>
                </c:pt>
                <c:pt idx="37">
                  <c:v>2.903036666669565E-4</c:v>
                </c:pt>
                <c:pt idx="38">
                  <c:v>-7.2007199999599147E-5</c:v>
                </c:pt>
                <c:pt idx="39">
                  <c:v>4.9669246666694811E-4</c:v>
                </c:pt>
                <c:pt idx="40">
                  <c:v>-2.0055480000036319E-4</c:v>
                </c:pt>
                <c:pt idx="41">
                  <c:v>-3.8500000000002421E-4</c:v>
                </c:pt>
                <c:pt idx="42">
                  <c:v>-3.416666666669621E-4</c:v>
                </c:pt>
                <c:pt idx="43">
                  <c:v>-8.33333333330466E-5</c:v>
                </c:pt>
                <c:pt idx="44">
                  <c:v>2.9266666666599722E-4</c:v>
                </c:pt>
                <c:pt idx="45">
                  <c:v>-3.5600000000002302E-4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B5D-47F3-8FBD-12908E5CE517}"/>
            </c:ext>
          </c:extLst>
        </c:ser>
        <c:ser>
          <c:idx val="47"/>
          <c:order val="47"/>
          <c:tx>
            <c:v>BES_TR3_two229_A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Net_kW!$AX$2:$AX$49</c:f>
              <c:numCache>
                <c:formatCode>#,##0.000</c:formatCode>
                <c:ptCount val="48"/>
                <c:pt idx="0">
                  <c:v>4.7333333332982841E-5</c:v>
                </c:pt>
                <c:pt idx="1">
                  <c:v>-4.0433333333300681E-4</c:v>
                </c:pt>
                <c:pt idx="2">
                  <c:v>-4.906666666670001E-4</c:v>
                </c:pt>
                <c:pt idx="3">
                  <c:v>-1.18000000000007E-4</c:v>
                </c:pt>
                <c:pt idx="4">
                  <c:v>-5.2666666667006152E-5</c:v>
                </c:pt>
                <c:pt idx="5">
                  <c:v>3.913333333329938E-4</c:v>
                </c:pt>
                <c:pt idx="6">
                  <c:v>0</c:v>
                </c:pt>
                <c:pt idx="7">
                  <c:v>-4.2430129999998512E-4</c:v>
                </c:pt>
                <c:pt idx="8">
                  <c:v>-1.7776803333294231E-4</c:v>
                </c:pt>
                <c:pt idx="9">
                  <c:v>2.179160500000131E-4</c:v>
                </c:pt>
                <c:pt idx="10">
                  <c:v>-4.8827476666751449E-4</c:v>
                </c:pt>
                <c:pt idx="11">
                  <c:v>1.2625880000050049E-4</c:v>
                </c:pt>
                <c:pt idx="12">
                  <c:v>9.8861083332679733E-5</c:v>
                </c:pt>
                <c:pt idx="13">
                  <c:v>1.7239543333352761E-4</c:v>
                </c:pt>
                <c:pt idx="14">
                  <c:v>2.7953778333300589E-4</c:v>
                </c:pt>
                <c:pt idx="15">
                  <c:v>1.3721625000007179E-4</c:v>
                </c:pt>
                <c:pt idx="16">
                  <c:v>2.1467564999944069E-4</c:v>
                </c:pt>
                <c:pt idx="17">
                  <c:v>-1.4883343333282889E-4</c:v>
                </c:pt>
                <c:pt idx="18">
                  <c:v>4.1957233333300698E-4</c:v>
                </c:pt>
                <c:pt idx="19">
                  <c:v>-3.4364396666597408E-4</c:v>
                </c:pt>
                <c:pt idx="20">
                  <c:v>3.4831301666704562E-4</c:v>
                </c:pt>
                <c:pt idx="21">
                  <c:v>-0.36361475378333319</c:v>
                </c:pt>
                <c:pt idx="22">
                  <c:v>-1.1245187217499999</c:v>
                </c:pt>
                <c:pt idx="23">
                  <c:v>-1.0844105157999999</c:v>
                </c:pt>
                <c:pt idx="24">
                  <c:v>-0.86886283173333401</c:v>
                </c:pt>
                <c:pt idx="25">
                  <c:v>-0.49204062700000001</c:v>
                </c:pt>
                <c:pt idx="26">
                  <c:v>-1.0716477640833331</c:v>
                </c:pt>
                <c:pt idx="27">
                  <c:v>-0.88060770613333306</c:v>
                </c:pt>
                <c:pt idx="28">
                  <c:v>-1.0582123932833329</c:v>
                </c:pt>
                <c:pt idx="29">
                  <c:v>-0.2154707815666661</c:v>
                </c:pt>
                <c:pt idx="30">
                  <c:v>-0.51068151888333291</c:v>
                </c:pt>
                <c:pt idx="31">
                  <c:v>-0.67761334520000038</c:v>
                </c:pt>
                <c:pt idx="32">
                  <c:v>-0.4937832881666665</c:v>
                </c:pt>
                <c:pt idx="33">
                  <c:v>-0.6420760940166661</c:v>
                </c:pt>
                <c:pt idx="34">
                  <c:v>-0.44044039774999938</c:v>
                </c:pt>
                <c:pt idx="35">
                  <c:v>-0.17212910795000011</c:v>
                </c:pt>
                <c:pt idx="36">
                  <c:v>-0.18803885050000049</c:v>
                </c:pt>
                <c:pt idx="37">
                  <c:v>-8.1522249999910201E-5</c:v>
                </c:pt>
                <c:pt idx="38">
                  <c:v>2.305293333304537E-5</c:v>
                </c:pt>
                <c:pt idx="39">
                  <c:v>-3.4831398333298741E-4</c:v>
                </c:pt>
                <c:pt idx="40">
                  <c:v>-1.3141610000000359E-4</c:v>
                </c:pt>
                <c:pt idx="41">
                  <c:v>4.2199999999997789E-4</c:v>
                </c:pt>
                <c:pt idx="42">
                  <c:v>-4.1000000000002151E-4</c:v>
                </c:pt>
                <c:pt idx="43">
                  <c:v>4.1666666666939627E-5</c:v>
                </c:pt>
                <c:pt idx="44">
                  <c:v>3.7366666666982518E-4</c:v>
                </c:pt>
                <c:pt idx="45">
                  <c:v>2.5300000000005868E-4</c:v>
                </c:pt>
                <c:pt idx="46">
                  <c:v>0</c:v>
                </c:pt>
                <c:pt idx="47">
                  <c:v>2.7033333333329612E-4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6B5D-47F3-8FBD-12908E5CE517}"/>
            </c:ext>
          </c:extLst>
        </c:ser>
        <c:ser>
          <c:idx val="48"/>
          <c:order val="48"/>
          <c:tx>
            <c:v>BES_TR3_two242_B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Net_kW!$AY$2:$AY$49</c:f>
              <c:numCache>
                <c:formatCode>#,##0.000</c:formatCode>
                <c:ptCount val="48"/>
                <c:pt idx="0">
                  <c:v>-3.9666666666704492E-4</c:v>
                </c:pt>
                <c:pt idx="1">
                  <c:v>4.8799999999998839E-4</c:v>
                </c:pt>
                <c:pt idx="2">
                  <c:v>1.9866666666701341E-4</c:v>
                </c:pt>
                <c:pt idx="3">
                  <c:v>4.8799999999998839E-4</c:v>
                </c:pt>
                <c:pt idx="4">
                  <c:v>0</c:v>
                </c:pt>
                <c:pt idx="5">
                  <c:v>4.8799999999998839E-4</c:v>
                </c:pt>
                <c:pt idx="6">
                  <c:v>1.18E-4</c:v>
                </c:pt>
                <c:pt idx="7">
                  <c:v>3.6026493333368709E-4</c:v>
                </c:pt>
                <c:pt idx="8">
                  <c:v>-3.7657959999991281E-4</c:v>
                </c:pt>
                <c:pt idx="9">
                  <c:v>-2.0877859999998691E-4</c:v>
                </c:pt>
                <c:pt idx="10">
                  <c:v>4.4785586666590271E-4</c:v>
                </c:pt>
                <c:pt idx="11">
                  <c:v>-4.409882666659426E-4</c:v>
                </c:pt>
                <c:pt idx="12">
                  <c:v>2.3937033333293331E-4</c:v>
                </c:pt>
                <c:pt idx="13">
                  <c:v>-3.7458386666600058E-4</c:v>
                </c:pt>
                <c:pt idx="14">
                  <c:v>4.6560593333300199E-4</c:v>
                </c:pt>
                <c:pt idx="15">
                  <c:v>4.3228833333341932E-4</c:v>
                </c:pt>
                <c:pt idx="16">
                  <c:v>-2.0469913333409639E-4</c:v>
                </c:pt>
                <c:pt idx="17">
                  <c:v>3.2053320000002827E-4</c:v>
                </c:pt>
                <c:pt idx="18">
                  <c:v>2.0298533333273919E-4</c:v>
                </c:pt>
                <c:pt idx="19">
                  <c:v>-0.150231703066666</c:v>
                </c:pt>
                <c:pt idx="20">
                  <c:v>-1.418779138200001</c:v>
                </c:pt>
                <c:pt idx="21">
                  <c:v>-1.516427227266667</c:v>
                </c:pt>
                <c:pt idx="22">
                  <c:v>-1.5590169623333341</c:v>
                </c:pt>
                <c:pt idx="23">
                  <c:v>-1.5801860210666669</c:v>
                </c:pt>
                <c:pt idx="24">
                  <c:v>-1.4997926645333339</c:v>
                </c:pt>
                <c:pt idx="25">
                  <c:v>-1.376720169333334</c:v>
                </c:pt>
                <c:pt idx="26">
                  <c:v>-1.249288574333334</c:v>
                </c:pt>
                <c:pt idx="27">
                  <c:v>-1.4720611637333341</c:v>
                </c:pt>
                <c:pt idx="28">
                  <c:v>-1.4997539466000001</c:v>
                </c:pt>
                <c:pt idx="29">
                  <c:v>-1.3511777532000011</c:v>
                </c:pt>
                <c:pt idx="30">
                  <c:v>-0.96055891406666705</c:v>
                </c:pt>
                <c:pt idx="31">
                  <c:v>-1.1583532602666671</c:v>
                </c:pt>
                <c:pt idx="32">
                  <c:v>-0.85621669533333289</c:v>
                </c:pt>
                <c:pt idx="33">
                  <c:v>-0.41055230313333302</c:v>
                </c:pt>
                <c:pt idx="34">
                  <c:v>-0.50102319699999898</c:v>
                </c:pt>
                <c:pt idx="35">
                  <c:v>-0.32766081060000002</c:v>
                </c:pt>
                <c:pt idx="36">
                  <c:v>-0.36283180066666743</c:v>
                </c:pt>
                <c:pt idx="37">
                  <c:v>-0.25384202966666669</c:v>
                </c:pt>
                <c:pt idx="38">
                  <c:v>-2.6370720000062908E-4</c:v>
                </c:pt>
                <c:pt idx="39">
                  <c:v>-4.5497420000018002E-4</c:v>
                </c:pt>
                <c:pt idx="40">
                  <c:v>3.6711186666660289E-4</c:v>
                </c:pt>
                <c:pt idx="41">
                  <c:v>-2.1499999999996519E-4</c:v>
                </c:pt>
                <c:pt idx="42">
                  <c:v>2.20999999999999E-4</c:v>
                </c:pt>
                <c:pt idx="43">
                  <c:v>2.6866666666697242E-4</c:v>
                </c:pt>
                <c:pt idx="44">
                  <c:v>1.5333333333306109E-4</c:v>
                </c:pt>
                <c:pt idx="45">
                  <c:v>2.9366666666696961E-4</c:v>
                </c:pt>
                <c:pt idx="46">
                  <c:v>9.6666666666966883E-5</c:v>
                </c:pt>
                <c:pt idx="47">
                  <c:v>-3.3333333329943482E-6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B5D-47F3-8FBD-12908E5CE517}"/>
            </c:ext>
          </c:extLst>
        </c:ser>
        <c:ser>
          <c:idx val="49"/>
          <c:order val="49"/>
          <c:tx>
            <c:v>self-consumption target (net = 0)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6B5D-47F3-8FBD-12908E5CE517}"/>
            </c:ext>
          </c:extLst>
        </c:ser>
        <c:ser>
          <c:idx val="50"/>
          <c:order val="50"/>
          <c:tx>
            <c:v>fleet average net</c:v>
          </c:tx>
          <c:spPr>
            <a:ln w="28575">
              <a:solidFill>
                <a:srgbClr val="111827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ChartData!$AC$2:$AC$49</c:f>
              <c:numCache>
                <c:formatCode>#,##0.000</c:formatCode>
                <c:ptCount val="48"/>
                <c:pt idx="0">
                  <c:v>-4.744217687074892E-5</c:v>
                </c:pt>
                <c:pt idx="1">
                  <c:v>-4.2225850340055215E-5</c:v>
                </c:pt>
                <c:pt idx="2">
                  <c:v>-2.6394557823550269E-6</c:v>
                </c:pt>
                <c:pt idx="3">
                  <c:v>5.6721904761904973E-3</c:v>
                </c:pt>
                <c:pt idx="4">
                  <c:v>1.5929727891156473E-2</c:v>
                </c:pt>
                <c:pt idx="5">
                  <c:v>1.5588448979591746E-2</c:v>
                </c:pt>
                <c:pt idx="6">
                  <c:v>6.0494217687074997E-3</c:v>
                </c:pt>
                <c:pt idx="7">
                  <c:v>9.6880052802720551E-3</c:v>
                </c:pt>
                <c:pt idx="8">
                  <c:v>8.562575020408289E-3</c:v>
                </c:pt>
                <c:pt idx="9">
                  <c:v>3.1093104238094603E-3</c:v>
                </c:pt>
                <c:pt idx="10">
                  <c:v>1.7295663904753171E-3</c:v>
                </c:pt>
                <c:pt idx="11">
                  <c:v>4.9684952392325954E-6</c:v>
                </c:pt>
                <c:pt idx="12">
                  <c:v>2.7639772107616867E-5</c:v>
                </c:pt>
                <c:pt idx="13">
                  <c:v>7.7431605458588848E-6</c:v>
                </c:pt>
                <c:pt idx="14">
                  <c:v>2.5328236053306918E-5</c:v>
                </c:pt>
                <c:pt idx="15">
                  <c:v>-0.18853992382653018</c:v>
                </c:pt>
                <c:pt idx="16">
                  <c:v>-0.91579288801428682</c:v>
                </c:pt>
                <c:pt idx="17">
                  <c:v>-1.4173968818544216</c:v>
                </c:pt>
                <c:pt idx="18">
                  <c:v>-1.6417698971836752</c:v>
                </c:pt>
                <c:pt idx="19">
                  <c:v>-1.9389246680258492</c:v>
                </c:pt>
                <c:pt idx="20">
                  <c:v>-2.2113494271421765</c:v>
                </c:pt>
                <c:pt idx="21">
                  <c:v>-2.4026933494333349</c:v>
                </c:pt>
                <c:pt idx="22">
                  <c:v>-2.3733778203435394</c:v>
                </c:pt>
                <c:pt idx="23">
                  <c:v>-2.3966696996653059</c:v>
                </c:pt>
                <c:pt idx="24">
                  <c:v>-2.609117452914286</c:v>
                </c:pt>
                <c:pt idx="25">
                  <c:v>-2.5825668585170072</c:v>
                </c:pt>
                <c:pt idx="26">
                  <c:v>-2.4212795607108863</c:v>
                </c:pt>
                <c:pt idx="27">
                  <c:v>-2.3031033546448989</c:v>
                </c:pt>
                <c:pt idx="28">
                  <c:v>-2.2640886492768697</c:v>
                </c:pt>
                <c:pt idx="29">
                  <c:v>-2.071345287465308</c:v>
                </c:pt>
                <c:pt idx="30">
                  <c:v>-1.8829313972061215</c:v>
                </c:pt>
                <c:pt idx="31">
                  <c:v>-1.7281592349333335</c:v>
                </c:pt>
                <c:pt idx="32">
                  <c:v>-1.4361548218299309</c:v>
                </c:pt>
                <c:pt idx="33">
                  <c:v>-1.198773881061904</c:v>
                </c:pt>
                <c:pt idx="34">
                  <c:v>-0.93350806167686873</c:v>
                </c:pt>
                <c:pt idx="35">
                  <c:v>-0.70591397273265333</c:v>
                </c:pt>
                <c:pt idx="36">
                  <c:v>-0.48589656029251782</c:v>
                </c:pt>
                <c:pt idx="37">
                  <c:v>-0.25354485410544231</c:v>
                </c:pt>
                <c:pt idx="38">
                  <c:v>-8.8027561975510149E-2</c:v>
                </c:pt>
                <c:pt idx="39">
                  <c:v>-2.8995305571427599E-3</c:v>
                </c:pt>
                <c:pt idx="40">
                  <c:v>2.0749329251945614E-5</c:v>
                </c:pt>
                <c:pt idx="41">
                  <c:v>-2.2074829931884032E-5</c:v>
                </c:pt>
                <c:pt idx="42">
                  <c:v>-6.6340136054443555E-5</c:v>
                </c:pt>
                <c:pt idx="43">
                  <c:v>1.6939074829931677E-2</c:v>
                </c:pt>
                <c:pt idx="44">
                  <c:v>3.2034108843537745E-2</c:v>
                </c:pt>
                <c:pt idx="45">
                  <c:v>8.2071666666666598E-2</c:v>
                </c:pt>
                <c:pt idx="46">
                  <c:v>5.6731884353741657E-2</c:v>
                </c:pt>
                <c:pt idx="47">
                  <c:v>2.8596330612244758E-2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B5D-47F3-8FBD-12908E5CE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"/>
          <c:min val="-5.5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Net grid exchange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BES_TR3_one195_C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SOC_pct!$C$2:$C$49</c:f>
              <c:numCache>
                <c:formatCode>0.0</c:formatCode>
                <c:ptCount val="48"/>
                <c:pt idx="0">
                  <c:v>40</c:v>
                </c:pt>
                <c:pt idx="1">
                  <c:v>37.620100000000001</c:v>
                </c:pt>
                <c:pt idx="2">
                  <c:v>34.343299999999999</c:v>
                </c:pt>
                <c:pt idx="3">
                  <c:v>33.3504</c:v>
                </c:pt>
                <c:pt idx="4">
                  <c:v>30.0944</c:v>
                </c:pt>
                <c:pt idx="5">
                  <c:v>27.9588</c:v>
                </c:pt>
                <c:pt idx="6">
                  <c:v>26.0227</c:v>
                </c:pt>
                <c:pt idx="7">
                  <c:v>23.458500000000001</c:v>
                </c:pt>
                <c:pt idx="8">
                  <c:v>21.2197</c:v>
                </c:pt>
                <c:pt idx="9">
                  <c:v>20.055700000000002</c:v>
                </c:pt>
                <c:pt idx="10">
                  <c:v>21.386800000000001</c:v>
                </c:pt>
                <c:pt idx="11">
                  <c:v>23.379899999999999</c:v>
                </c:pt>
                <c:pt idx="12">
                  <c:v>30.524999999999999</c:v>
                </c:pt>
                <c:pt idx="13">
                  <c:v>39.924900000000001</c:v>
                </c:pt>
                <c:pt idx="14">
                  <c:v>53.278199999999998</c:v>
                </c:pt>
                <c:pt idx="15">
                  <c:v>70.7637</c:v>
                </c:pt>
                <c:pt idx="16">
                  <c:v>90.215699999999998</c:v>
                </c:pt>
                <c:pt idx="17">
                  <c:v>74.602500000000006</c:v>
                </c:pt>
                <c:pt idx="18">
                  <c:v>89.682099999999991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92.745800000000003</c:v>
                </c:pt>
                <c:pt idx="41">
                  <c:v>83.157700000000006</c:v>
                </c:pt>
                <c:pt idx="42">
                  <c:v>75.167000000000002</c:v>
                </c:pt>
                <c:pt idx="43">
                  <c:v>63.007199999999997</c:v>
                </c:pt>
                <c:pt idx="44">
                  <c:v>54.285400000000003</c:v>
                </c:pt>
                <c:pt idx="45">
                  <c:v>40.301499999999997</c:v>
                </c:pt>
                <c:pt idx="46">
                  <c:v>28.001200000000001</c:v>
                </c:pt>
                <c:pt idx="47">
                  <c:v>25.741299999999999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C-4341-BB9E-87E08A06D636}"/>
            </c:ext>
          </c:extLst>
        </c:ser>
        <c:ser>
          <c:idx val="1"/>
          <c:order val="1"/>
          <c:tx>
            <c:v>BES_TR3_one235_A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SOC_pct!$D$2:$D$49</c:f>
              <c:numCache>
                <c:formatCode>0.0</c:formatCode>
                <c:ptCount val="48"/>
                <c:pt idx="0">
                  <c:v>40</c:v>
                </c:pt>
                <c:pt idx="1">
                  <c:v>39.422800000000002</c:v>
                </c:pt>
                <c:pt idx="2">
                  <c:v>38.078200000000002</c:v>
                </c:pt>
                <c:pt idx="3">
                  <c:v>35.684399999999997</c:v>
                </c:pt>
                <c:pt idx="4">
                  <c:v>34.7744</c:v>
                </c:pt>
                <c:pt idx="5">
                  <c:v>32.278700000000001</c:v>
                </c:pt>
                <c:pt idx="6">
                  <c:v>31.701499999999999</c:v>
                </c:pt>
                <c:pt idx="7">
                  <c:v>28.651299999999999</c:v>
                </c:pt>
                <c:pt idx="8">
                  <c:v>27.673500000000001</c:v>
                </c:pt>
                <c:pt idx="9">
                  <c:v>27.2212</c:v>
                </c:pt>
                <c:pt idx="10">
                  <c:v>27.1449</c:v>
                </c:pt>
                <c:pt idx="11">
                  <c:v>31.586200000000002</c:v>
                </c:pt>
                <c:pt idx="12">
                  <c:v>37.069699999999997</c:v>
                </c:pt>
                <c:pt idx="13">
                  <c:v>48.385399999999997</c:v>
                </c:pt>
                <c:pt idx="14">
                  <c:v>62.451500000000003</c:v>
                </c:pt>
                <c:pt idx="15">
                  <c:v>78.871099999999998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79.333200000000005</c:v>
                </c:pt>
                <c:pt idx="36">
                  <c:v>68.217500000000001</c:v>
                </c:pt>
                <c:pt idx="37">
                  <c:v>76.653800000000004</c:v>
                </c:pt>
                <c:pt idx="38">
                  <c:v>82.236000000000004</c:v>
                </c:pt>
                <c:pt idx="39">
                  <c:v>84.99839999999999</c:v>
                </c:pt>
                <c:pt idx="40">
                  <c:v>83.705200000000005</c:v>
                </c:pt>
                <c:pt idx="41">
                  <c:v>80.889399999999995</c:v>
                </c:pt>
                <c:pt idx="42">
                  <c:v>75.858899999999991</c:v>
                </c:pt>
                <c:pt idx="43">
                  <c:v>69.218500000000006</c:v>
                </c:pt>
                <c:pt idx="44">
                  <c:v>64.996200000000002</c:v>
                </c:pt>
                <c:pt idx="45">
                  <c:v>60.977200000000003</c:v>
                </c:pt>
                <c:pt idx="46">
                  <c:v>52.616100000000003</c:v>
                </c:pt>
                <c:pt idx="47">
                  <c:v>52.038899999999998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2C-4341-BB9E-87E08A06D636}"/>
            </c:ext>
          </c:extLst>
        </c:ser>
        <c:ser>
          <c:idx val="2"/>
          <c:order val="2"/>
          <c:tx>
            <c:v>BES_TR3_one242_B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SOC_pct!$E$2:$E$49</c:f>
              <c:numCache>
                <c:formatCode>0.0</c:formatCode>
                <c:ptCount val="48"/>
                <c:pt idx="0">
                  <c:v>40</c:v>
                </c:pt>
                <c:pt idx="1">
                  <c:v>39.422800000000002</c:v>
                </c:pt>
                <c:pt idx="2">
                  <c:v>35.535299999999999</c:v>
                </c:pt>
                <c:pt idx="3">
                  <c:v>34.816599999999987</c:v>
                </c:pt>
                <c:pt idx="4">
                  <c:v>33.3384</c:v>
                </c:pt>
                <c:pt idx="5">
                  <c:v>31.313300000000002</c:v>
                </c:pt>
                <c:pt idx="6">
                  <c:v>30.523900000000001</c:v>
                </c:pt>
                <c:pt idx="7">
                  <c:v>27.5625</c:v>
                </c:pt>
                <c:pt idx="8">
                  <c:v>25.960899999999999</c:v>
                </c:pt>
                <c:pt idx="9">
                  <c:v>20.562100000000001</c:v>
                </c:pt>
                <c:pt idx="10">
                  <c:v>19.869</c:v>
                </c:pt>
                <c:pt idx="11">
                  <c:v>22.6724</c:v>
                </c:pt>
                <c:pt idx="12">
                  <c:v>27.934899999999999</c:v>
                </c:pt>
                <c:pt idx="13">
                  <c:v>38.130699999999997</c:v>
                </c:pt>
                <c:pt idx="14">
                  <c:v>52.945600000000013</c:v>
                </c:pt>
                <c:pt idx="15">
                  <c:v>69.407700000000006</c:v>
                </c:pt>
                <c:pt idx="16">
                  <c:v>91.189700000000002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96.823499999999996</c:v>
                </c:pt>
                <c:pt idx="41">
                  <c:v>91.525199999999998</c:v>
                </c:pt>
                <c:pt idx="42">
                  <c:v>85.0364</c:v>
                </c:pt>
                <c:pt idx="43">
                  <c:v>77.811700000000002</c:v>
                </c:pt>
                <c:pt idx="44">
                  <c:v>73.355599999999995</c:v>
                </c:pt>
                <c:pt idx="45">
                  <c:v>69.892399999999995</c:v>
                </c:pt>
                <c:pt idx="46">
                  <c:v>68.961600000000004</c:v>
                </c:pt>
                <c:pt idx="47">
                  <c:v>66.914100000000005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2C-4341-BB9E-87E08A06D636}"/>
            </c:ext>
          </c:extLst>
        </c:ser>
        <c:ser>
          <c:idx val="3"/>
          <c:order val="3"/>
          <c:tx>
            <c:v>BES_TR3_one252_C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SOC_pct!$F$2:$F$49</c:f>
              <c:numCache>
                <c:formatCode>0.0</c:formatCode>
                <c:ptCount val="48"/>
                <c:pt idx="0">
                  <c:v>40</c:v>
                </c:pt>
                <c:pt idx="1">
                  <c:v>35.2258</c:v>
                </c:pt>
                <c:pt idx="2">
                  <c:v>33.660699999999999</c:v>
                </c:pt>
                <c:pt idx="3">
                  <c:v>33.058399999999999</c:v>
                </c:pt>
                <c:pt idx="4">
                  <c:v>30.974799999999998</c:v>
                </c:pt>
                <c:pt idx="5">
                  <c:v>30.372499999999999</c:v>
                </c:pt>
                <c:pt idx="6">
                  <c:v>28.288900000000002</c:v>
                </c:pt>
                <c:pt idx="7">
                  <c:v>27.686599999999999</c:v>
                </c:pt>
                <c:pt idx="8">
                  <c:v>26.820399999999999</c:v>
                </c:pt>
                <c:pt idx="9">
                  <c:v>25.501200000000001</c:v>
                </c:pt>
                <c:pt idx="10">
                  <c:v>26.929099999999998</c:v>
                </c:pt>
                <c:pt idx="11">
                  <c:v>28.961600000000001</c:v>
                </c:pt>
                <c:pt idx="12">
                  <c:v>34.703400000000002</c:v>
                </c:pt>
                <c:pt idx="13">
                  <c:v>41.704599999999999</c:v>
                </c:pt>
                <c:pt idx="14">
                  <c:v>52.6633</c:v>
                </c:pt>
                <c:pt idx="15">
                  <c:v>48.516800000000003</c:v>
                </c:pt>
                <c:pt idx="16">
                  <c:v>64.434200000000004</c:v>
                </c:pt>
                <c:pt idx="17">
                  <c:v>82.072299999999998</c:v>
                </c:pt>
                <c:pt idx="18">
                  <c:v>96.697200000000009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75.300399999999996</c:v>
                </c:pt>
                <c:pt idx="38">
                  <c:v>52.726599999999998</c:v>
                </c:pt>
                <c:pt idx="39">
                  <c:v>54.104500000000002</c:v>
                </c:pt>
                <c:pt idx="40">
                  <c:v>54.336799999999997</c:v>
                </c:pt>
                <c:pt idx="41">
                  <c:v>53.920499999999997</c:v>
                </c:pt>
                <c:pt idx="42">
                  <c:v>50.992199999999997</c:v>
                </c:pt>
                <c:pt idx="43">
                  <c:v>49.400100000000002</c:v>
                </c:pt>
                <c:pt idx="44">
                  <c:v>44.3033</c:v>
                </c:pt>
                <c:pt idx="45">
                  <c:v>39.445500000000003</c:v>
                </c:pt>
                <c:pt idx="46">
                  <c:v>33.300899999999999</c:v>
                </c:pt>
                <c:pt idx="47">
                  <c:v>30.166699999999999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2C-4341-BB9E-87E08A06D636}"/>
            </c:ext>
          </c:extLst>
        </c:ser>
        <c:ser>
          <c:idx val="4"/>
          <c:order val="4"/>
          <c:tx>
            <c:v>BES_TR3_one260_C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SOC_pct!$G$2:$G$49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36.7682</c:v>
                </c:pt>
                <c:pt idx="3">
                  <c:v>36.165799999999997</c:v>
                </c:pt>
                <c:pt idx="4">
                  <c:v>35.563499999999998</c:v>
                </c:pt>
                <c:pt idx="5">
                  <c:v>34.661999999999999</c:v>
                </c:pt>
                <c:pt idx="6">
                  <c:v>32.863</c:v>
                </c:pt>
                <c:pt idx="7">
                  <c:v>32.2607</c:v>
                </c:pt>
                <c:pt idx="8">
                  <c:v>31.701499999999999</c:v>
                </c:pt>
                <c:pt idx="9">
                  <c:v>31.7211</c:v>
                </c:pt>
                <c:pt idx="10">
                  <c:v>32.459299999999999</c:v>
                </c:pt>
                <c:pt idx="11">
                  <c:v>37.127600000000001</c:v>
                </c:pt>
                <c:pt idx="12">
                  <c:v>44.223599999999998</c:v>
                </c:pt>
                <c:pt idx="13">
                  <c:v>54.910899999999998</c:v>
                </c:pt>
                <c:pt idx="14">
                  <c:v>69.703199999999995</c:v>
                </c:pt>
                <c:pt idx="15">
                  <c:v>87.438000000000002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97.523300000000006</c:v>
                </c:pt>
                <c:pt idx="40">
                  <c:v>95.133900000000011</c:v>
                </c:pt>
                <c:pt idx="41">
                  <c:v>92.888499999999993</c:v>
                </c:pt>
                <c:pt idx="42">
                  <c:v>81.06750000000001</c:v>
                </c:pt>
                <c:pt idx="43">
                  <c:v>66.8613</c:v>
                </c:pt>
                <c:pt idx="44">
                  <c:v>60.837300000000013</c:v>
                </c:pt>
                <c:pt idx="45">
                  <c:v>54.999499999999998</c:v>
                </c:pt>
                <c:pt idx="46">
                  <c:v>50.613699999999987</c:v>
                </c:pt>
                <c:pt idx="47">
                  <c:v>50.011399999999988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2C-4341-BB9E-87E08A06D636}"/>
            </c:ext>
          </c:extLst>
        </c:ser>
        <c:ser>
          <c:idx val="5"/>
          <c:order val="5"/>
          <c:tx>
            <c:v>BES_TR3_one299_B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SOC_pct!$H$2:$H$49</c:f>
              <c:numCache>
                <c:formatCode>0.0</c:formatCode>
                <c:ptCount val="48"/>
                <c:pt idx="0">
                  <c:v>40</c:v>
                </c:pt>
                <c:pt idx="1">
                  <c:v>38.700299999999999</c:v>
                </c:pt>
                <c:pt idx="2">
                  <c:v>36.559199999999997</c:v>
                </c:pt>
                <c:pt idx="3">
                  <c:v>35.334700000000012</c:v>
                </c:pt>
                <c:pt idx="4">
                  <c:v>34.599200000000003</c:v>
                </c:pt>
                <c:pt idx="5">
                  <c:v>31.334599999999998</c:v>
                </c:pt>
                <c:pt idx="6">
                  <c:v>30.669499999999999</c:v>
                </c:pt>
                <c:pt idx="7">
                  <c:v>29.009899999999998</c:v>
                </c:pt>
                <c:pt idx="8">
                  <c:v>26.712499999999999</c:v>
                </c:pt>
                <c:pt idx="9">
                  <c:v>26.671500000000002</c:v>
                </c:pt>
                <c:pt idx="10">
                  <c:v>27.333500000000001</c:v>
                </c:pt>
                <c:pt idx="11">
                  <c:v>30.908300000000001</c:v>
                </c:pt>
                <c:pt idx="12">
                  <c:v>38.688299999999998</c:v>
                </c:pt>
                <c:pt idx="13">
                  <c:v>49.141800000000003</c:v>
                </c:pt>
                <c:pt idx="14">
                  <c:v>57.846400000000003</c:v>
                </c:pt>
                <c:pt idx="15">
                  <c:v>60.095599999999997</c:v>
                </c:pt>
                <c:pt idx="16">
                  <c:v>80.116900000000001</c:v>
                </c:pt>
                <c:pt idx="17">
                  <c:v>88.169299999999993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95.733400000000003</c:v>
                </c:pt>
                <c:pt idx="41">
                  <c:v>90.669899999999998</c:v>
                </c:pt>
                <c:pt idx="42">
                  <c:v>83.213099999999997</c:v>
                </c:pt>
                <c:pt idx="43">
                  <c:v>77.666200000000003</c:v>
                </c:pt>
                <c:pt idx="44">
                  <c:v>59.85</c:v>
                </c:pt>
                <c:pt idx="45">
                  <c:v>38.7776</c:v>
                </c:pt>
                <c:pt idx="46">
                  <c:v>33.629300000000001</c:v>
                </c:pt>
                <c:pt idx="47">
                  <c:v>30.6038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2C-4341-BB9E-87E08A06D636}"/>
            </c:ext>
          </c:extLst>
        </c:ser>
        <c:ser>
          <c:idx val="6"/>
          <c:order val="6"/>
          <c:tx>
            <c:v>BES_TR3_one313_A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SOC_pct!$I$2:$I$49</c:f>
              <c:numCache>
                <c:formatCode>0.0</c:formatCode>
                <c:ptCount val="48"/>
                <c:pt idx="0">
                  <c:v>40</c:v>
                </c:pt>
                <c:pt idx="1">
                  <c:v>35.736600000000003</c:v>
                </c:pt>
                <c:pt idx="2">
                  <c:v>35.0715</c:v>
                </c:pt>
                <c:pt idx="3">
                  <c:v>33.042099999999998</c:v>
                </c:pt>
                <c:pt idx="4">
                  <c:v>29.994399999999999</c:v>
                </c:pt>
                <c:pt idx="5">
                  <c:v>28.907299999999999</c:v>
                </c:pt>
                <c:pt idx="6">
                  <c:v>27.8202</c:v>
                </c:pt>
                <c:pt idx="7">
                  <c:v>25.371500000000001</c:v>
                </c:pt>
                <c:pt idx="8">
                  <c:v>23.444400000000002</c:v>
                </c:pt>
                <c:pt idx="9">
                  <c:v>21.690999999999999</c:v>
                </c:pt>
                <c:pt idx="10">
                  <c:v>22.6357</c:v>
                </c:pt>
                <c:pt idx="11">
                  <c:v>24.199400000000001</c:v>
                </c:pt>
                <c:pt idx="12">
                  <c:v>28.627600000000001</c:v>
                </c:pt>
                <c:pt idx="13">
                  <c:v>35.645500000000013</c:v>
                </c:pt>
                <c:pt idx="14">
                  <c:v>44.715000000000003</c:v>
                </c:pt>
                <c:pt idx="15">
                  <c:v>52.584699999999998</c:v>
                </c:pt>
                <c:pt idx="16">
                  <c:v>62.188200000000002</c:v>
                </c:pt>
                <c:pt idx="17">
                  <c:v>76.719499999999996</c:v>
                </c:pt>
                <c:pt idx="18">
                  <c:v>95.586500000000001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94.698599999999999</c:v>
                </c:pt>
                <c:pt idx="41">
                  <c:v>87.534199999999998</c:v>
                </c:pt>
                <c:pt idx="42">
                  <c:v>77.986000000000004</c:v>
                </c:pt>
                <c:pt idx="43">
                  <c:v>69.970699999999994</c:v>
                </c:pt>
                <c:pt idx="44">
                  <c:v>60.2376</c:v>
                </c:pt>
                <c:pt idx="45">
                  <c:v>52.247600000000013</c:v>
                </c:pt>
                <c:pt idx="46">
                  <c:v>43.747100000000003</c:v>
                </c:pt>
                <c:pt idx="47">
                  <c:v>35.379300000000001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2C-4341-BB9E-87E08A06D636}"/>
            </c:ext>
          </c:extLst>
        </c:ser>
        <c:ser>
          <c:idx val="7"/>
          <c:order val="7"/>
          <c:tx>
            <c:v>BES_TR3_one42_B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SOC_pct!$J$2:$J$49</c:f>
              <c:numCache>
                <c:formatCode>0.0</c:formatCode>
                <c:ptCount val="48"/>
                <c:pt idx="0">
                  <c:v>40</c:v>
                </c:pt>
                <c:pt idx="1">
                  <c:v>39.585900000000002</c:v>
                </c:pt>
                <c:pt idx="2">
                  <c:v>39.171799999999998</c:v>
                </c:pt>
                <c:pt idx="3">
                  <c:v>38.7577</c:v>
                </c:pt>
                <c:pt idx="4">
                  <c:v>37.892600000000002</c:v>
                </c:pt>
                <c:pt idx="5">
                  <c:v>37.0276</c:v>
                </c:pt>
                <c:pt idx="6">
                  <c:v>36.613500000000002</c:v>
                </c:pt>
                <c:pt idx="7">
                  <c:v>36.199399999999997</c:v>
                </c:pt>
                <c:pt idx="8">
                  <c:v>35.823099999999997</c:v>
                </c:pt>
                <c:pt idx="9">
                  <c:v>35.153300000000002</c:v>
                </c:pt>
                <c:pt idx="10">
                  <c:v>36.988799999999998</c:v>
                </c:pt>
                <c:pt idx="11">
                  <c:v>40.859499999999997</c:v>
                </c:pt>
                <c:pt idx="12">
                  <c:v>47.322000000000003</c:v>
                </c:pt>
                <c:pt idx="13">
                  <c:v>56.764000000000003</c:v>
                </c:pt>
                <c:pt idx="14">
                  <c:v>69.538299999999992</c:v>
                </c:pt>
                <c:pt idx="15">
                  <c:v>85.629100000000008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98.140500000000003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99.437399999999997</c:v>
                </c:pt>
                <c:pt idx="42">
                  <c:v>98.171499999999995</c:v>
                </c:pt>
                <c:pt idx="43">
                  <c:v>97.757400000000004</c:v>
                </c:pt>
                <c:pt idx="44">
                  <c:v>97.243099999999998</c:v>
                </c:pt>
                <c:pt idx="45">
                  <c:v>96.027300000000011</c:v>
                </c:pt>
                <c:pt idx="46">
                  <c:v>95.613099999999989</c:v>
                </c:pt>
                <c:pt idx="47">
                  <c:v>94.2971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2C-4341-BB9E-87E08A06D636}"/>
            </c:ext>
          </c:extLst>
        </c:ser>
        <c:ser>
          <c:idx val="8"/>
          <c:order val="8"/>
          <c:tx>
            <c:v>BES_TR3_one320_B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SOC_pct!$K$2:$K$49</c:f>
              <c:numCache>
                <c:formatCode>0.0</c:formatCode>
                <c:ptCount val="48"/>
                <c:pt idx="0">
                  <c:v>40</c:v>
                </c:pt>
                <c:pt idx="1">
                  <c:v>39.422800000000002</c:v>
                </c:pt>
                <c:pt idx="2">
                  <c:v>36.920499999999997</c:v>
                </c:pt>
                <c:pt idx="3">
                  <c:v>36.343299999999999</c:v>
                </c:pt>
                <c:pt idx="4">
                  <c:v>34.366</c:v>
                </c:pt>
                <c:pt idx="5">
                  <c:v>33.263800000000003</c:v>
                </c:pt>
                <c:pt idx="6">
                  <c:v>32.686599999999999</c:v>
                </c:pt>
                <c:pt idx="7">
                  <c:v>30.1843</c:v>
                </c:pt>
                <c:pt idx="8">
                  <c:v>29.650300000000001</c:v>
                </c:pt>
                <c:pt idx="9">
                  <c:v>28.5596</c:v>
                </c:pt>
                <c:pt idx="10">
                  <c:v>29.957999999999998</c:v>
                </c:pt>
                <c:pt idx="11">
                  <c:v>34.648899999999998</c:v>
                </c:pt>
                <c:pt idx="12">
                  <c:v>42.508000000000003</c:v>
                </c:pt>
                <c:pt idx="13">
                  <c:v>52.091099999999997</c:v>
                </c:pt>
                <c:pt idx="14">
                  <c:v>66.906000000000006</c:v>
                </c:pt>
                <c:pt idx="15">
                  <c:v>84.149000000000001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97.726100000000002</c:v>
                </c:pt>
                <c:pt idx="41">
                  <c:v>96.214500000000001</c:v>
                </c:pt>
                <c:pt idx="42">
                  <c:v>93.398300000000006</c:v>
                </c:pt>
                <c:pt idx="43">
                  <c:v>88.703299999999999</c:v>
                </c:pt>
                <c:pt idx="44">
                  <c:v>85.462199999999996</c:v>
                </c:pt>
                <c:pt idx="45">
                  <c:v>80.71390000000001</c:v>
                </c:pt>
                <c:pt idx="46">
                  <c:v>78.069800000000001</c:v>
                </c:pt>
                <c:pt idx="47">
                  <c:v>62.455000000000013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2C-4341-BB9E-87E08A06D636}"/>
            </c:ext>
          </c:extLst>
        </c:ser>
        <c:ser>
          <c:idx val="9"/>
          <c:order val="9"/>
          <c:tx>
            <c:v>BES_TR3_one346_C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SOC_pct!$L$2:$L$49</c:f>
              <c:numCache>
                <c:formatCode>0.0</c:formatCode>
                <c:ptCount val="48"/>
                <c:pt idx="0">
                  <c:v>40</c:v>
                </c:pt>
                <c:pt idx="1">
                  <c:v>38.775500000000001</c:v>
                </c:pt>
                <c:pt idx="2">
                  <c:v>37.794499999999999</c:v>
                </c:pt>
                <c:pt idx="3">
                  <c:v>36.618699999999997</c:v>
                </c:pt>
                <c:pt idx="4">
                  <c:v>35.978700000000003</c:v>
                </c:pt>
                <c:pt idx="5">
                  <c:v>35.338700000000003</c:v>
                </c:pt>
                <c:pt idx="6">
                  <c:v>34.698799999999999</c:v>
                </c:pt>
                <c:pt idx="7">
                  <c:v>33.181899999999999</c:v>
                </c:pt>
                <c:pt idx="8">
                  <c:v>32.585099999999997</c:v>
                </c:pt>
                <c:pt idx="9">
                  <c:v>32.569299999999998</c:v>
                </c:pt>
                <c:pt idx="10">
                  <c:v>34.619999999999997</c:v>
                </c:pt>
                <c:pt idx="11">
                  <c:v>38.772099999999988</c:v>
                </c:pt>
                <c:pt idx="12">
                  <c:v>46.267800000000001</c:v>
                </c:pt>
                <c:pt idx="13">
                  <c:v>57.526999999999987</c:v>
                </c:pt>
                <c:pt idx="14">
                  <c:v>71.496200000000002</c:v>
                </c:pt>
                <c:pt idx="15">
                  <c:v>89.735699999999994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94.222700000000003</c:v>
                </c:pt>
                <c:pt idx="41">
                  <c:v>89.00630000000001</c:v>
                </c:pt>
                <c:pt idx="42">
                  <c:v>80.408100000000005</c:v>
                </c:pt>
                <c:pt idx="43">
                  <c:v>71.599199999999996</c:v>
                </c:pt>
                <c:pt idx="44">
                  <c:v>63.814999999999998</c:v>
                </c:pt>
                <c:pt idx="45">
                  <c:v>54.468000000000004</c:v>
                </c:pt>
                <c:pt idx="46">
                  <c:v>48.581499999999998</c:v>
                </c:pt>
                <c:pt idx="47">
                  <c:v>41.468500000000013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42C-4341-BB9E-87E08A06D636}"/>
            </c:ext>
          </c:extLst>
        </c:ser>
        <c:ser>
          <c:idx val="10"/>
          <c:order val="10"/>
          <c:tx>
            <c:v>BES_TR3_one363_C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SOC_pct!$M$2:$M$49</c:f>
              <c:numCache>
                <c:formatCode>0.0</c:formatCode>
                <c:ptCount val="48"/>
                <c:pt idx="0">
                  <c:v>40</c:v>
                </c:pt>
                <c:pt idx="1">
                  <c:v>39.322400000000002</c:v>
                </c:pt>
                <c:pt idx="2">
                  <c:v>37.165300000000002</c:v>
                </c:pt>
                <c:pt idx="3">
                  <c:v>36.178600000000003</c:v>
                </c:pt>
                <c:pt idx="4">
                  <c:v>35.1477</c:v>
                </c:pt>
                <c:pt idx="5">
                  <c:v>34.028500000000001</c:v>
                </c:pt>
                <c:pt idx="6">
                  <c:v>33.350900000000003</c:v>
                </c:pt>
                <c:pt idx="7">
                  <c:v>32.673299999999998</c:v>
                </c:pt>
                <c:pt idx="8">
                  <c:v>31.2224</c:v>
                </c:pt>
                <c:pt idx="9">
                  <c:v>30.8568</c:v>
                </c:pt>
                <c:pt idx="10">
                  <c:v>31.560300000000002</c:v>
                </c:pt>
                <c:pt idx="11">
                  <c:v>32.840299999999999</c:v>
                </c:pt>
                <c:pt idx="12">
                  <c:v>36.419699999999999</c:v>
                </c:pt>
                <c:pt idx="13">
                  <c:v>41.369699999999987</c:v>
                </c:pt>
                <c:pt idx="14">
                  <c:v>48.069299999999998</c:v>
                </c:pt>
                <c:pt idx="15">
                  <c:v>56.867199999999997</c:v>
                </c:pt>
                <c:pt idx="16">
                  <c:v>66.692700000000002</c:v>
                </c:pt>
                <c:pt idx="17">
                  <c:v>76.025700000000001</c:v>
                </c:pt>
                <c:pt idx="18">
                  <c:v>86.930099999999996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75.710499999999996</c:v>
                </c:pt>
                <c:pt idx="35">
                  <c:v>79.500500000000002</c:v>
                </c:pt>
                <c:pt idx="36">
                  <c:v>84.121600000000001</c:v>
                </c:pt>
                <c:pt idx="37">
                  <c:v>86.257099999999994</c:v>
                </c:pt>
                <c:pt idx="38">
                  <c:v>86.672800000000009</c:v>
                </c:pt>
                <c:pt idx="39">
                  <c:v>83.365399999999994</c:v>
                </c:pt>
                <c:pt idx="40">
                  <c:v>78.851600000000005</c:v>
                </c:pt>
                <c:pt idx="41">
                  <c:v>73.057000000000002</c:v>
                </c:pt>
                <c:pt idx="42">
                  <c:v>61.644100000000002</c:v>
                </c:pt>
                <c:pt idx="43">
                  <c:v>46.544600000000003</c:v>
                </c:pt>
                <c:pt idx="44">
                  <c:v>41.115400000000001</c:v>
                </c:pt>
                <c:pt idx="45">
                  <c:v>35.573099999999997</c:v>
                </c:pt>
                <c:pt idx="46">
                  <c:v>31.210699999999999</c:v>
                </c:pt>
                <c:pt idx="47">
                  <c:v>30.1798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2C-4341-BB9E-87E08A06D636}"/>
            </c:ext>
          </c:extLst>
        </c:ser>
        <c:ser>
          <c:idx val="11"/>
          <c:order val="11"/>
          <c:tx>
            <c:v>BES_TR3_one366_B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SOC_pct!$N$2:$N$49</c:f>
              <c:numCache>
                <c:formatCode>0.0</c:formatCode>
                <c:ptCount val="48"/>
                <c:pt idx="0">
                  <c:v>40</c:v>
                </c:pt>
                <c:pt idx="1">
                  <c:v>32.478499999999997</c:v>
                </c:pt>
                <c:pt idx="2">
                  <c:v>25.6494</c:v>
                </c:pt>
                <c:pt idx="3">
                  <c:v>18.779</c:v>
                </c:pt>
                <c:pt idx="4">
                  <c:v>10.5436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11.8788</c:v>
                </c:pt>
                <c:pt idx="12">
                  <c:v>15.414400000000001</c:v>
                </c:pt>
                <c:pt idx="13">
                  <c:v>19.369399999999999</c:v>
                </c:pt>
                <c:pt idx="14">
                  <c:v>25.932700000000001</c:v>
                </c:pt>
                <c:pt idx="15">
                  <c:v>32.853200000000001</c:v>
                </c:pt>
                <c:pt idx="16">
                  <c:v>42.9542</c:v>
                </c:pt>
                <c:pt idx="17">
                  <c:v>53.9268</c:v>
                </c:pt>
                <c:pt idx="18">
                  <c:v>67.015899999999988</c:v>
                </c:pt>
                <c:pt idx="19">
                  <c:v>81.714399999999998</c:v>
                </c:pt>
                <c:pt idx="20">
                  <c:v>94.796899999999994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99.865000000000009</c:v>
                </c:pt>
                <c:pt idx="40">
                  <c:v>84.5852</c:v>
                </c:pt>
                <c:pt idx="41">
                  <c:v>80.642200000000003</c:v>
                </c:pt>
                <c:pt idx="42">
                  <c:v>74.961500000000001</c:v>
                </c:pt>
                <c:pt idx="43">
                  <c:v>68.040999999999997</c:v>
                </c:pt>
                <c:pt idx="44">
                  <c:v>61.147799999999997</c:v>
                </c:pt>
                <c:pt idx="45">
                  <c:v>56.570099999999996</c:v>
                </c:pt>
                <c:pt idx="46">
                  <c:v>52.045400000000001</c:v>
                </c:pt>
                <c:pt idx="47">
                  <c:v>50.758699999999997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42C-4341-BB9E-87E08A06D636}"/>
            </c:ext>
          </c:extLst>
        </c:ser>
        <c:ser>
          <c:idx val="12"/>
          <c:order val="12"/>
          <c:tx>
            <c:v>BES_TR3_one371_C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SOC_pct!$O$2:$O$49</c:f>
              <c:numCache>
                <c:formatCode>0.0</c:formatCode>
                <c:ptCount val="48"/>
                <c:pt idx="0">
                  <c:v>40</c:v>
                </c:pt>
                <c:pt idx="1">
                  <c:v>39.098300000000002</c:v>
                </c:pt>
                <c:pt idx="2">
                  <c:v>38.571199999999997</c:v>
                </c:pt>
                <c:pt idx="3">
                  <c:v>38.044199999999996</c:v>
                </c:pt>
                <c:pt idx="4">
                  <c:v>35.456400000000002</c:v>
                </c:pt>
                <c:pt idx="5">
                  <c:v>34.929400000000001</c:v>
                </c:pt>
                <c:pt idx="6">
                  <c:v>33.840299999999999</c:v>
                </c:pt>
                <c:pt idx="7">
                  <c:v>31.814599999999999</c:v>
                </c:pt>
                <c:pt idx="8">
                  <c:v>31.3307</c:v>
                </c:pt>
                <c:pt idx="9">
                  <c:v>31.418099999999999</c:v>
                </c:pt>
                <c:pt idx="10">
                  <c:v>31.715699999999998</c:v>
                </c:pt>
                <c:pt idx="11">
                  <c:v>36.451700000000002</c:v>
                </c:pt>
                <c:pt idx="12">
                  <c:v>43.934399999999997</c:v>
                </c:pt>
                <c:pt idx="13">
                  <c:v>53.862099999999998</c:v>
                </c:pt>
                <c:pt idx="14">
                  <c:v>68.722099999999998</c:v>
                </c:pt>
                <c:pt idx="15">
                  <c:v>87.063199999999995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90.094700000000003</c:v>
                </c:pt>
                <c:pt idx="28">
                  <c:v>97.7988</c:v>
                </c:pt>
                <c:pt idx="29">
                  <c:v>100</c:v>
                </c:pt>
                <c:pt idx="30">
                  <c:v>100</c:v>
                </c:pt>
                <c:pt idx="31">
                  <c:v>84.570800000000006</c:v>
                </c:pt>
                <c:pt idx="32">
                  <c:v>79.786500000000004</c:v>
                </c:pt>
                <c:pt idx="33">
                  <c:v>98.023600000000002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96.455500000000001</c:v>
                </c:pt>
                <c:pt idx="41">
                  <c:v>92.096100000000007</c:v>
                </c:pt>
                <c:pt idx="42">
                  <c:v>87.542000000000002</c:v>
                </c:pt>
                <c:pt idx="43">
                  <c:v>85.515100000000004</c:v>
                </c:pt>
                <c:pt idx="44">
                  <c:v>80.450800000000001</c:v>
                </c:pt>
                <c:pt idx="45">
                  <c:v>75.819499999999991</c:v>
                </c:pt>
                <c:pt idx="46">
                  <c:v>72.039900000000003</c:v>
                </c:pt>
                <c:pt idx="47">
                  <c:v>66.291899999999998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2C-4341-BB9E-87E08A06D636}"/>
            </c:ext>
          </c:extLst>
        </c:ser>
        <c:ser>
          <c:idx val="13"/>
          <c:order val="13"/>
          <c:tx>
            <c:v>BES_TR3_one375_C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SOC_pct!$P$2:$P$49</c:f>
              <c:numCache>
                <c:formatCode>0.0</c:formatCode>
                <c:ptCount val="48"/>
                <c:pt idx="0">
                  <c:v>40</c:v>
                </c:pt>
                <c:pt idx="1">
                  <c:v>38.187600000000003</c:v>
                </c:pt>
                <c:pt idx="2">
                  <c:v>35.303400000000003</c:v>
                </c:pt>
                <c:pt idx="3">
                  <c:v>33.2821</c:v>
                </c:pt>
                <c:pt idx="4">
                  <c:v>31.362300000000001</c:v>
                </c:pt>
                <c:pt idx="5">
                  <c:v>30.153400000000001</c:v>
                </c:pt>
                <c:pt idx="6">
                  <c:v>26.3431</c:v>
                </c:pt>
                <c:pt idx="7">
                  <c:v>25.163699999999999</c:v>
                </c:pt>
                <c:pt idx="8">
                  <c:v>22.910499999999999</c:v>
                </c:pt>
                <c:pt idx="9">
                  <c:v>21.142800000000001</c:v>
                </c:pt>
                <c:pt idx="10">
                  <c:v>20.9589</c:v>
                </c:pt>
                <c:pt idx="11">
                  <c:v>24.089400000000001</c:v>
                </c:pt>
                <c:pt idx="12">
                  <c:v>30.284099999999999</c:v>
                </c:pt>
                <c:pt idx="13">
                  <c:v>40.4084</c:v>
                </c:pt>
                <c:pt idx="14">
                  <c:v>53.341200000000001</c:v>
                </c:pt>
                <c:pt idx="15">
                  <c:v>68.707899999999995</c:v>
                </c:pt>
                <c:pt idx="16">
                  <c:v>88.363900000000001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95.910499999999999</c:v>
                </c:pt>
                <c:pt idx="41">
                  <c:v>89.519599999999997</c:v>
                </c:pt>
                <c:pt idx="42">
                  <c:v>84.237300000000005</c:v>
                </c:pt>
                <c:pt idx="43">
                  <c:v>78.545400000000001</c:v>
                </c:pt>
                <c:pt idx="44">
                  <c:v>73.287500000000009</c:v>
                </c:pt>
                <c:pt idx="45">
                  <c:v>67.789900000000003</c:v>
                </c:pt>
                <c:pt idx="46">
                  <c:v>64.334299999999999</c:v>
                </c:pt>
                <c:pt idx="47">
                  <c:v>61.808300000000003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42C-4341-BB9E-87E08A06D636}"/>
            </c:ext>
          </c:extLst>
        </c:ser>
        <c:ser>
          <c:idx val="14"/>
          <c:order val="14"/>
          <c:tx>
            <c:v>BES_TR3_one410_B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SOC_pct!$Q$2:$Q$49</c:f>
              <c:numCache>
                <c:formatCode>0.0</c:formatCode>
                <c:ptCount val="48"/>
                <c:pt idx="0">
                  <c:v>40</c:v>
                </c:pt>
                <c:pt idx="1">
                  <c:v>37.928899999999999</c:v>
                </c:pt>
                <c:pt idx="2">
                  <c:v>37.339099999999988</c:v>
                </c:pt>
                <c:pt idx="3">
                  <c:v>34.570300000000003</c:v>
                </c:pt>
                <c:pt idx="4">
                  <c:v>33.045200000000001</c:v>
                </c:pt>
                <c:pt idx="5">
                  <c:v>32.0105</c:v>
                </c:pt>
                <c:pt idx="6">
                  <c:v>30.8645</c:v>
                </c:pt>
                <c:pt idx="7">
                  <c:v>28.4496</c:v>
                </c:pt>
                <c:pt idx="8">
                  <c:v>27.426400000000001</c:v>
                </c:pt>
                <c:pt idx="9">
                  <c:v>25.161799999999999</c:v>
                </c:pt>
                <c:pt idx="10">
                  <c:v>25.070599999999999</c:v>
                </c:pt>
                <c:pt idx="11">
                  <c:v>26.244</c:v>
                </c:pt>
                <c:pt idx="12">
                  <c:v>27.950399999999998</c:v>
                </c:pt>
                <c:pt idx="13">
                  <c:v>32.486199999999997</c:v>
                </c:pt>
                <c:pt idx="14">
                  <c:v>39.017400000000002</c:v>
                </c:pt>
                <c:pt idx="15">
                  <c:v>45.056199999999997</c:v>
                </c:pt>
                <c:pt idx="16">
                  <c:v>54.134899999999988</c:v>
                </c:pt>
                <c:pt idx="17">
                  <c:v>57.3489</c:v>
                </c:pt>
                <c:pt idx="18">
                  <c:v>70.115099999999998</c:v>
                </c:pt>
                <c:pt idx="19">
                  <c:v>84.317499999999995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98.940100000000001</c:v>
                </c:pt>
                <c:pt idx="41">
                  <c:v>97.689300000000003</c:v>
                </c:pt>
                <c:pt idx="42">
                  <c:v>93.053899999999999</c:v>
                </c:pt>
                <c:pt idx="43">
                  <c:v>90.384399999999999</c:v>
                </c:pt>
                <c:pt idx="44">
                  <c:v>85.753299999999996</c:v>
                </c:pt>
                <c:pt idx="45">
                  <c:v>85.010400000000004</c:v>
                </c:pt>
                <c:pt idx="46">
                  <c:v>82.73</c:v>
                </c:pt>
                <c:pt idx="47">
                  <c:v>63.427300000000002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2C-4341-BB9E-87E08A06D636}"/>
            </c:ext>
          </c:extLst>
        </c:ser>
        <c:ser>
          <c:idx val="15"/>
          <c:order val="15"/>
          <c:tx>
            <c:v>BES_TR3_one50_A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SOC_pct!$R$2:$R$49</c:f>
              <c:numCache>
                <c:formatCode>0.0</c:formatCode>
                <c:ptCount val="48"/>
                <c:pt idx="0">
                  <c:v>40</c:v>
                </c:pt>
                <c:pt idx="1">
                  <c:v>37.987200000000001</c:v>
                </c:pt>
                <c:pt idx="2">
                  <c:v>37.2971</c:v>
                </c:pt>
                <c:pt idx="3">
                  <c:v>36.606900000000003</c:v>
                </c:pt>
                <c:pt idx="4">
                  <c:v>35.204500000000003</c:v>
                </c:pt>
                <c:pt idx="5">
                  <c:v>32.988300000000002</c:v>
                </c:pt>
                <c:pt idx="6">
                  <c:v>32.298100000000012</c:v>
                </c:pt>
                <c:pt idx="7">
                  <c:v>29.369700000000002</c:v>
                </c:pt>
                <c:pt idx="8">
                  <c:v>28.706499999999998</c:v>
                </c:pt>
                <c:pt idx="9">
                  <c:v>20.860399999999998</c:v>
                </c:pt>
                <c:pt idx="10">
                  <c:v>11.2059</c:v>
                </c:pt>
                <c:pt idx="11">
                  <c:v>10</c:v>
                </c:pt>
                <c:pt idx="12">
                  <c:v>14.615399999999999</c:v>
                </c:pt>
                <c:pt idx="13">
                  <c:v>19.926200000000001</c:v>
                </c:pt>
                <c:pt idx="14">
                  <c:v>26.853200000000001</c:v>
                </c:pt>
                <c:pt idx="15">
                  <c:v>37.991700000000002</c:v>
                </c:pt>
                <c:pt idx="16">
                  <c:v>49.294499999999999</c:v>
                </c:pt>
                <c:pt idx="17">
                  <c:v>64.656700000000001</c:v>
                </c:pt>
                <c:pt idx="18">
                  <c:v>81.391800000000003</c:v>
                </c:pt>
                <c:pt idx="19">
                  <c:v>95.164699999999996</c:v>
                </c:pt>
                <c:pt idx="20">
                  <c:v>99.314000000000007</c:v>
                </c:pt>
                <c:pt idx="21">
                  <c:v>100</c:v>
                </c:pt>
                <c:pt idx="22">
                  <c:v>98.280199999999994</c:v>
                </c:pt>
                <c:pt idx="23">
                  <c:v>92.722200000000001</c:v>
                </c:pt>
                <c:pt idx="24">
                  <c:v>94.572100000000006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98.192800000000005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99.793300000000002</c:v>
                </c:pt>
                <c:pt idx="39">
                  <c:v>94.535600000000002</c:v>
                </c:pt>
                <c:pt idx="40">
                  <c:v>84.551299999999998</c:v>
                </c:pt>
                <c:pt idx="41">
                  <c:v>73.076300000000003</c:v>
                </c:pt>
                <c:pt idx="42">
                  <c:v>42.756100000000004</c:v>
                </c:pt>
                <c:pt idx="43">
                  <c:v>14.247199999999999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2C-4341-BB9E-87E08A06D636}"/>
            </c:ext>
          </c:extLst>
        </c:ser>
        <c:ser>
          <c:idx val="16"/>
          <c:order val="16"/>
          <c:tx>
            <c:v>BES_TR3_one423_B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SOC_pct!$S$2:$S$49</c:f>
              <c:numCache>
                <c:formatCode>0.0</c:formatCode>
                <c:ptCount val="48"/>
                <c:pt idx="0">
                  <c:v>40</c:v>
                </c:pt>
                <c:pt idx="1">
                  <c:v>38.350900000000003</c:v>
                </c:pt>
                <c:pt idx="2">
                  <c:v>37.660700000000013</c:v>
                </c:pt>
                <c:pt idx="3">
                  <c:v>36.570999999999998</c:v>
                </c:pt>
                <c:pt idx="4">
                  <c:v>34.522300000000001</c:v>
                </c:pt>
                <c:pt idx="5">
                  <c:v>33.832099999999997</c:v>
                </c:pt>
                <c:pt idx="6">
                  <c:v>33.142000000000003</c:v>
                </c:pt>
                <c:pt idx="7">
                  <c:v>30.6937</c:v>
                </c:pt>
                <c:pt idx="8">
                  <c:v>30.0413</c:v>
                </c:pt>
                <c:pt idx="9">
                  <c:v>29.098099999999999</c:v>
                </c:pt>
                <c:pt idx="10">
                  <c:v>29.912199999999999</c:v>
                </c:pt>
                <c:pt idx="11">
                  <c:v>33.706299999999999</c:v>
                </c:pt>
                <c:pt idx="12">
                  <c:v>38.977899999999998</c:v>
                </c:pt>
                <c:pt idx="13">
                  <c:v>48.712499999999999</c:v>
                </c:pt>
                <c:pt idx="14">
                  <c:v>59.425700000000013</c:v>
                </c:pt>
                <c:pt idx="15">
                  <c:v>53.593699999999998</c:v>
                </c:pt>
                <c:pt idx="16">
                  <c:v>62.091200000000001</c:v>
                </c:pt>
                <c:pt idx="17">
                  <c:v>69.523099999999999</c:v>
                </c:pt>
                <c:pt idx="18">
                  <c:v>73.716899999999995</c:v>
                </c:pt>
                <c:pt idx="19">
                  <c:v>86.441800000000001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98.394099999999995</c:v>
                </c:pt>
                <c:pt idx="41">
                  <c:v>94.249099999999999</c:v>
                </c:pt>
                <c:pt idx="42">
                  <c:v>87.62299999999999</c:v>
                </c:pt>
                <c:pt idx="43">
                  <c:v>83.023099999999999</c:v>
                </c:pt>
                <c:pt idx="44">
                  <c:v>78.036699999999996</c:v>
                </c:pt>
                <c:pt idx="45">
                  <c:v>65.065200000000004</c:v>
                </c:pt>
                <c:pt idx="46">
                  <c:v>61.234699999999997</c:v>
                </c:pt>
                <c:pt idx="47">
                  <c:v>54.8874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42C-4341-BB9E-87E08A06D636}"/>
            </c:ext>
          </c:extLst>
        </c:ser>
        <c:ser>
          <c:idx val="17"/>
          <c:order val="17"/>
          <c:tx>
            <c:v>BES_TR3_one446_B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SOC_pct!$T$2:$T$49</c:f>
              <c:numCache>
                <c:formatCode>0.0</c:formatCode>
                <c:ptCount val="48"/>
                <c:pt idx="0">
                  <c:v>40</c:v>
                </c:pt>
                <c:pt idx="1">
                  <c:v>38.136399999999988</c:v>
                </c:pt>
                <c:pt idx="2">
                  <c:v>35.997999999999998</c:v>
                </c:pt>
                <c:pt idx="3">
                  <c:v>33.2316</c:v>
                </c:pt>
                <c:pt idx="4">
                  <c:v>31.0124</c:v>
                </c:pt>
                <c:pt idx="5">
                  <c:v>30.41</c:v>
                </c:pt>
                <c:pt idx="6">
                  <c:v>27.643599999999999</c:v>
                </c:pt>
                <c:pt idx="7">
                  <c:v>25.424399999999999</c:v>
                </c:pt>
                <c:pt idx="8">
                  <c:v>23.783200000000001</c:v>
                </c:pt>
                <c:pt idx="9">
                  <c:v>21.267700000000001</c:v>
                </c:pt>
                <c:pt idx="10">
                  <c:v>23.206700000000001</c:v>
                </c:pt>
                <c:pt idx="11">
                  <c:v>25.927299999999999</c:v>
                </c:pt>
                <c:pt idx="12">
                  <c:v>33.108800000000002</c:v>
                </c:pt>
                <c:pt idx="13">
                  <c:v>42.185000000000002</c:v>
                </c:pt>
                <c:pt idx="14">
                  <c:v>56.446100000000001</c:v>
                </c:pt>
                <c:pt idx="15">
                  <c:v>73.264099999999999</c:v>
                </c:pt>
                <c:pt idx="16">
                  <c:v>93.075800000000001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97.787900000000008</c:v>
                </c:pt>
                <c:pt idx="40">
                  <c:v>91.616</c:v>
                </c:pt>
                <c:pt idx="41">
                  <c:v>84.546700000000001</c:v>
                </c:pt>
                <c:pt idx="42">
                  <c:v>74.451400000000007</c:v>
                </c:pt>
                <c:pt idx="43">
                  <c:v>66.642499999999998</c:v>
                </c:pt>
                <c:pt idx="44">
                  <c:v>56.584599999999988</c:v>
                </c:pt>
                <c:pt idx="45">
                  <c:v>45.290200000000013</c:v>
                </c:pt>
                <c:pt idx="46">
                  <c:v>35.731200000000001</c:v>
                </c:pt>
                <c:pt idx="47">
                  <c:v>28.453199999999999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42C-4341-BB9E-87E08A06D636}"/>
            </c:ext>
          </c:extLst>
        </c:ser>
        <c:ser>
          <c:idx val="18"/>
          <c:order val="18"/>
          <c:tx>
            <c:v>BES_TR3_one469_A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SOC_pct!$U$2:$U$49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38.255299999999998</c:v>
                </c:pt>
                <c:pt idx="3">
                  <c:v>36.212800000000001</c:v>
                </c:pt>
                <c:pt idx="4">
                  <c:v>34.633099999999999</c:v>
                </c:pt>
                <c:pt idx="5">
                  <c:v>32.0505</c:v>
                </c:pt>
                <c:pt idx="6">
                  <c:v>30.4709</c:v>
                </c:pt>
                <c:pt idx="7">
                  <c:v>29.868500000000001</c:v>
                </c:pt>
                <c:pt idx="8">
                  <c:v>26.563600000000001</c:v>
                </c:pt>
                <c:pt idx="9">
                  <c:v>26.290199999999999</c:v>
                </c:pt>
                <c:pt idx="10">
                  <c:v>26.842700000000001</c:v>
                </c:pt>
                <c:pt idx="11">
                  <c:v>29.401499999999999</c:v>
                </c:pt>
                <c:pt idx="12">
                  <c:v>35.311</c:v>
                </c:pt>
                <c:pt idx="13">
                  <c:v>43.342399999999998</c:v>
                </c:pt>
                <c:pt idx="14">
                  <c:v>55.338299999999997</c:v>
                </c:pt>
                <c:pt idx="15">
                  <c:v>70.4495</c:v>
                </c:pt>
                <c:pt idx="16">
                  <c:v>88.061900000000009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94.325099999999992</c:v>
                </c:pt>
                <c:pt idx="41">
                  <c:v>90.490000000000009</c:v>
                </c:pt>
                <c:pt idx="42">
                  <c:v>89.887700000000009</c:v>
                </c:pt>
                <c:pt idx="43">
                  <c:v>86.327799999999996</c:v>
                </c:pt>
                <c:pt idx="44">
                  <c:v>85.725499999999997</c:v>
                </c:pt>
                <c:pt idx="45">
                  <c:v>84.525899999999993</c:v>
                </c:pt>
                <c:pt idx="46">
                  <c:v>81.563200000000009</c:v>
                </c:pt>
                <c:pt idx="47">
                  <c:v>80.960900000000009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42C-4341-BB9E-87E08A06D636}"/>
            </c:ext>
          </c:extLst>
        </c:ser>
        <c:ser>
          <c:idx val="19"/>
          <c:order val="19"/>
          <c:tx>
            <c:v>BES_TR3_one477_A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SOC_pct!$V$2:$V$49</c:f>
              <c:numCache>
                <c:formatCode>0.0</c:formatCode>
                <c:ptCount val="48"/>
                <c:pt idx="0">
                  <c:v>40</c:v>
                </c:pt>
                <c:pt idx="1">
                  <c:v>38.129600000000003</c:v>
                </c:pt>
                <c:pt idx="2">
                  <c:v>36.384599999999999</c:v>
                </c:pt>
                <c:pt idx="3">
                  <c:v>35.342700000000001</c:v>
                </c:pt>
                <c:pt idx="4">
                  <c:v>34.9161</c:v>
                </c:pt>
                <c:pt idx="5">
                  <c:v>32.518300000000004</c:v>
                </c:pt>
                <c:pt idx="6">
                  <c:v>30.685500000000001</c:v>
                </c:pt>
                <c:pt idx="7">
                  <c:v>30.258800000000001</c:v>
                </c:pt>
                <c:pt idx="8">
                  <c:v>27.9148</c:v>
                </c:pt>
                <c:pt idx="9">
                  <c:v>26.855899999999998</c:v>
                </c:pt>
                <c:pt idx="10">
                  <c:v>26.937200000000001</c:v>
                </c:pt>
                <c:pt idx="11">
                  <c:v>26.747900000000001</c:v>
                </c:pt>
                <c:pt idx="12">
                  <c:v>28.206399999999999</c:v>
                </c:pt>
                <c:pt idx="13">
                  <c:v>31.5487</c:v>
                </c:pt>
                <c:pt idx="14">
                  <c:v>35.886800000000001</c:v>
                </c:pt>
                <c:pt idx="15">
                  <c:v>39.560899999999997</c:v>
                </c:pt>
                <c:pt idx="16">
                  <c:v>42.573700000000002</c:v>
                </c:pt>
                <c:pt idx="17">
                  <c:v>49.4724</c:v>
                </c:pt>
                <c:pt idx="18">
                  <c:v>53.468200000000003</c:v>
                </c:pt>
                <c:pt idx="19">
                  <c:v>64.730699999999999</c:v>
                </c:pt>
                <c:pt idx="20">
                  <c:v>76.455399999999997</c:v>
                </c:pt>
                <c:pt idx="21">
                  <c:v>87.418099999999995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96.175799999999995</c:v>
                </c:pt>
                <c:pt idx="36">
                  <c:v>77.727900000000005</c:v>
                </c:pt>
                <c:pt idx="37">
                  <c:v>76.280599999999993</c:v>
                </c:pt>
                <c:pt idx="38">
                  <c:v>76.307999999999993</c:v>
                </c:pt>
                <c:pt idx="39">
                  <c:v>63.271299999999997</c:v>
                </c:pt>
                <c:pt idx="40">
                  <c:v>54.228499999999997</c:v>
                </c:pt>
                <c:pt idx="41">
                  <c:v>45.777500000000003</c:v>
                </c:pt>
                <c:pt idx="42">
                  <c:v>36.029899999999998</c:v>
                </c:pt>
                <c:pt idx="43">
                  <c:v>23.726600000000001</c:v>
                </c:pt>
                <c:pt idx="44">
                  <c:v>14.927099999999999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2C-4341-BB9E-87E08A06D636}"/>
            </c:ext>
          </c:extLst>
        </c:ser>
        <c:ser>
          <c:idx val="20"/>
          <c:order val="20"/>
          <c:tx>
            <c:v>BES_TR3_one480_A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SOC_pct!$W$2:$W$49</c:f>
              <c:numCache>
                <c:formatCode>0.0</c:formatCode>
                <c:ptCount val="48"/>
                <c:pt idx="0">
                  <c:v>40</c:v>
                </c:pt>
                <c:pt idx="1">
                  <c:v>38.118899999999996</c:v>
                </c:pt>
                <c:pt idx="2">
                  <c:v>37.491500000000002</c:v>
                </c:pt>
                <c:pt idx="3">
                  <c:v>36.863999999999997</c:v>
                </c:pt>
                <c:pt idx="4">
                  <c:v>35.5471</c:v>
                </c:pt>
                <c:pt idx="5">
                  <c:v>34.355499999999999</c:v>
                </c:pt>
                <c:pt idx="6">
                  <c:v>33.728099999999998</c:v>
                </c:pt>
                <c:pt idx="7">
                  <c:v>32.034999999999997</c:v>
                </c:pt>
                <c:pt idx="8">
                  <c:v>31.262699999999999</c:v>
                </c:pt>
                <c:pt idx="9">
                  <c:v>31.259399999999999</c:v>
                </c:pt>
                <c:pt idx="10">
                  <c:v>33.321399999999997</c:v>
                </c:pt>
                <c:pt idx="11">
                  <c:v>37.910700000000013</c:v>
                </c:pt>
                <c:pt idx="12">
                  <c:v>44.6526</c:v>
                </c:pt>
                <c:pt idx="13">
                  <c:v>55.923199999999987</c:v>
                </c:pt>
                <c:pt idx="14">
                  <c:v>70.692900000000009</c:v>
                </c:pt>
                <c:pt idx="15">
                  <c:v>88.943600000000004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80.224099999999993</c:v>
                </c:pt>
                <c:pt idx="41">
                  <c:v>76.821200000000005</c:v>
                </c:pt>
                <c:pt idx="42">
                  <c:v>72.973799999999997</c:v>
                </c:pt>
                <c:pt idx="43">
                  <c:v>69.432900000000004</c:v>
                </c:pt>
                <c:pt idx="44">
                  <c:v>64.784399999999991</c:v>
                </c:pt>
                <c:pt idx="45">
                  <c:v>60.917099999999998</c:v>
                </c:pt>
                <c:pt idx="46">
                  <c:v>49.0107</c:v>
                </c:pt>
                <c:pt idx="47">
                  <c:v>38.761600000000001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2C-4341-BB9E-87E08A06D636}"/>
            </c:ext>
          </c:extLst>
        </c:ser>
        <c:ser>
          <c:idx val="21"/>
          <c:order val="21"/>
          <c:tx>
            <c:v>BES_TR3_one482_B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SOC_pct!$X$2:$X$49</c:f>
              <c:numCache>
                <c:formatCode>0.0</c:formatCode>
                <c:ptCount val="48"/>
                <c:pt idx="0">
                  <c:v>40</c:v>
                </c:pt>
                <c:pt idx="1">
                  <c:v>39.334899999999998</c:v>
                </c:pt>
                <c:pt idx="2">
                  <c:v>38.669899999999998</c:v>
                </c:pt>
                <c:pt idx="3">
                  <c:v>36.654599999999988</c:v>
                </c:pt>
                <c:pt idx="4">
                  <c:v>35.989600000000003</c:v>
                </c:pt>
                <c:pt idx="5">
                  <c:v>34.167199999999987</c:v>
                </c:pt>
                <c:pt idx="6">
                  <c:v>33.3093</c:v>
                </c:pt>
                <c:pt idx="7">
                  <c:v>32.644199999999998</c:v>
                </c:pt>
                <c:pt idx="8">
                  <c:v>30.768599999999999</c:v>
                </c:pt>
                <c:pt idx="9">
                  <c:v>30.6312</c:v>
                </c:pt>
                <c:pt idx="10">
                  <c:v>32.659300000000002</c:v>
                </c:pt>
                <c:pt idx="11">
                  <c:v>36.055900000000001</c:v>
                </c:pt>
                <c:pt idx="12">
                  <c:v>43.835900000000002</c:v>
                </c:pt>
                <c:pt idx="13">
                  <c:v>54.551799999999993</c:v>
                </c:pt>
                <c:pt idx="14">
                  <c:v>68.593199999999996</c:v>
                </c:pt>
                <c:pt idx="15">
                  <c:v>86.81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93.750399999999999</c:v>
                </c:pt>
                <c:pt idx="39">
                  <c:v>90.867000000000004</c:v>
                </c:pt>
                <c:pt idx="40">
                  <c:v>89.198099999999997</c:v>
                </c:pt>
                <c:pt idx="41">
                  <c:v>88.781000000000006</c:v>
                </c:pt>
                <c:pt idx="42">
                  <c:v>88.115899999999996</c:v>
                </c:pt>
                <c:pt idx="43">
                  <c:v>86.100700000000003</c:v>
                </c:pt>
                <c:pt idx="44">
                  <c:v>85.435599999999994</c:v>
                </c:pt>
                <c:pt idx="45">
                  <c:v>83.420400000000001</c:v>
                </c:pt>
                <c:pt idx="46">
                  <c:v>82.755300000000005</c:v>
                </c:pt>
                <c:pt idx="47">
                  <c:v>81.993799999999993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42C-4341-BB9E-87E08A06D636}"/>
            </c:ext>
          </c:extLst>
        </c:ser>
        <c:ser>
          <c:idx val="22"/>
          <c:order val="22"/>
          <c:tx>
            <c:v>BES_TR3_one521_C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SOC_pct!$Y$2:$Y$49</c:f>
              <c:numCache>
                <c:formatCode>0.0</c:formatCode>
                <c:ptCount val="48"/>
                <c:pt idx="0">
                  <c:v>40</c:v>
                </c:pt>
                <c:pt idx="1">
                  <c:v>38.145099999999999</c:v>
                </c:pt>
                <c:pt idx="2">
                  <c:v>36.816299999999998</c:v>
                </c:pt>
                <c:pt idx="3">
                  <c:v>36.188800000000001</c:v>
                </c:pt>
                <c:pt idx="4">
                  <c:v>35.561399999999999</c:v>
                </c:pt>
                <c:pt idx="5">
                  <c:v>33.005099999999999</c:v>
                </c:pt>
                <c:pt idx="6">
                  <c:v>32.377699999999997</c:v>
                </c:pt>
                <c:pt idx="7">
                  <c:v>30.785799999999998</c:v>
                </c:pt>
                <c:pt idx="8">
                  <c:v>29.237100000000002</c:v>
                </c:pt>
                <c:pt idx="9">
                  <c:v>29.233799999999999</c:v>
                </c:pt>
                <c:pt idx="10">
                  <c:v>29.559699999999999</c:v>
                </c:pt>
                <c:pt idx="11">
                  <c:v>34.205399999999997</c:v>
                </c:pt>
                <c:pt idx="12">
                  <c:v>40.283299999999997</c:v>
                </c:pt>
                <c:pt idx="13">
                  <c:v>51.553800000000003</c:v>
                </c:pt>
                <c:pt idx="14">
                  <c:v>65.534400000000005</c:v>
                </c:pt>
                <c:pt idx="15">
                  <c:v>82.838200000000001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96.897800000000004</c:v>
                </c:pt>
                <c:pt idx="41">
                  <c:v>81.960099999999997</c:v>
                </c:pt>
                <c:pt idx="42">
                  <c:v>79.006799999999998</c:v>
                </c:pt>
                <c:pt idx="43">
                  <c:v>70.203000000000003</c:v>
                </c:pt>
                <c:pt idx="44">
                  <c:v>64.6447</c:v>
                </c:pt>
                <c:pt idx="45">
                  <c:v>60.614999999999988</c:v>
                </c:pt>
                <c:pt idx="46">
                  <c:v>58.121599999999987</c:v>
                </c:pt>
                <c:pt idx="47">
                  <c:v>55.332299999999996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42C-4341-BB9E-87E08A06D636}"/>
            </c:ext>
          </c:extLst>
        </c:ser>
        <c:ser>
          <c:idx val="23"/>
          <c:order val="23"/>
          <c:tx>
            <c:v>BES_TR3_one528_C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SOC_pct!$Z$2:$Z$49</c:f>
              <c:numCache>
                <c:formatCode>0.0</c:formatCode>
                <c:ptCount val="48"/>
                <c:pt idx="0">
                  <c:v>40</c:v>
                </c:pt>
                <c:pt idx="1">
                  <c:v>38.625100000000003</c:v>
                </c:pt>
                <c:pt idx="2">
                  <c:v>37.972799999999999</c:v>
                </c:pt>
                <c:pt idx="3">
                  <c:v>35.863999999999997</c:v>
                </c:pt>
                <c:pt idx="4">
                  <c:v>34.473399999999998</c:v>
                </c:pt>
                <c:pt idx="5">
                  <c:v>33.2714</c:v>
                </c:pt>
                <c:pt idx="6">
                  <c:v>31.5153</c:v>
                </c:pt>
                <c:pt idx="7">
                  <c:v>30.3217</c:v>
                </c:pt>
                <c:pt idx="8">
                  <c:v>28.863</c:v>
                </c:pt>
                <c:pt idx="9">
                  <c:v>28.8826</c:v>
                </c:pt>
                <c:pt idx="10">
                  <c:v>30.157599999999999</c:v>
                </c:pt>
                <c:pt idx="11">
                  <c:v>33.3003</c:v>
                </c:pt>
                <c:pt idx="12">
                  <c:v>40.552100000000003</c:v>
                </c:pt>
                <c:pt idx="13">
                  <c:v>50.423699999999997</c:v>
                </c:pt>
                <c:pt idx="14">
                  <c:v>64.527199999999993</c:v>
                </c:pt>
                <c:pt idx="15">
                  <c:v>82.8005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94.537300000000002</c:v>
                </c:pt>
                <c:pt idx="41">
                  <c:v>87.525700000000001</c:v>
                </c:pt>
                <c:pt idx="42">
                  <c:v>81.175699999999992</c:v>
                </c:pt>
                <c:pt idx="43">
                  <c:v>79.522300000000001</c:v>
                </c:pt>
                <c:pt idx="44">
                  <c:v>78.5702</c:v>
                </c:pt>
                <c:pt idx="45">
                  <c:v>74.849900000000005</c:v>
                </c:pt>
                <c:pt idx="46">
                  <c:v>70.56</c:v>
                </c:pt>
                <c:pt idx="47">
                  <c:v>65.613799999999998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42C-4341-BB9E-87E08A06D636}"/>
            </c:ext>
          </c:extLst>
        </c:ser>
        <c:ser>
          <c:idx val="24"/>
          <c:order val="24"/>
          <c:tx>
            <c:v>BES_TR3_one61_A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SOC_pct!$AA$2:$AA$49</c:f>
              <c:numCache>
                <c:formatCode>0.0</c:formatCode>
                <c:ptCount val="48"/>
                <c:pt idx="0">
                  <c:v>40</c:v>
                </c:pt>
                <c:pt idx="1">
                  <c:v>38.983499999999999</c:v>
                </c:pt>
                <c:pt idx="2">
                  <c:v>35.475299999999997</c:v>
                </c:pt>
                <c:pt idx="3">
                  <c:v>34.860400000000013</c:v>
                </c:pt>
                <c:pt idx="4">
                  <c:v>32.317700000000002</c:v>
                </c:pt>
                <c:pt idx="5">
                  <c:v>30.335699999999999</c:v>
                </c:pt>
                <c:pt idx="6">
                  <c:v>29.7209</c:v>
                </c:pt>
                <c:pt idx="7">
                  <c:v>28.0198</c:v>
                </c:pt>
                <c:pt idx="8">
                  <c:v>25.5243</c:v>
                </c:pt>
                <c:pt idx="9">
                  <c:v>24.9983</c:v>
                </c:pt>
                <c:pt idx="10">
                  <c:v>24.3384</c:v>
                </c:pt>
                <c:pt idx="11">
                  <c:v>25.758199999999999</c:v>
                </c:pt>
                <c:pt idx="12">
                  <c:v>29.500299999999999</c:v>
                </c:pt>
                <c:pt idx="13">
                  <c:v>34.319400000000002</c:v>
                </c:pt>
                <c:pt idx="14">
                  <c:v>43.35</c:v>
                </c:pt>
                <c:pt idx="15">
                  <c:v>52.568300000000001</c:v>
                </c:pt>
                <c:pt idx="16">
                  <c:v>65.953400000000002</c:v>
                </c:pt>
                <c:pt idx="17">
                  <c:v>81.383399999999995</c:v>
                </c:pt>
                <c:pt idx="18">
                  <c:v>96.7102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99.703299999999999</c:v>
                </c:pt>
                <c:pt idx="41">
                  <c:v>96.470699999999994</c:v>
                </c:pt>
                <c:pt idx="42">
                  <c:v>95.855900000000005</c:v>
                </c:pt>
                <c:pt idx="43">
                  <c:v>91.946000000000012</c:v>
                </c:pt>
                <c:pt idx="44">
                  <c:v>91.331199999999995</c:v>
                </c:pt>
                <c:pt idx="45">
                  <c:v>89.109899999999996</c:v>
                </c:pt>
                <c:pt idx="46">
                  <c:v>87.892700000000005</c:v>
                </c:pt>
                <c:pt idx="47">
                  <c:v>86.876199999999997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42C-4341-BB9E-87E08A06D636}"/>
            </c:ext>
          </c:extLst>
        </c:ser>
        <c:ser>
          <c:idx val="25"/>
          <c:order val="25"/>
          <c:tx>
            <c:v>BES_TR3_one544_A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SOC_pct!$AB$2:$AB$49</c:f>
              <c:numCache>
                <c:formatCode>0.0</c:formatCode>
                <c:ptCount val="48"/>
                <c:pt idx="0">
                  <c:v>40</c:v>
                </c:pt>
                <c:pt idx="1">
                  <c:v>35.7988</c:v>
                </c:pt>
                <c:pt idx="2">
                  <c:v>19.503</c:v>
                </c:pt>
                <c:pt idx="3">
                  <c:v>14.178000000000001</c:v>
                </c:pt>
                <c:pt idx="4">
                  <c:v>12.827500000000001</c:v>
                </c:pt>
                <c:pt idx="5">
                  <c:v>11.2096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11.850099999999999</c:v>
                </c:pt>
                <c:pt idx="11">
                  <c:v>14.722099999999999</c:v>
                </c:pt>
                <c:pt idx="12">
                  <c:v>21.885200000000001</c:v>
                </c:pt>
                <c:pt idx="13">
                  <c:v>31.293900000000001</c:v>
                </c:pt>
                <c:pt idx="14">
                  <c:v>46.142600000000002</c:v>
                </c:pt>
                <c:pt idx="15">
                  <c:v>63.7455</c:v>
                </c:pt>
                <c:pt idx="16">
                  <c:v>82.252200000000002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97.352499999999992</c:v>
                </c:pt>
                <c:pt idx="41">
                  <c:v>91.251800000000003</c:v>
                </c:pt>
                <c:pt idx="42">
                  <c:v>85.857600000000005</c:v>
                </c:pt>
                <c:pt idx="43">
                  <c:v>79.739499999999992</c:v>
                </c:pt>
                <c:pt idx="44">
                  <c:v>75.71520000000001</c:v>
                </c:pt>
                <c:pt idx="45">
                  <c:v>67.783299999999997</c:v>
                </c:pt>
                <c:pt idx="46">
                  <c:v>62.133499999999998</c:v>
                </c:pt>
                <c:pt idx="47">
                  <c:v>56.325599999999987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42C-4341-BB9E-87E08A06D636}"/>
            </c:ext>
          </c:extLst>
        </c:ser>
        <c:ser>
          <c:idx val="26"/>
          <c:order val="26"/>
          <c:tx>
            <c:v>BES_TR3_one552_B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SOC_pct!$AC$2:$AC$49</c:f>
              <c:numCache>
                <c:formatCode>0.0</c:formatCode>
                <c:ptCount val="48"/>
                <c:pt idx="0">
                  <c:v>40</c:v>
                </c:pt>
                <c:pt idx="1">
                  <c:v>39.322400000000002</c:v>
                </c:pt>
                <c:pt idx="2">
                  <c:v>38.644799999999996</c:v>
                </c:pt>
                <c:pt idx="3">
                  <c:v>35.768300000000004</c:v>
                </c:pt>
                <c:pt idx="4">
                  <c:v>35.090600000000002</c:v>
                </c:pt>
                <c:pt idx="5">
                  <c:v>32.514000000000003</c:v>
                </c:pt>
                <c:pt idx="6">
                  <c:v>31.5365</c:v>
                </c:pt>
                <c:pt idx="7">
                  <c:v>30.858899999999998</c:v>
                </c:pt>
                <c:pt idx="8">
                  <c:v>28.020199999999999</c:v>
                </c:pt>
                <c:pt idx="9">
                  <c:v>27.8887</c:v>
                </c:pt>
                <c:pt idx="10">
                  <c:v>28.227799999999998</c:v>
                </c:pt>
                <c:pt idx="11">
                  <c:v>31.5473</c:v>
                </c:pt>
                <c:pt idx="12">
                  <c:v>38.268700000000003</c:v>
                </c:pt>
                <c:pt idx="13">
                  <c:v>46.035600000000002</c:v>
                </c:pt>
                <c:pt idx="14">
                  <c:v>58.843299999999999</c:v>
                </c:pt>
                <c:pt idx="15">
                  <c:v>72.419899999999998</c:v>
                </c:pt>
                <c:pt idx="16">
                  <c:v>88.070700000000002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99.796700000000001</c:v>
                </c:pt>
                <c:pt idx="40">
                  <c:v>96.499400000000009</c:v>
                </c:pt>
                <c:pt idx="41">
                  <c:v>91.709600000000009</c:v>
                </c:pt>
                <c:pt idx="42">
                  <c:v>84.40140000000001</c:v>
                </c:pt>
                <c:pt idx="43">
                  <c:v>76.375399999999999</c:v>
                </c:pt>
                <c:pt idx="44">
                  <c:v>69.602500000000006</c:v>
                </c:pt>
                <c:pt idx="45">
                  <c:v>61.911799999999992</c:v>
                </c:pt>
                <c:pt idx="46">
                  <c:v>56.924199999999999</c:v>
                </c:pt>
                <c:pt idx="47">
                  <c:v>51.546300000000002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42C-4341-BB9E-87E08A06D636}"/>
            </c:ext>
          </c:extLst>
        </c:ser>
        <c:ser>
          <c:idx val="27"/>
          <c:order val="27"/>
          <c:tx>
            <c:v>BES_TR3_one559_C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SOC_pct!$AD$2:$AD$49</c:f>
              <c:numCache>
                <c:formatCode>0.0</c:formatCode>
                <c:ptCount val="48"/>
                <c:pt idx="0">
                  <c:v>40</c:v>
                </c:pt>
                <c:pt idx="1">
                  <c:v>39.247100000000003</c:v>
                </c:pt>
                <c:pt idx="2">
                  <c:v>36.200699999999998</c:v>
                </c:pt>
                <c:pt idx="3">
                  <c:v>34.292900000000003</c:v>
                </c:pt>
                <c:pt idx="4">
                  <c:v>31.906500000000001</c:v>
                </c:pt>
                <c:pt idx="5">
                  <c:v>29.586200000000002</c:v>
                </c:pt>
                <c:pt idx="6">
                  <c:v>26.952400000000001</c:v>
                </c:pt>
                <c:pt idx="7">
                  <c:v>26.1995</c:v>
                </c:pt>
                <c:pt idx="8">
                  <c:v>22.041399999999999</c:v>
                </c:pt>
                <c:pt idx="9">
                  <c:v>21.912600000000001</c:v>
                </c:pt>
                <c:pt idx="10">
                  <c:v>22.388500000000001</c:v>
                </c:pt>
                <c:pt idx="11">
                  <c:v>25.290800000000001</c:v>
                </c:pt>
                <c:pt idx="12">
                  <c:v>32.991700000000002</c:v>
                </c:pt>
                <c:pt idx="13">
                  <c:v>41.045699999999997</c:v>
                </c:pt>
                <c:pt idx="14">
                  <c:v>55.702399999999997</c:v>
                </c:pt>
                <c:pt idx="15">
                  <c:v>71.254799999999989</c:v>
                </c:pt>
                <c:pt idx="16">
                  <c:v>92.360500000000002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96.472899999999996</c:v>
                </c:pt>
                <c:pt idx="40">
                  <c:v>89.426199999999994</c:v>
                </c:pt>
                <c:pt idx="41">
                  <c:v>72.729500000000002</c:v>
                </c:pt>
                <c:pt idx="42">
                  <c:v>55.936699999999988</c:v>
                </c:pt>
                <c:pt idx="43">
                  <c:v>45.930999999999997</c:v>
                </c:pt>
                <c:pt idx="44">
                  <c:v>33.362099999999998</c:v>
                </c:pt>
                <c:pt idx="45">
                  <c:v>17.037299999999998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42C-4341-BB9E-87E08A06D636}"/>
            </c:ext>
          </c:extLst>
        </c:ser>
        <c:ser>
          <c:idx val="28"/>
          <c:order val="28"/>
          <c:tx>
            <c:v>BES_TR3_one570_B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SOC_pct!$AE$2:$AE$49</c:f>
              <c:numCache>
                <c:formatCode>0.0</c:formatCode>
                <c:ptCount val="48"/>
                <c:pt idx="0">
                  <c:v>40</c:v>
                </c:pt>
                <c:pt idx="1">
                  <c:v>39.485500000000002</c:v>
                </c:pt>
                <c:pt idx="2">
                  <c:v>38.080500000000001</c:v>
                </c:pt>
                <c:pt idx="3">
                  <c:v>37.566000000000003</c:v>
                </c:pt>
                <c:pt idx="4">
                  <c:v>36.161000000000001</c:v>
                </c:pt>
                <c:pt idx="5">
                  <c:v>35.646500000000003</c:v>
                </c:pt>
                <c:pt idx="6">
                  <c:v>34.241399999999999</c:v>
                </c:pt>
                <c:pt idx="7">
                  <c:v>33.726999999999997</c:v>
                </c:pt>
                <c:pt idx="8">
                  <c:v>33.244800000000012</c:v>
                </c:pt>
                <c:pt idx="9">
                  <c:v>33.198399999999999</c:v>
                </c:pt>
                <c:pt idx="10">
                  <c:v>34.705399999999997</c:v>
                </c:pt>
                <c:pt idx="11">
                  <c:v>37.704900000000002</c:v>
                </c:pt>
                <c:pt idx="12">
                  <c:v>43.169499999999999</c:v>
                </c:pt>
                <c:pt idx="13">
                  <c:v>35.561</c:v>
                </c:pt>
                <c:pt idx="14">
                  <c:v>43.789200000000001</c:v>
                </c:pt>
                <c:pt idx="15">
                  <c:v>57.354900000000001</c:v>
                </c:pt>
                <c:pt idx="16">
                  <c:v>73.039100000000005</c:v>
                </c:pt>
                <c:pt idx="17">
                  <c:v>91.4876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92.028400000000005</c:v>
                </c:pt>
                <c:pt idx="38">
                  <c:v>74.831999999999994</c:v>
                </c:pt>
                <c:pt idx="39">
                  <c:v>69.125</c:v>
                </c:pt>
                <c:pt idx="40">
                  <c:v>66.964100000000002</c:v>
                </c:pt>
                <c:pt idx="41">
                  <c:v>62.383400000000002</c:v>
                </c:pt>
                <c:pt idx="42">
                  <c:v>57.740900000000003</c:v>
                </c:pt>
                <c:pt idx="43">
                  <c:v>53.699599999999997</c:v>
                </c:pt>
                <c:pt idx="44">
                  <c:v>49.164400000000001</c:v>
                </c:pt>
                <c:pt idx="45">
                  <c:v>46.7348</c:v>
                </c:pt>
                <c:pt idx="46">
                  <c:v>46.220299999999988</c:v>
                </c:pt>
                <c:pt idx="47">
                  <c:v>44.815199999999997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42C-4341-BB9E-87E08A06D636}"/>
            </c:ext>
          </c:extLst>
        </c:ser>
        <c:ser>
          <c:idx val="29"/>
          <c:order val="29"/>
          <c:tx>
            <c:v>BES_TR3_one605_A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SOC_pct!$AF$2:$AF$49</c:f>
              <c:numCache>
                <c:formatCode>0.0</c:formatCode>
                <c:ptCount val="48"/>
                <c:pt idx="0">
                  <c:v>40</c:v>
                </c:pt>
                <c:pt idx="1">
                  <c:v>39.334899999999998</c:v>
                </c:pt>
                <c:pt idx="2">
                  <c:v>38.669899999999998</c:v>
                </c:pt>
                <c:pt idx="3">
                  <c:v>38.004800000000003</c:v>
                </c:pt>
                <c:pt idx="4">
                  <c:v>37.339700000000001</c:v>
                </c:pt>
                <c:pt idx="5">
                  <c:v>36.674599999999998</c:v>
                </c:pt>
                <c:pt idx="6">
                  <c:v>36.009600000000013</c:v>
                </c:pt>
                <c:pt idx="7">
                  <c:v>35.344499999999996</c:v>
                </c:pt>
                <c:pt idx="8">
                  <c:v>34.7226</c:v>
                </c:pt>
                <c:pt idx="9">
                  <c:v>34.681600000000003</c:v>
                </c:pt>
                <c:pt idx="10">
                  <c:v>36.709699999999998</c:v>
                </c:pt>
                <c:pt idx="11">
                  <c:v>41.321599999999997</c:v>
                </c:pt>
                <c:pt idx="12">
                  <c:v>49.077199999999998</c:v>
                </c:pt>
                <c:pt idx="13">
                  <c:v>59.466799999999999</c:v>
                </c:pt>
                <c:pt idx="14">
                  <c:v>72.768500000000003</c:v>
                </c:pt>
                <c:pt idx="15">
                  <c:v>90.004300000000001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95.501800000000003</c:v>
                </c:pt>
                <c:pt idx="41">
                  <c:v>92.011600000000001</c:v>
                </c:pt>
                <c:pt idx="42">
                  <c:v>90.755099999999999</c:v>
                </c:pt>
                <c:pt idx="43">
                  <c:v>90.090099999999993</c:v>
                </c:pt>
                <c:pt idx="44">
                  <c:v>89.424999999999997</c:v>
                </c:pt>
                <c:pt idx="45">
                  <c:v>83.329599999999999</c:v>
                </c:pt>
                <c:pt idx="46">
                  <c:v>77.656099999999995</c:v>
                </c:pt>
                <c:pt idx="47">
                  <c:v>68.71390000000001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42C-4341-BB9E-87E08A06D636}"/>
            </c:ext>
          </c:extLst>
        </c:ser>
        <c:ser>
          <c:idx val="30"/>
          <c:order val="30"/>
          <c:tx>
            <c:v>BES_TR3_one614_B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SOC_pct!$AG$2:$AG$49</c:f>
              <c:numCache>
                <c:formatCode>0.0</c:formatCode>
                <c:ptCount val="48"/>
                <c:pt idx="0">
                  <c:v>40</c:v>
                </c:pt>
                <c:pt idx="1">
                  <c:v>39.259599999999999</c:v>
                </c:pt>
                <c:pt idx="2">
                  <c:v>37.408099999999997</c:v>
                </c:pt>
                <c:pt idx="3">
                  <c:v>35.898499999999999</c:v>
                </c:pt>
                <c:pt idx="4">
                  <c:v>34.901800000000001</c:v>
                </c:pt>
                <c:pt idx="5">
                  <c:v>32.537399999999998</c:v>
                </c:pt>
                <c:pt idx="6">
                  <c:v>31.7971</c:v>
                </c:pt>
                <c:pt idx="7">
                  <c:v>31.056699999999999</c:v>
                </c:pt>
                <c:pt idx="8">
                  <c:v>28.468299999999999</c:v>
                </c:pt>
                <c:pt idx="9">
                  <c:v>28.196000000000002</c:v>
                </c:pt>
                <c:pt idx="10">
                  <c:v>29.192</c:v>
                </c:pt>
                <c:pt idx="11">
                  <c:v>31.0488</c:v>
                </c:pt>
                <c:pt idx="12">
                  <c:v>36.6663</c:v>
                </c:pt>
                <c:pt idx="13">
                  <c:v>44.876399999999997</c:v>
                </c:pt>
                <c:pt idx="14">
                  <c:v>54.018500000000003</c:v>
                </c:pt>
                <c:pt idx="15">
                  <c:v>67.463700000000003</c:v>
                </c:pt>
                <c:pt idx="16">
                  <c:v>81.908000000000001</c:v>
                </c:pt>
                <c:pt idx="17">
                  <c:v>98.843000000000004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83.679899999999989</c:v>
                </c:pt>
                <c:pt idx="39">
                  <c:v>82.193600000000004</c:v>
                </c:pt>
                <c:pt idx="40">
                  <c:v>77.132199999999997</c:v>
                </c:pt>
                <c:pt idx="41">
                  <c:v>56.311399999999999</c:v>
                </c:pt>
                <c:pt idx="42">
                  <c:v>49.567599999999999</c:v>
                </c:pt>
                <c:pt idx="43">
                  <c:v>41.274999999999999</c:v>
                </c:pt>
                <c:pt idx="44">
                  <c:v>28.845500000000001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42C-4341-BB9E-87E08A06D636}"/>
            </c:ext>
          </c:extLst>
        </c:ser>
        <c:ser>
          <c:idx val="31"/>
          <c:order val="31"/>
          <c:tx>
            <c:v>BES_TR3_one617_A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SOC_pct!$AH$2:$AH$49</c:f>
              <c:numCache>
                <c:formatCode>0.0</c:formatCode>
                <c:ptCount val="48"/>
                <c:pt idx="0">
                  <c:v>40</c:v>
                </c:pt>
                <c:pt idx="1">
                  <c:v>38.613</c:v>
                </c:pt>
                <c:pt idx="2">
                  <c:v>36.844499999999996</c:v>
                </c:pt>
                <c:pt idx="3">
                  <c:v>36.392699999999998</c:v>
                </c:pt>
                <c:pt idx="4">
                  <c:v>35.566899999999997</c:v>
                </c:pt>
                <c:pt idx="5">
                  <c:v>33.431699999999999</c:v>
                </c:pt>
                <c:pt idx="6">
                  <c:v>32.979999999999997</c:v>
                </c:pt>
                <c:pt idx="7">
                  <c:v>30.470700000000001</c:v>
                </c:pt>
                <c:pt idx="8">
                  <c:v>30.062100000000001</c:v>
                </c:pt>
                <c:pt idx="9">
                  <c:v>30.217199999999998</c:v>
                </c:pt>
                <c:pt idx="10">
                  <c:v>30.5855</c:v>
                </c:pt>
                <c:pt idx="11">
                  <c:v>35.389299999999999</c:v>
                </c:pt>
                <c:pt idx="12">
                  <c:v>43.3613</c:v>
                </c:pt>
                <c:pt idx="13">
                  <c:v>52.938099999999999</c:v>
                </c:pt>
                <c:pt idx="14">
                  <c:v>67.865899999999996</c:v>
                </c:pt>
                <c:pt idx="15">
                  <c:v>86.190599999999989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97.944299999999998</c:v>
                </c:pt>
                <c:pt idx="41">
                  <c:v>93.163300000000007</c:v>
                </c:pt>
                <c:pt idx="42">
                  <c:v>88.206099999999992</c:v>
                </c:pt>
                <c:pt idx="43">
                  <c:v>81.035800000000009</c:v>
                </c:pt>
                <c:pt idx="44">
                  <c:v>73.592199999999991</c:v>
                </c:pt>
                <c:pt idx="45">
                  <c:v>68.293099999999995</c:v>
                </c:pt>
                <c:pt idx="46">
                  <c:v>62.7958</c:v>
                </c:pt>
                <c:pt idx="47">
                  <c:v>58.960199999999993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42C-4341-BB9E-87E08A06D636}"/>
            </c:ext>
          </c:extLst>
        </c:ser>
        <c:ser>
          <c:idx val="32"/>
          <c:order val="32"/>
          <c:tx>
            <c:v>BES_TR3_one73_A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SOC_pct!$AI$2:$AI$49</c:f>
              <c:numCache>
                <c:formatCode>0.0</c:formatCode>
                <c:ptCount val="48"/>
                <c:pt idx="0">
                  <c:v>40</c:v>
                </c:pt>
                <c:pt idx="1">
                  <c:v>33.739999999999988</c:v>
                </c:pt>
                <c:pt idx="2">
                  <c:v>25.943200000000001</c:v>
                </c:pt>
                <c:pt idx="3">
                  <c:v>22.581600000000002</c:v>
                </c:pt>
                <c:pt idx="4">
                  <c:v>20.367100000000001</c:v>
                </c:pt>
                <c:pt idx="5">
                  <c:v>18.0261</c:v>
                </c:pt>
                <c:pt idx="6">
                  <c:v>14.611800000000001</c:v>
                </c:pt>
                <c:pt idx="7">
                  <c:v>12.360300000000001</c:v>
                </c:pt>
                <c:pt idx="8">
                  <c:v>10</c:v>
                </c:pt>
                <c:pt idx="9">
                  <c:v>10</c:v>
                </c:pt>
                <c:pt idx="10">
                  <c:v>10.3527</c:v>
                </c:pt>
                <c:pt idx="11">
                  <c:v>13.004099999999999</c:v>
                </c:pt>
                <c:pt idx="12">
                  <c:v>17.132200000000001</c:v>
                </c:pt>
                <c:pt idx="13">
                  <c:v>26.075500000000002</c:v>
                </c:pt>
                <c:pt idx="14">
                  <c:v>37.8705</c:v>
                </c:pt>
                <c:pt idx="15">
                  <c:v>51.41</c:v>
                </c:pt>
                <c:pt idx="16">
                  <c:v>68.302099999999996</c:v>
                </c:pt>
                <c:pt idx="17">
                  <c:v>90.023799999999994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96.521900000000002</c:v>
                </c:pt>
                <c:pt idx="40">
                  <c:v>86.336699999999993</c:v>
                </c:pt>
                <c:pt idx="41">
                  <c:v>79.959400000000002</c:v>
                </c:pt>
                <c:pt idx="42">
                  <c:v>67.839799999999997</c:v>
                </c:pt>
                <c:pt idx="43">
                  <c:v>57.643999999999998</c:v>
                </c:pt>
                <c:pt idx="44">
                  <c:v>48.588200000000001</c:v>
                </c:pt>
                <c:pt idx="45">
                  <c:v>37.8048</c:v>
                </c:pt>
                <c:pt idx="46">
                  <c:v>26.253</c:v>
                </c:pt>
                <c:pt idx="47">
                  <c:v>15.938700000000001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42C-4341-BB9E-87E08A06D636}"/>
            </c:ext>
          </c:extLst>
        </c:ser>
        <c:ser>
          <c:idx val="33"/>
          <c:order val="33"/>
          <c:tx>
            <c:v>BES_TR3_one76_A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SOC_pct!$AJ$2:$AJ$49</c:f>
              <c:numCache>
                <c:formatCode>0.0</c:formatCode>
                <c:ptCount val="48"/>
                <c:pt idx="0">
                  <c:v>40</c:v>
                </c:pt>
                <c:pt idx="1">
                  <c:v>38.091500000000003</c:v>
                </c:pt>
                <c:pt idx="2">
                  <c:v>37.576999999999998</c:v>
                </c:pt>
                <c:pt idx="3">
                  <c:v>34.526600000000002</c:v>
                </c:pt>
                <c:pt idx="4">
                  <c:v>34.012099999999997</c:v>
                </c:pt>
                <c:pt idx="5">
                  <c:v>33.497599999999998</c:v>
                </c:pt>
                <c:pt idx="6">
                  <c:v>30.8203</c:v>
                </c:pt>
                <c:pt idx="7">
                  <c:v>29.932700000000001</c:v>
                </c:pt>
                <c:pt idx="8">
                  <c:v>29.296600000000002</c:v>
                </c:pt>
                <c:pt idx="9">
                  <c:v>27.4861</c:v>
                </c:pt>
                <c:pt idx="10">
                  <c:v>28.0336</c:v>
                </c:pt>
                <c:pt idx="11">
                  <c:v>30.268799999999999</c:v>
                </c:pt>
                <c:pt idx="12">
                  <c:v>33.318199999999997</c:v>
                </c:pt>
                <c:pt idx="13">
                  <c:v>40.252099999999999</c:v>
                </c:pt>
                <c:pt idx="14">
                  <c:v>47.090600000000002</c:v>
                </c:pt>
                <c:pt idx="15">
                  <c:v>58.387199999999993</c:v>
                </c:pt>
                <c:pt idx="16">
                  <c:v>70.984300000000005</c:v>
                </c:pt>
                <c:pt idx="17">
                  <c:v>85.1006</c:v>
                </c:pt>
                <c:pt idx="18">
                  <c:v>100</c:v>
                </c:pt>
                <c:pt idx="19">
                  <c:v>96.959400000000002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99.206000000000003</c:v>
                </c:pt>
                <c:pt idx="39">
                  <c:v>98.631999999999991</c:v>
                </c:pt>
                <c:pt idx="40">
                  <c:v>93.269899999999993</c:v>
                </c:pt>
                <c:pt idx="41">
                  <c:v>92.91040000000001</c:v>
                </c:pt>
                <c:pt idx="42">
                  <c:v>91.207400000000007</c:v>
                </c:pt>
                <c:pt idx="43">
                  <c:v>86.0167</c:v>
                </c:pt>
                <c:pt idx="44">
                  <c:v>82.223299999999995</c:v>
                </c:pt>
                <c:pt idx="45">
                  <c:v>75.0017</c:v>
                </c:pt>
                <c:pt idx="46">
                  <c:v>66.514499999999998</c:v>
                </c:pt>
                <c:pt idx="47">
                  <c:v>60.981399999999987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42C-4341-BB9E-87E08A06D636}"/>
            </c:ext>
          </c:extLst>
        </c:ser>
        <c:ser>
          <c:idx val="34"/>
          <c:order val="34"/>
          <c:tx>
            <c:v>BES_TR3_one137_A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SOC_pct!$AK$2:$AK$49</c:f>
              <c:numCache>
                <c:formatCode>0.0</c:formatCode>
                <c:ptCount val="48"/>
                <c:pt idx="0">
                  <c:v>40</c:v>
                </c:pt>
                <c:pt idx="1">
                  <c:v>39.4604</c:v>
                </c:pt>
                <c:pt idx="2">
                  <c:v>38.9208</c:v>
                </c:pt>
                <c:pt idx="3">
                  <c:v>34.008500000000012</c:v>
                </c:pt>
                <c:pt idx="4">
                  <c:v>31.2576</c:v>
                </c:pt>
                <c:pt idx="5">
                  <c:v>28.438700000000001</c:v>
                </c:pt>
                <c:pt idx="6">
                  <c:v>26.955300000000001</c:v>
                </c:pt>
                <c:pt idx="7">
                  <c:v>26.415700000000001</c:v>
                </c:pt>
                <c:pt idx="8">
                  <c:v>25.9193</c:v>
                </c:pt>
                <c:pt idx="9">
                  <c:v>25.06</c:v>
                </c:pt>
                <c:pt idx="10">
                  <c:v>27.2011</c:v>
                </c:pt>
                <c:pt idx="11">
                  <c:v>31.453900000000001</c:v>
                </c:pt>
                <c:pt idx="12">
                  <c:v>38.9694</c:v>
                </c:pt>
                <c:pt idx="13">
                  <c:v>50.319000000000003</c:v>
                </c:pt>
                <c:pt idx="14">
                  <c:v>64.318299999999994</c:v>
                </c:pt>
                <c:pt idx="15">
                  <c:v>82.648099999999999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96.237399999999994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87.058199999999999</c:v>
                </c:pt>
                <c:pt idx="38">
                  <c:v>89.894499999999994</c:v>
                </c:pt>
                <c:pt idx="39">
                  <c:v>92.537000000000006</c:v>
                </c:pt>
                <c:pt idx="40">
                  <c:v>79.597399999999993</c:v>
                </c:pt>
                <c:pt idx="41">
                  <c:v>76.900900000000007</c:v>
                </c:pt>
                <c:pt idx="42">
                  <c:v>73.467200000000005</c:v>
                </c:pt>
                <c:pt idx="43">
                  <c:v>68.529399999999995</c:v>
                </c:pt>
                <c:pt idx="44">
                  <c:v>63.302899999999987</c:v>
                </c:pt>
                <c:pt idx="45">
                  <c:v>58.944499999999998</c:v>
                </c:pt>
                <c:pt idx="46">
                  <c:v>57.461199999999998</c:v>
                </c:pt>
                <c:pt idx="47">
                  <c:v>56.921600000000012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42C-4341-BB9E-87E08A06D636}"/>
            </c:ext>
          </c:extLst>
        </c:ser>
        <c:ser>
          <c:idx val="35"/>
          <c:order val="35"/>
          <c:tx>
            <c:v>BES_TR3_one176_A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SOC_pct!$AL$2:$AL$49</c:f>
              <c:numCache>
                <c:formatCode>0.0</c:formatCode>
                <c:ptCount val="48"/>
                <c:pt idx="0">
                  <c:v>40</c:v>
                </c:pt>
                <c:pt idx="1">
                  <c:v>38.131100000000004</c:v>
                </c:pt>
                <c:pt idx="2">
                  <c:v>37.100900000000003</c:v>
                </c:pt>
                <c:pt idx="3">
                  <c:v>36.573799999999999</c:v>
                </c:pt>
                <c:pt idx="4">
                  <c:v>34.201799999999999</c:v>
                </c:pt>
                <c:pt idx="5">
                  <c:v>33.674700000000001</c:v>
                </c:pt>
                <c:pt idx="6">
                  <c:v>33.1477</c:v>
                </c:pt>
                <c:pt idx="7">
                  <c:v>31.6143</c:v>
                </c:pt>
                <c:pt idx="8">
                  <c:v>30.270099999999999</c:v>
                </c:pt>
                <c:pt idx="9">
                  <c:v>29.7197</c:v>
                </c:pt>
                <c:pt idx="10">
                  <c:v>29.142299999999999</c:v>
                </c:pt>
                <c:pt idx="11">
                  <c:v>31.273099999999999</c:v>
                </c:pt>
                <c:pt idx="12">
                  <c:v>33.7804</c:v>
                </c:pt>
                <c:pt idx="13">
                  <c:v>38.770800000000001</c:v>
                </c:pt>
                <c:pt idx="14">
                  <c:v>44.863799999999998</c:v>
                </c:pt>
                <c:pt idx="15">
                  <c:v>52.287499999999987</c:v>
                </c:pt>
                <c:pt idx="16">
                  <c:v>62.183200000000006</c:v>
                </c:pt>
                <c:pt idx="17">
                  <c:v>73.066200000000009</c:v>
                </c:pt>
                <c:pt idx="18">
                  <c:v>85.822200000000009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95.298000000000002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83.151699999999991</c:v>
                </c:pt>
                <c:pt idx="39">
                  <c:v>83.474099999999993</c:v>
                </c:pt>
                <c:pt idx="40">
                  <c:v>83.200099999999992</c:v>
                </c:pt>
                <c:pt idx="41">
                  <c:v>80.530900000000003</c:v>
                </c:pt>
                <c:pt idx="42">
                  <c:v>73.5077</c:v>
                </c:pt>
                <c:pt idx="43">
                  <c:v>68.13369999999999</c:v>
                </c:pt>
                <c:pt idx="44">
                  <c:v>61.762799999999999</c:v>
                </c:pt>
                <c:pt idx="45">
                  <c:v>53.058999999999997</c:v>
                </c:pt>
                <c:pt idx="46">
                  <c:v>36.010199999999998</c:v>
                </c:pt>
                <c:pt idx="47">
                  <c:v>31.9846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42C-4341-BB9E-87E08A06D636}"/>
            </c:ext>
          </c:extLst>
        </c:ser>
        <c:ser>
          <c:idx val="36"/>
          <c:order val="36"/>
          <c:tx>
            <c:v>BES_TR3_two130_C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SOC_pct!$AM$2:$AM$49</c:f>
              <c:numCache>
                <c:formatCode>0.0</c:formatCode>
                <c:ptCount val="48"/>
                <c:pt idx="0">
                  <c:v>40</c:v>
                </c:pt>
                <c:pt idx="1">
                  <c:v>39.385100000000001</c:v>
                </c:pt>
                <c:pt idx="2">
                  <c:v>36.590699999999998</c:v>
                </c:pt>
                <c:pt idx="3">
                  <c:v>35.9758</c:v>
                </c:pt>
                <c:pt idx="4">
                  <c:v>35.360900000000001</c:v>
                </c:pt>
                <c:pt idx="5">
                  <c:v>32.566499999999998</c:v>
                </c:pt>
                <c:pt idx="6">
                  <c:v>31.951599999999999</c:v>
                </c:pt>
                <c:pt idx="7">
                  <c:v>31.3368</c:v>
                </c:pt>
                <c:pt idx="8">
                  <c:v>28.9818</c:v>
                </c:pt>
                <c:pt idx="9">
                  <c:v>28.5947</c:v>
                </c:pt>
                <c:pt idx="10">
                  <c:v>30.222200000000001</c:v>
                </c:pt>
                <c:pt idx="11">
                  <c:v>33.363300000000002</c:v>
                </c:pt>
                <c:pt idx="12">
                  <c:v>41.188499999999998</c:v>
                </c:pt>
                <c:pt idx="13">
                  <c:v>51.311199999999999</c:v>
                </c:pt>
                <c:pt idx="14">
                  <c:v>65.289699999999996</c:v>
                </c:pt>
                <c:pt idx="15">
                  <c:v>83.551699999999997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84.37360000000001</c:v>
                </c:pt>
                <c:pt idx="41">
                  <c:v>68.71629999999999</c:v>
                </c:pt>
                <c:pt idx="42">
                  <c:v>62.933100000000003</c:v>
                </c:pt>
                <c:pt idx="43">
                  <c:v>53.908000000000001</c:v>
                </c:pt>
                <c:pt idx="44">
                  <c:v>47.635899999999999</c:v>
                </c:pt>
                <c:pt idx="45">
                  <c:v>41.787400000000012</c:v>
                </c:pt>
                <c:pt idx="46">
                  <c:v>38.015700000000002</c:v>
                </c:pt>
                <c:pt idx="47">
                  <c:v>34.197600000000001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42C-4341-BB9E-87E08A06D636}"/>
            </c:ext>
          </c:extLst>
        </c:ser>
        <c:ser>
          <c:idx val="37"/>
          <c:order val="37"/>
          <c:tx>
            <c:v>BES_TR3_two249_A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SOC_pct!$AN$2:$AN$49</c:f>
              <c:numCache>
                <c:formatCode>0.0</c:formatCode>
                <c:ptCount val="48"/>
                <c:pt idx="0">
                  <c:v>40</c:v>
                </c:pt>
                <c:pt idx="1">
                  <c:v>39.012799999999999</c:v>
                </c:pt>
                <c:pt idx="2">
                  <c:v>36.549900000000001</c:v>
                </c:pt>
                <c:pt idx="3">
                  <c:v>34.830100000000002</c:v>
                </c:pt>
                <c:pt idx="4">
                  <c:v>32.511600000000001</c:v>
                </c:pt>
                <c:pt idx="5">
                  <c:v>30.287600000000001</c:v>
                </c:pt>
                <c:pt idx="6">
                  <c:v>29.516300000000001</c:v>
                </c:pt>
                <c:pt idx="7">
                  <c:v>26.333400000000001</c:v>
                </c:pt>
                <c:pt idx="8">
                  <c:v>25.160900000000002</c:v>
                </c:pt>
                <c:pt idx="9">
                  <c:v>25.157599999999999</c:v>
                </c:pt>
                <c:pt idx="10">
                  <c:v>25.9892</c:v>
                </c:pt>
                <c:pt idx="11">
                  <c:v>28.906300000000002</c:v>
                </c:pt>
                <c:pt idx="12">
                  <c:v>36.720199999999998</c:v>
                </c:pt>
                <c:pt idx="13">
                  <c:v>46.166200000000003</c:v>
                </c:pt>
                <c:pt idx="14">
                  <c:v>59.801499999999997</c:v>
                </c:pt>
                <c:pt idx="15">
                  <c:v>77.782300000000006</c:v>
                </c:pt>
                <c:pt idx="16">
                  <c:v>96.830100000000002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95.846900000000005</c:v>
                </c:pt>
                <c:pt idx="41">
                  <c:v>91.928899999999999</c:v>
                </c:pt>
                <c:pt idx="42">
                  <c:v>86.955700000000007</c:v>
                </c:pt>
                <c:pt idx="43">
                  <c:v>80.859400000000008</c:v>
                </c:pt>
                <c:pt idx="44">
                  <c:v>74.653300000000002</c:v>
                </c:pt>
                <c:pt idx="45">
                  <c:v>66.832800000000006</c:v>
                </c:pt>
                <c:pt idx="46">
                  <c:v>55.8446</c:v>
                </c:pt>
                <c:pt idx="47">
                  <c:v>48.920499999999997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42C-4341-BB9E-87E08A06D636}"/>
            </c:ext>
          </c:extLst>
        </c:ser>
        <c:ser>
          <c:idx val="38"/>
          <c:order val="38"/>
          <c:tx>
            <c:v>BES_TR3_two267_C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SOC_pct!$AO$2:$AO$49</c:f>
              <c:numCache>
                <c:formatCode>0.0</c:formatCode>
                <c:ptCount val="48"/>
                <c:pt idx="0">
                  <c:v>40</c:v>
                </c:pt>
                <c:pt idx="1">
                  <c:v>38.2699</c:v>
                </c:pt>
                <c:pt idx="2">
                  <c:v>37.277799999999999</c:v>
                </c:pt>
                <c:pt idx="3">
                  <c:v>36.562600000000003</c:v>
                </c:pt>
                <c:pt idx="4">
                  <c:v>34.555599999999998</c:v>
                </c:pt>
                <c:pt idx="5">
                  <c:v>33.840400000000002</c:v>
                </c:pt>
                <c:pt idx="6">
                  <c:v>32.848300000000002</c:v>
                </c:pt>
                <c:pt idx="7">
                  <c:v>31.118200000000002</c:v>
                </c:pt>
                <c:pt idx="8">
                  <c:v>30.446100000000001</c:v>
                </c:pt>
                <c:pt idx="9">
                  <c:v>30.354900000000001</c:v>
                </c:pt>
                <c:pt idx="10">
                  <c:v>31.1753</c:v>
                </c:pt>
                <c:pt idx="11">
                  <c:v>35.741999999999997</c:v>
                </c:pt>
                <c:pt idx="12">
                  <c:v>43.476799999999997</c:v>
                </c:pt>
                <c:pt idx="13">
                  <c:v>53.588800000000013</c:v>
                </c:pt>
                <c:pt idx="14">
                  <c:v>68.196399999999997</c:v>
                </c:pt>
                <c:pt idx="15">
                  <c:v>86.368099999999998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99.869399999999999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96.384099999999989</c:v>
                </c:pt>
                <c:pt idx="34">
                  <c:v>83.432600000000008</c:v>
                </c:pt>
                <c:pt idx="35">
                  <c:v>93.442300000000003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96.842500000000001</c:v>
                </c:pt>
                <c:pt idx="41">
                  <c:v>91.899200000000008</c:v>
                </c:pt>
                <c:pt idx="42">
                  <c:v>84.746899999999997</c:v>
                </c:pt>
                <c:pt idx="43">
                  <c:v>77.043199999999999</c:v>
                </c:pt>
                <c:pt idx="44">
                  <c:v>70.407899999999998</c:v>
                </c:pt>
                <c:pt idx="45">
                  <c:v>61.444000000000003</c:v>
                </c:pt>
                <c:pt idx="46">
                  <c:v>52.190300000000001</c:v>
                </c:pt>
                <c:pt idx="47">
                  <c:v>43.356499999999997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42C-4341-BB9E-87E08A06D636}"/>
            </c:ext>
          </c:extLst>
        </c:ser>
        <c:ser>
          <c:idx val="39"/>
          <c:order val="39"/>
          <c:tx>
            <c:v>BES_TR3_two292_B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SOC_pct!$AP$2:$AP$49</c:f>
              <c:numCache>
                <c:formatCode>0.0</c:formatCode>
                <c:ptCount val="48"/>
                <c:pt idx="0">
                  <c:v>40</c:v>
                </c:pt>
                <c:pt idx="1">
                  <c:v>39.334899999999998</c:v>
                </c:pt>
                <c:pt idx="2">
                  <c:v>38.669899999999998</c:v>
                </c:pt>
                <c:pt idx="3">
                  <c:v>38.004800000000003</c:v>
                </c:pt>
                <c:pt idx="4">
                  <c:v>37.339700000000001</c:v>
                </c:pt>
                <c:pt idx="5">
                  <c:v>36.674599999999998</c:v>
                </c:pt>
                <c:pt idx="6">
                  <c:v>36.009600000000013</c:v>
                </c:pt>
                <c:pt idx="7">
                  <c:v>35.344499999999996</c:v>
                </c:pt>
                <c:pt idx="8">
                  <c:v>34.7226</c:v>
                </c:pt>
                <c:pt idx="9">
                  <c:v>34.681600000000003</c:v>
                </c:pt>
                <c:pt idx="10">
                  <c:v>36.709699999999998</c:v>
                </c:pt>
                <c:pt idx="11">
                  <c:v>41.321599999999997</c:v>
                </c:pt>
                <c:pt idx="12">
                  <c:v>49.101599999999998</c:v>
                </c:pt>
                <c:pt idx="13">
                  <c:v>60.338200000000001</c:v>
                </c:pt>
                <c:pt idx="14">
                  <c:v>75.073999999999998</c:v>
                </c:pt>
                <c:pt idx="15">
                  <c:v>92.748400000000004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99.582899999999995</c:v>
                </c:pt>
                <c:pt idx="42">
                  <c:v>98.917900000000003</c:v>
                </c:pt>
                <c:pt idx="43">
                  <c:v>98.252799999999993</c:v>
                </c:pt>
                <c:pt idx="44">
                  <c:v>97.587699999999998</c:v>
                </c:pt>
                <c:pt idx="45">
                  <c:v>96.922600000000003</c:v>
                </c:pt>
                <c:pt idx="46">
                  <c:v>96.257599999999996</c:v>
                </c:pt>
                <c:pt idx="47">
                  <c:v>95.592500000000001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42C-4341-BB9E-87E08A06D636}"/>
            </c:ext>
          </c:extLst>
        </c:ser>
        <c:ser>
          <c:idx val="40"/>
          <c:order val="40"/>
          <c:tx>
            <c:v>BES_TR3_two308_A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SOC_pct!$AQ$2:$AQ$49</c:f>
              <c:numCache>
                <c:formatCode>0.0</c:formatCode>
                <c:ptCount val="48"/>
                <c:pt idx="0">
                  <c:v>40</c:v>
                </c:pt>
                <c:pt idx="1">
                  <c:v>31.9831</c:v>
                </c:pt>
                <c:pt idx="2">
                  <c:v>31.355699999999999</c:v>
                </c:pt>
                <c:pt idx="3">
                  <c:v>30.728300000000001</c:v>
                </c:pt>
                <c:pt idx="4">
                  <c:v>30.100899999999999</c:v>
                </c:pt>
                <c:pt idx="5">
                  <c:v>29.473400000000002</c:v>
                </c:pt>
                <c:pt idx="6">
                  <c:v>28.846</c:v>
                </c:pt>
                <c:pt idx="7">
                  <c:v>28.218599999999999</c:v>
                </c:pt>
                <c:pt idx="8">
                  <c:v>27.6235</c:v>
                </c:pt>
                <c:pt idx="9">
                  <c:v>27.464200000000002</c:v>
                </c:pt>
                <c:pt idx="10">
                  <c:v>28.869499999999999</c:v>
                </c:pt>
                <c:pt idx="11">
                  <c:v>32.212600000000002</c:v>
                </c:pt>
                <c:pt idx="12">
                  <c:v>37.931800000000003</c:v>
                </c:pt>
                <c:pt idx="13">
                  <c:v>46.243600000000001</c:v>
                </c:pt>
                <c:pt idx="14">
                  <c:v>57.179699999999997</c:v>
                </c:pt>
                <c:pt idx="15">
                  <c:v>70.726500000000001</c:v>
                </c:pt>
                <c:pt idx="16">
                  <c:v>86.887900000000002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99.558599999999998</c:v>
                </c:pt>
                <c:pt idx="42">
                  <c:v>96.330100000000002</c:v>
                </c:pt>
                <c:pt idx="43">
                  <c:v>92.88</c:v>
                </c:pt>
                <c:pt idx="44">
                  <c:v>88.380099999999999</c:v>
                </c:pt>
                <c:pt idx="45">
                  <c:v>87.752600000000001</c:v>
                </c:pt>
                <c:pt idx="46">
                  <c:v>87.125200000000007</c:v>
                </c:pt>
                <c:pt idx="47">
                  <c:v>86.497799999999998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42C-4341-BB9E-87E08A06D636}"/>
            </c:ext>
          </c:extLst>
        </c:ser>
        <c:ser>
          <c:idx val="41"/>
          <c:order val="41"/>
          <c:tx>
            <c:v>BES_TR3_two313_C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SOC_pct!$AR$2:$AR$49</c:f>
              <c:numCache>
                <c:formatCode>0.0</c:formatCode>
                <c:ptCount val="48"/>
                <c:pt idx="0">
                  <c:v>40</c:v>
                </c:pt>
                <c:pt idx="1">
                  <c:v>39.334899999999998</c:v>
                </c:pt>
                <c:pt idx="2">
                  <c:v>38.669899999999998</c:v>
                </c:pt>
                <c:pt idx="3">
                  <c:v>38.004800000000003</c:v>
                </c:pt>
                <c:pt idx="4">
                  <c:v>37.339700000000001</c:v>
                </c:pt>
                <c:pt idx="5">
                  <c:v>36.674599999999998</c:v>
                </c:pt>
                <c:pt idx="6">
                  <c:v>36.009600000000013</c:v>
                </c:pt>
                <c:pt idx="7">
                  <c:v>35.344499999999996</c:v>
                </c:pt>
                <c:pt idx="8">
                  <c:v>34.706400000000002</c:v>
                </c:pt>
                <c:pt idx="9">
                  <c:v>34.431399999999996</c:v>
                </c:pt>
                <c:pt idx="10">
                  <c:v>35.474499999999999</c:v>
                </c:pt>
                <c:pt idx="11">
                  <c:v>38.132399999999997</c:v>
                </c:pt>
                <c:pt idx="12">
                  <c:v>42.770499999999998</c:v>
                </c:pt>
                <c:pt idx="13">
                  <c:v>49.568899999999999</c:v>
                </c:pt>
                <c:pt idx="14">
                  <c:v>58.554299999999998</c:v>
                </c:pt>
                <c:pt idx="15">
                  <c:v>69.715400000000002</c:v>
                </c:pt>
                <c:pt idx="16">
                  <c:v>83.055199999999999</c:v>
                </c:pt>
                <c:pt idx="17">
                  <c:v>98.440000000000012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98.651799999999994</c:v>
                </c:pt>
                <c:pt idx="40">
                  <c:v>93.861699999999999</c:v>
                </c:pt>
                <c:pt idx="41">
                  <c:v>88.255499999999998</c:v>
                </c:pt>
                <c:pt idx="42">
                  <c:v>82.714200000000005</c:v>
                </c:pt>
                <c:pt idx="43">
                  <c:v>73.470699999999994</c:v>
                </c:pt>
                <c:pt idx="44">
                  <c:v>69.141900000000007</c:v>
                </c:pt>
                <c:pt idx="45">
                  <c:v>65.402600000000007</c:v>
                </c:pt>
                <c:pt idx="46">
                  <c:v>61.042399999999986</c:v>
                </c:pt>
                <c:pt idx="47">
                  <c:v>60.377299999999998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42C-4341-BB9E-87E08A06D636}"/>
            </c:ext>
          </c:extLst>
        </c:ser>
        <c:ser>
          <c:idx val="42"/>
          <c:order val="42"/>
          <c:tx>
            <c:v>BES_TR3_two137_B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SOC_pct!$AS$2:$AS$49</c:f>
              <c:numCache>
                <c:formatCode>0.0</c:formatCode>
                <c:ptCount val="48"/>
                <c:pt idx="0">
                  <c:v>40</c:v>
                </c:pt>
                <c:pt idx="1">
                  <c:v>33.073399999999999</c:v>
                </c:pt>
                <c:pt idx="2">
                  <c:v>26.377199999999998</c:v>
                </c:pt>
                <c:pt idx="3">
                  <c:v>25.384899999999998</c:v>
                </c:pt>
                <c:pt idx="4">
                  <c:v>24.315999999999999</c:v>
                </c:pt>
                <c:pt idx="5">
                  <c:v>23.726299999999998</c:v>
                </c:pt>
                <c:pt idx="6">
                  <c:v>21.669499999999999</c:v>
                </c:pt>
                <c:pt idx="7">
                  <c:v>20.279499999999999</c:v>
                </c:pt>
                <c:pt idx="8">
                  <c:v>18.0974</c:v>
                </c:pt>
                <c:pt idx="9">
                  <c:v>18.204799999999999</c:v>
                </c:pt>
                <c:pt idx="10">
                  <c:v>19.092099999999999</c:v>
                </c:pt>
                <c:pt idx="11">
                  <c:v>21.813300000000002</c:v>
                </c:pt>
                <c:pt idx="12">
                  <c:v>28.7606</c:v>
                </c:pt>
                <c:pt idx="13">
                  <c:v>38.512300000000003</c:v>
                </c:pt>
                <c:pt idx="14">
                  <c:v>49.284999999999997</c:v>
                </c:pt>
                <c:pt idx="15">
                  <c:v>65.364500000000007</c:v>
                </c:pt>
                <c:pt idx="16">
                  <c:v>83.627300000000005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97.757499999999993</c:v>
                </c:pt>
                <c:pt idx="42">
                  <c:v>96.902699999999996</c:v>
                </c:pt>
                <c:pt idx="43">
                  <c:v>92.657499999999999</c:v>
                </c:pt>
                <c:pt idx="44">
                  <c:v>89.376300000000001</c:v>
                </c:pt>
                <c:pt idx="45">
                  <c:v>83.429699999999997</c:v>
                </c:pt>
                <c:pt idx="46">
                  <c:v>74.020300000000006</c:v>
                </c:pt>
                <c:pt idx="47">
                  <c:v>68.873800000000003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42C-4341-BB9E-87E08A06D636}"/>
            </c:ext>
          </c:extLst>
        </c:ser>
        <c:ser>
          <c:idx val="43"/>
          <c:order val="43"/>
          <c:tx>
            <c:v>BES_TR3_two316_A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SOC_pct!$AT$2:$AT$49</c:f>
              <c:numCache>
                <c:formatCode>0.0</c:formatCode>
                <c:ptCount val="48"/>
                <c:pt idx="0">
                  <c:v>40</c:v>
                </c:pt>
                <c:pt idx="1">
                  <c:v>31.430399999999999</c:v>
                </c:pt>
                <c:pt idx="2">
                  <c:v>29.565100000000001</c:v>
                </c:pt>
                <c:pt idx="3">
                  <c:v>27.766400000000001</c:v>
                </c:pt>
                <c:pt idx="4">
                  <c:v>27.088799999999999</c:v>
                </c:pt>
                <c:pt idx="5">
                  <c:v>26.411200000000001</c:v>
                </c:pt>
                <c:pt idx="6">
                  <c:v>24.6126</c:v>
                </c:pt>
                <c:pt idx="7">
                  <c:v>23.934999999999999</c:v>
                </c:pt>
                <c:pt idx="8">
                  <c:v>22.729199999999999</c:v>
                </c:pt>
                <c:pt idx="9">
                  <c:v>21.959199999999999</c:v>
                </c:pt>
                <c:pt idx="10">
                  <c:v>23.319299999999998</c:v>
                </c:pt>
                <c:pt idx="11">
                  <c:v>25.6083</c:v>
                </c:pt>
                <c:pt idx="12">
                  <c:v>31.282299999999999</c:v>
                </c:pt>
                <c:pt idx="13">
                  <c:v>38.7562</c:v>
                </c:pt>
                <c:pt idx="14">
                  <c:v>49.430900000000001</c:v>
                </c:pt>
                <c:pt idx="15">
                  <c:v>62.932600000000008</c:v>
                </c:pt>
                <c:pt idx="16">
                  <c:v>79.0488</c:v>
                </c:pt>
                <c:pt idx="17">
                  <c:v>96.2988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95.31110000000001</c:v>
                </c:pt>
                <c:pt idx="41">
                  <c:v>91.514499999999998</c:v>
                </c:pt>
                <c:pt idx="42">
                  <c:v>86.060299999999998</c:v>
                </c:pt>
                <c:pt idx="43">
                  <c:v>76.907899999999998</c:v>
                </c:pt>
                <c:pt idx="44">
                  <c:v>69.851700000000008</c:v>
                </c:pt>
                <c:pt idx="45">
                  <c:v>61.419400000000003</c:v>
                </c:pt>
                <c:pt idx="46">
                  <c:v>54.000400000000013</c:v>
                </c:pt>
                <c:pt idx="47">
                  <c:v>47.64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42C-4341-BB9E-87E08A06D636}"/>
            </c:ext>
          </c:extLst>
        </c:ser>
        <c:ser>
          <c:idx val="44"/>
          <c:order val="44"/>
          <c:tx>
            <c:v>BES_TR3_two339_A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SOC_pct!$AU$2:$AU$49</c:f>
              <c:numCache>
                <c:formatCode>0.0</c:formatCode>
                <c:ptCount val="48"/>
                <c:pt idx="0">
                  <c:v>40</c:v>
                </c:pt>
                <c:pt idx="1">
                  <c:v>30.792899999999999</c:v>
                </c:pt>
                <c:pt idx="2">
                  <c:v>25.2944</c:v>
                </c:pt>
                <c:pt idx="3">
                  <c:v>14.8607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12.7118</c:v>
                </c:pt>
                <c:pt idx="12">
                  <c:v>17.2745</c:v>
                </c:pt>
                <c:pt idx="13">
                  <c:v>26.310600000000001</c:v>
                </c:pt>
                <c:pt idx="14">
                  <c:v>37.880899999999997</c:v>
                </c:pt>
                <c:pt idx="15">
                  <c:v>51.566000000000003</c:v>
                </c:pt>
                <c:pt idx="16">
                  <c:v>69.457800000000006</c:v>
                </c:pt>
                <c:pt idx="17">
                  <c:v>90.299399999999991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99.641100000000009</c:v>
                </c:pt>
                <c:pt idx="40">
                  <c:v>92.035299999999992</c:v>
                </c:pt>
                <c:pt idx="41">
                  <c:v>80.562599999999989</c:v>
                </c:pt>
                <c:pt idx="42">
                  <c:v>72.725099999999998</c:v>
                </c:pt>
                <c:pt idx="43">
                  <c:v>66.510000000000005</c:v>
                </c:pt>
                <c:pt idx="44">
                  <c:v>60.603099999999998</c:v>
                </c:pt>
                <c:pt idx="45">
                  <c:v>45.8964</c:v>
                </c:pt>
                <c:pt idx="46">
                  <c:v>39.826899999999988</c:v>
                </c:pt>
                <c:pt idx="47">
                  <c:v>30.256699999999999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42C-4341-BB9E-87E08A06D636}"/>
            </c:ext>
          </c:extLst>
        </c:ser>
        <c:ser>
          <c:idx val="45"/>
          <c:order val="45"/>
          <c:tx>
            <c:v>BES_TR3_two149_B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SOC_pct!$AV$2:$AV$49</c:f>
              <c:numCache>
                <c:formatCode>0.0</c:formatCode>
                <c:ptCount val="48"/>
                <c:pt idx="0">
                  <c:v>40</c:v>
                </c:pt>
                <c:pt idx="1">
                  <c:v>38.720199999999998</c:v>
                </c:pt>
                <c:pt idx="2">
                  <c:v>37.044199999999996</c:v>
                </c:pt>
                <c:pt idx="3">
                  <c:v>35.152200000000001</c:v>
                </c:pt>
                <c:pt idx="4">
                  <c:v>34.524700000000003</c:v>
                </c:pt>
                <c:pt idx="5">
                  <c:v>31.584199999999999</c:v>
                </c:pt>
                <c:pt idx="6">
                  <c:v>30.956700000000001</c:v>
                </c:pt>
                <c:pt idx="7">
                  <c:v>30.3293</c:v>
                </c:pt>
                <c:pt idx="8">
                  <c:v>28.760999999999999</c:v>
                </c:pt>
                <c:pt idx="9">
                  <c:v>27.345199999999998</c:v>
                </c:pt>
                <c:pt idx="10">
                  <c:v>29.078800000000001</c:v>
                </c:pt>
                <c:pt idx="11">
                  <c:v>32.1295</c:v>
                </c:pt>
                <c:pt idx="12">
                  <c:v>37.904700000000012</c:v>
                </c:pt>
                <c:pt idx="13">
                  <c:v>47.548999999999999</c:v>
                </c:pt>
                <c:pt idx="14">
                  <c:v>58.613599999999998</c:v>
                </c:pt>
                <c:pt idx="15">
                  <c:v>74.218800000000002</c:v>
                </c:pt>
                <c:pt idx="16">
                  <c:v>92.972200000000001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97.765699999999995</c:v>
                </c:pt>
                <c:pt idx="42">
                  <c:v>97.138300000000001</c:v>
                </c:pt>
                <c:pt idx="43">
                  <c:v>96.510899999999992</c:v>
                </c:pt>
                <c:pt idx="44">
                  <c:v>91.780600000000007</c:v>
                </c:pt>
                <c:pt idx="45">
                  <c:v>88.895499999999998</c:v>
                </c:pt>
                <c:pt idx="46">
                  <c:v>85.687299999999993</c:v>
                </c:pt>
                <c:pt idx="47">
                  <c:v>80.807400000000001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42C-4341-BB9E-87E08A06D636}"/>
            </c:ext>
          </c:extLst>
        </c:ser>
        <c:ser>
          <c:idx val="46"/>
          <c:order val="46"/>
          <c:tx>
            <c:v>BES_TR3_two225_C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SOC_pct!$AW$2:$AW$49</c:f>
              <c:numCache>
                <c:formatCode>0.0</c:formatCode>
                <c:ptCount val="48"/>
                <c:pt idx="0">
                  <c:v>40</c:v>
                </c:pt>
                <c:pt idx="1">
                  <c:v>37.9878</c:v>
                </c:pt>
                <c:pt idx="2">
                  <c:v>36.155099999999997</c:v>
                </c:pt>
                <c:pt idx="3">
                  <c:v>34.908999999999999</c:v>
                </c:pt>
                <c:pt idx="4">
                  <c:v>31.817299999999999</c:v>
                </c:pt>
                <c:pt idx="5">
                  <c:v>29.952500000000001</c:v>
                </c:pt>
                <c:pt idx="6">
                  <c:v>26.860800000000001</c:v>
                </c:pt>
                <c:pt idx="7">
                  <c:v>26.2334</c:v>
                </c:pt>
                <c:pt idx="8">
                  <c:v>25.134599999999999</c:v>
                </c:pt>
                <c:pt idx="9">
                  <c:v>23.1966</c:v>
                </c:pt>
                <c:pt idx="10">
                  <c:v>22.442299999999999</c:v>
                </c:pt>
                <c:pt idx="11">
                  <c:v>23.722200000000001</c:v>
                </c:pt>
                <c:pt idx="12">
                  <c:v>25.410699999999999</c:v>
                </c:pt>
                <c:pt idx="13">
                  <c:v>30.128699999999998</c:v>
                </c:pt>
                <c:pt idx="14">
                  <c:v>37.231200000000001</c:v>
                </c:pt>
                <c:pt idx="15">
                  <c:v>43.692799999999998</c:v>
                </c:pt>
                <c:pt idx="16">
                  <c:v>54.278899999999993</c:v>
                </c:pt>
                <c:pt idx="17">
                  <c:v>54.8322</c:v>
                </c:pt>
                <c:pt idx="18">
                  <c:v>67.138099999999994</c:v>
                </c:pt>
                <c:pt idx="19">
                  <c:v>81.109200000000001</c:v>
                </c:pt>
                <c:pt idx="20">
                  <c:v>95.273699999999991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97.294700000000006</c:v>
                </c:pt>
                <c:pt idx="31">
                  <c:v>70.912499999999994</c:v>
                </c:pt>
                <c:pt idx="32">
                  <c:v>54.1492</c:v>
                </c:pt>
                <c:pt idx="33">
                  <c:v>61.110300000000002</c:v>
                </c:pt>
                <c:pt idx="34">
                  <c:v>68.780900000000003</c:v>
                </c:pt>
                <c:pt idx="35">
                  <c:v>74.413399999999996</c:v>
                </c:pt>
                <c:pt idx="36">
                  <c:v>72.193700000000007</c:v>
                </c:pt>
                <c:pt idx="37">
                  <c:v>72.185200000000009</c:v>
                </c:pt>
                <c:pt idx="38">
                  <c:v>71.867800000000003</c:v>
                </c:pt>
                <c:pt idx="39">
                  <c:v>70.438199999999995</c:v>
                </c:pt>
                <c:pt idx="40">
                  <c:v>64.007099999999994</c:v>
                </c:pt>
                <c:pt idx="41">
                  <c:v>60.044299999999993</c:v>
                </c:pt>
                <c:pt idx="42">
                  <c:v>56.046199999999999</c:v>
                </c:pt>
                <c:pt idx="43">
                  <c:v>49.863999999999997</c:v>
                </c:pt>
                <c:pt idx="44">
                  <c:v>44.845700000000001</c:v>
                </c:pt>
                <c:pt idx="45">
                  <c:v>39.508899999999997</c:v>
                </c:pt>
                <c:pt idx="46">
                  <c:v>34.155200000000001</c:v>
                </c:pt>
                <c:pt idx="47">
                  <c:v>33.527700000000003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42C-4341-BB9E-87E08A06D636}"/>
            </c:ext>
          </c:extLst>
        </c:ser>
        <c:ser>
          <c:idx val="47"/>
          <c:order val="47"/>
          <c:tx>
            <c:v>BES_TR3_two229_A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SOC_pct!$AX$2:$AX$49</c:f>
              <c:numCache>
                <c:formatCode>0.0</c:formatCode>
                <c:ptCount val="48"/>
                <c:pt idx="0">
                  <c:v>40</c:v>
                </c:pt>
                <c:pt idx="1">
                  <c:v>38.330500000000001</c:v>
                </c:pt>
                <c:pt idx="2">
                  <c:v>36.1646</c:v>
                </c:pt>
                <c:pt idx="3">
                  <c:v>34.8658</c:v>
                </c:pt>
                <c:pt idx="4">
                  <c:v>33.737900000000003</c:v>
                </c:pt>
                <c:pt idx="5">
                  <c:v>31.1159</c:v>
                </c:pt>
                <c:pt idx="6">
                  <c:v>29.303999999999998</c:v>
                </c:pt>
                <c:pt idx="7">
                  <c:v>28.6891</c:v>
                </c:pt>
                <c:pt idx="8">
                  <c:v>26.4483</c:v>
                </c:pt>
                <c:pt idx="9">
                  <c:v>24.505500000000001</c:v>
                </c:pt>
                <c:pt idx="10">
                  <c:v>24.163900000000002</c:v>
                </c:pt>
                <c:pt idx="11">
                  <c:v>24.497</c:v>
                </c:pt>
                <c:pt idx="12">
                  <c:v>26.392900000000001</c:v>
                </c:pt>
                <c:pt idx="13">
                  <c:v>29.893000000000001</c:v>
                </c:pt>
                <c:pt idx="14">
                  <c:v>33.776200000000003</c:v>
                </c:pt>
                <c:pt idx="15">
                  <c:v>38.708500000000001</c:v>
                </c:pt>
                <c:pt idx="16">
                  <c:v>46.025500000000001</c:v>
                </c:pt>
                <c:pt idx="17">
                  <c:v>53.646599999999999</c:v>
                </c:pt>
                <c:pt idx="18">
                  <c:v>62.728700000000003</c:v>
                </c:pt>
                <c:pt idx="19">
                  <c:v>71.962499999999991</c:v>
                </c:pt>
                <c:pt idx="20">
                  <c:v>82.300399999999996</c:v>
                </c:pt>
                <c:pt idx="21">
                  <c:v>91.083199999999991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83.688000000000002</c:v>
                </c:pt>
                <c:pt idx="39">
                  <c:v>73.899900000000002</c:v>
                </c:pt>
                <c:pt idx="40">
                  <c:v>72.072099999999992</c:v>
                </c:pt>
                <c:pt idx="41">
                  <c:v>67.920199999999994</c:v>
                </c:pt>
                <c:pt idx="42">
                  <c:v>63.0336</c:v>
                </c:pt>
                <c:pt idx="43">
                  <c:v>55.810800000000008</c:v>
                </c:pt>
                <c:pt idx="44">
                  <c:v>46.172999999999988</c:v>
                </c:pt>
                <c:pt idx="45">
                  <c:v>24.8233</c:v>
                </c:pt>
                <c:pt idx="46">
                  <c:v>14.869199999999999</c:v>
                </c:pt>
                <c:pt idx="47">
                  <c:v>11.568899999999999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42C-4341-BB9E-87E08A06D636}"/>
            </c:ext>
          </c:extLst>
        </c:ser>
        <c:ser>
          <c:idx val="48"/>
          <c:order val="48"/>
          <c:tx>
            <c:v>BES_TR3_two242_B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SOC_pct!$AY$2:$AY$49</c:f>
              <c:numCache>
                <c:formatCode>0.0</c:formatCode>
                <c:ptCount val="48"/>
                <c:pt idx="0">
                  <c:v>40</c:v>
                </c:pt>
                <c:pt idx="1">
                  <c:v>30.3552</c:v>
                </c:pt>
                <c:pt idx="2">
                  <c:v>28.981300000000001</c:v>
                </c:pt>
                <c:pt idx="3">
                  <c:v>26.255800000000001</c:v>
                </c:pt>
                <c:pt idx="4">
                  <c:v>24.881799999999998</c:v>
                </c:pt>
                <c:pt idx="5">
                  <c:v>24.467700000000001</c:v>
                </c:pt>
                <c:pt idx="6">
                  <c:v>23.093800000000002</c:v>
                </c:pt>
                <c:pt idx="7">
                  <c:v>22.3645</c:v>
                </c:pt>
                <c:pt idx="8">
                  <c:v>19.9758</c:v>
                </c:pt>
                <c:pt idx="9">
                  <c:v>19.127199999999998</c:v>
                </c:pt>
                <c:pt idx="10">
                  <c:v>17.962800000000001</c:v>
                </c:pt>
                <c:pt idx="11">
                  <c:v>19.9116</c:v>
                </c:pt>
                <c:pt idx="12">
                  <c:v>22.8644</c:v>
                </c:pt>
                <c:pt idx="13">
                  <c:v>26.328900000000001</c:v>
                </c:pt>
                <c:pt idx="14">
                  <c:v>33.335500000000003</c:v>
                </c:pt>
                <c:pt idx="15">
                  <c:v>39.903399999999998</c:v>
                </c:pt>
                <c:pt idx="16">
                  <c:v>50.4923</c:v>
                </c:pt>
                <c:pt idx="17">
                  <c:v>60.907699999999998</c:v>
                </c:pt>
                <c:pt idx="18">
                  <c:v>72.435299999999998</c:v>
                </c:pt>
                <c:pt idx="19">
                  <c:v>87.024900000000002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95.774499999999989</c:v>
                </c:pt>
                <c:pt idx="40">
                  <c:v>78.388000000000005</c:v>
                </c:pt>
                <c:pt idx="41">
                  <c:v>61.656200000000013</c:v>
                </c:pt>
                <c:pt idx="42">
                  <c:v>56.451300000000003</c:v>
                </c:pt>
                <c:pt idx="43">
                  <c:v>53.9011</c:v>
                </c:pt>
                <c:pt idx="44">
                  <c:v>48.853299999999997</c:v>
                </c:pt>
                <c:pt idx="45">
                  <c:v>45.500900000000001</c:v>
                </c:pt>
                <c:pt idx="46">
                  <c:v>38.720999999999997</c:v>
                </c:pt>
                <c:pt idx="47">
                  <c:v>32.232199999999999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42C-4341-BB9E-87E08A06D636}"/>
            </c:ext>
          </c:extLst>
        </c:ser>
        <c:ser>
          <c:idx val="49"/>
          <c:order val="49"/>
          <c:tx>
            <c:v>SOC max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ChartData!$AF$2:$AF$49</c:f>
              <c:numCache>
                <c:formatCode>0.0</c:formatCode>
                <c:ptCount val="4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42C-4341-BB9E-87E08A06D636}"/>
            </c:ext>
          </c:extLst>
        </c:ser>
        <c:ser>
          <c:idx val="50"/>
          <c:order val="50"/>
          <c:tx>
            <c:v>fleet-average SOC</c:v>
          </c:tx>
          <c:spPr>
            <a:ln w="28575">
              <a:solidFill>
                <a:srgbClr val="167A68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ChartData!$AG$2:$AG$49</c:f>
              <c:numCache>
                <c:formatCode>0.0</c:formatCode>
                <c:ptCount val="48"/>
                <c:pt idx="0">
                  <c:v>40</c:v>
                </c:pt>
                <c:pt idx="1">
                  <c:v>37.633279591836732</c:v>
                </c:pt>
                <c:pt idx="2">
                  <c:v>35.378414285714292</c:v>
                </c:pt>
                <c:pt idx="3">
                  <c:v>33.581959183673462</c:v>
                </c:pt>
                <c:pt idx="4">
                  <c:v>31.928912244897951</c:v>
                </c:pt>
                <c:pt idx="5">
                  <c:v>30.459697959183675</c:v>
                </c:pt>
                <c:pt idx="6">
                  <c:v>29.222646938775522</c:v>
                </c:pt>
                <c:pt idx="7">
                  <c:v>27.93054081632652</c:v>
                </c:pt>
                <c:pt idx="8">
                  <c:v>26.571010204081634</c:v>
                </c:pt>
                <c:pt idx="9">
                  <c:v>25.7356387755102</c:v>
                </c:pt>
                <c:pt idx="10">
                  <c:v>26.319591836734695</c:v>
                </c:pt>
                <c:pt idx="11">
                  <c:v>29.198575510204076</c:v>
                </c:pt>
                <c:pt idx="12">
                  <c:v>34.910542857142865</c:v>
                </c:pt>
                <c:pt idx="13">
                  <c:v>42.970181632653059</c:v>
                </c:pt>
                <c:pt idx="14">
                  <c:v>54.289728571428554</c:v>
                </c:pt>
                <c:pt idx="15">
                  <c:v>67.285818367346934</c:v>
                </c:pt>
                <c:pt idx="16">
                  <c:v>81.696265306122456</c:v>
                </c:pt>
                <c:pt idx="17">
                  <c:v>89.119316326530623</c:v>
                </c:pt>
                <c:pt idx="18">
                  <c:v>93.866087755102043</c:v>
                </c:pt>
                <c:pt idx="19">
                  <c:v>96.927042857142851</c:v>
                </c:pt>
                <c:pt idx="20">
                  <c:v>98.938975510204074</c:v>
                </c:pt>
                <c:pt idx="21">
                  <c:v>99.561251020408164</c:v>
                </c:pt>
                <c:pt idx="22">
                  <c:v>99.964902040816327</c:v>
                </c:pt>
                <c:pt idx="23">
                  <c:v>99.81352448979591</c:v>
                </c:pt>
                <c:pt idx="24">
                  <c:v>99.889226530612248</c:v>
                </c:pt>
                <c:pt idx="25">
                  <c:v>100</c:v>
                </c:pt>
                <c:pt idx="26">
                  <c:v>100</c:v>
                </c:pt>
                <c:pt idx="27">
                  <c:v>99.79785102040816</c:v>
                </c:pt>
                <c:pt idx="28">
                  <c:v>99.955077551020423</c:v>
                </c:pt>
                <c:pt idx="29">
                  <c:v>99.923212244897954</c:v>
                </c:pt>
                <c:pt idx="30">
                  <c:v>99.944789795918382</c:v>
                </c:pt>
                <c:pt idx="31">
                  <c:v>98.995536734693886</c:v>
                </c:pt>
                <c:pt idx="32">
                  <c:v>98.614867346938766</c:v>
                </c:pt>
                <c:pt idx="33">
                  <c:v>99.092204081632659</c:v>
                </c:pt>
                <c:pt idx="34">
                  <c:v>98.529061224489794</c:v>
                </c:pt>
                <c:pt idx="35">
                  <c:v>98.42582040816329</c:v>
                </c:pt>
                <c:pt idx="36">
                  <c:v>98.005320408163257</c:v>
                </c:pt>
                <c:pt idx="37">
                  <c:v>97.260483673469381</c:v>
                </c:pt>
                <c:pt idx="38">
                  <c:v>95.465448979591855</c:v>
                </c:pt>
                <c:pt idx="39">
                  <c:v>94.356675510204084</c:v>
                </c:pt>
                <c:pt idx="40">
                  <c:v>89.377702040816317</c:v>
                </c:pt>
                <c:pt idx="41">
                  <c:v>83.77491224489799</c:v>
                </c:pt>
                <c:pt idx="42">
                  <c:v>77.756263265306131</c:v>
                </c:pt>
                <c:pt idx="43">
                  <c:v>71.209075510204073</c:v>
                </c:pt>
                <c:pt idx="44">
                  <c:v>65.531736734693894</c:v>
                </c:pt>
                <c:pt idx="45">
                  <c:v>58.81475714285714</c:v>
                </c:pt>
                <c:pt idx="46">
                  <c:v>53.59365102040816</c:v>
                </c:pt>
                <c:pt idx="47">
                  <c:v>49.274646938775511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42C-4341-BB9E-87E08A06D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112"/>
          <c:min val="0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SOC (%)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75"/>
              <a:t>Net result per prosumer -  TR3   (+ import / - export)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BES_TR3_one195_C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Net_kW!$C$2:$C$49</c:f>
              <c:numCache>
                <c:formatCode>#,##0.000</c:formatCode>
                <c:ptCount val="48"/>
                <c:pt idx="0">
                  <c:v>-3.4533333333300331E-4</c:v>
                </c:pt>
                <c:pt idx="1">
                  <c:v>1.3199999999996551E-4</c:v>
                </c:pt>
                <c:pt idx="2">
                  <c:v>1.2533333333339389E-4</c:v>
                </c:pt>
                <c:pt idx="3">
                  <c:v>4.726666666670098E-4</c:v>
                </c:pt>
                <c:pt idx="4">
                  <c:v>1.916666666669786E-4</c:v>
                </c:pt>
                <c:pt idx="5">
                  <c:v>2.8933333333300282E-4</c:v>
                </c:pt>
                <c:pt idx="6">
                  <c:v>3.3966666666701562E-4</c:v>
                </c:pt>
                <c:pt idx="7">
                  <c:v>4.0852986666634061E-4</c:v>
                </c:pt>
                <c:pt idx="8">
                  <c:v>-2.3315920000019361E-4</c:v>
                </c:pt>
                <c:pt idx="9">
                  <c:v>1.4110946666699711E-4</c:v>
                </c:pt>
                <c:pt idx="10">
                  <c:v>-4.7628826666801238E-4</c:v>
                </c:pt>
                <c:pt idx="11">
                  <c:v>3.540234666680186E-4</c:v>
                </c:pt>
                <c:pt idx="12">
                  <c:v>-2.8825933333509468E-4</c:v>
                </c:pt>
                <c:pt idx="13">
                  <c:v>-3.2516773333179932E-4</c:v>
                </c:pt>
                <c:pt idx="14">
                  <c:v>-2.1212146666726989E-4</c:v>
                </c:pt>
                <c:pt idx="15">
                  <c:v>-3.1608999999988008E-4</c:v>
                </c:pt>
                <c:pt idx="16">
                  <c:v>2.2526840000192119E-4</c:v>
                </c:pt>
                <c:pt idx="17">
                  <c:v>-1.7826693332989579E-4</c:v>
                </c:pt>
                <c:pt idx="18">
                  <c:v>-0.90210269600000192</c:v>
                </c:pt>
                <c:pt idx="19">
                  <c:v>-2.6504286727999991</c:v>
                </c:pt>
                <c:pt idx="20">
                  <c:v>-1.6526422763999979</c:v>
                </c:pt>
                <c:pt idx="21">
                  <c:v>-1.8624211211999999</c:v>
                </c:pt>
                <c:pt idx="22">
                  <c:v>-2.3010485913333381</c:v>
                </c:pt>
                <c:pt idx="23">
                  <c:v>-3.0157230421333332</c:v>
                </c:pt>
                <c:pt idx="24">
                  <c:v>-3.1812603290666681</c:v>
                </c:pt>
                <c:pt idx="25">
                  <c:v>-3.3190511053333331</c:v>
                </c:pt>
                <c:pt idx="26">
                  <c:v>-2.8686946153333328</c:v>
                </c:pt>
                <c:pt idx="27">
                  <c:v>-3.103495127466668</c:v>
                </c:pt>
                <c:pt idx="28">
                  <c:v>-2.8006008931999999</c:v>
                </c:pt>
                <c:pt idx="29">
                  <c:v>-2.6824988397333351</c:v>
                </c:pt>
                <c:pt idx="30">
                  <c:v>-2.279067828133333</c:v>
                </c:pt>
                <c:pt idx="31">
                  <c:v>-2.155797187200001</c:v>
                </c:pt>
                <c:pt idx="32">
                  <c:v>-2.007325390666665</c:v>
                </c:pt>
                <c:pt idx="33">
                  <c:v>-1.5459772729333321</c:v>
                </c:pt>
                <c:pt idx="34">
                  <c:v>-1.312624060666665</c:v>
                </c:pt>
                <c:pt idx="35">
                  <c:v>-0.86876428786666704</c:v>
                </c:pt>
                <c:pt idx="36">
                  <c:v>-0.65344093466666808</c:v>
                </c:pt>
                <c:pt idx="37">
                  <c:v>-0.21370039266666699</c:v>
                </c:pt>
                <c:pt idx="38">
                  <c:v>-1.259408106666615E-2</c:v>
                </c:pt>
                <c:pt idx="39">
                  <c:v>9.2051600000031542E-5</c:v>
                </c:pt>
                <c:pt idx="40">
                  <c:v>8.689039999931758E-5</c:v>
                </c:pt>
                <c:pt idx="41">
                  <c:v>-2.1899999999996919E-4</c:v>
                </c:pt>
                <c:pt idx="42">
                  <c:v>2.600000000008151E-5</c:v>
                </c:pt>
                <c:pt idx="43">
                  <c:v>4.2666666667079411E-5</c:v>
                </c:pt>
                <c:pt idx="44">
                  <c:v>3.9266666667003852E-4</c:v>
                </c:pt>
                <c:pt idx="45">
                  <c:v>2.1633333333404001E-4</c:v>
                </c:pt>
                <c:pt idx="46">
                  <c:v>9.5666666666965883E-5</c:v>
                </c:pt>
                <c:pt idx="47">
                  <c:v>-8.0666666667061904E-5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9D-4772-82F2-7A6AA9D4D7DF}"/>
            </c:ext>
          </c:extLst>
        </c:ser>
        <c:ser>
          <c:idx val="1"/>
          <c:order val="1"/>
          <c:tx>
            <c:v>BES_TR3_one235_A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Net_kW!$D$2:$D$49</c:f>
              <c:numCache>
                <c:formatCode>#,##0.000</c:formatCode>
                <c:ptCount val="48"/>
                <c:pt idx="0">
                  <c:v>0</c:v>
                </c:pt>
                <c:pt idx="1">
                  <c:v>1.5199999999999941E-4</c:v>
                </c:pt>
                <c:pt idx="2">
                  <c:v>-2.36000000000014E-4</c:v>
                </c:pt>
                <c:pt idx="3">
                  <c:v>-4.8199999999999632E-4</c:v>
                </c:pt>
                <c:pt idx="4">
                  <c:v>-1.20000000000009E-4</c:v>
                </c:pt>
                <c:pt idx="5">
                  <c:v>0</c:v>
                </c:pt>
                <c:pt idx="6">
                  <c:v>7.6666666667002392E-5</c:v>
                </c:pt>
                <c:pt idx="7">
                  <c:v>-8.3470133333374275E-5</c:v>
                </c:pt>
                <c:pt idx="8">
                  <c:v>4.2507466666799609E-5</c:v>
                </c:pt>
                <c:pt idx="9">
                  <c:v>8.3442800000005021E-5</c:v>
                </c:pt>
                <c:pt idx="10">
                  <c:v>-2.4195493333467599E-4</c:v>
                </c:pt>
                <c:pt idx="11">
                  <c:v>4.7769013333504029E-4</c:v>
                </c:pt>
                <c:pt idx="12">
                  <c:v>8.1407333331950937E-5</c:v>
                </c:pt>
                <c:pt idx="13">
                  <c:v>-4.4616773333183701E-4</c:v>
                </c:pt>
                <c:pt idx="14">
                  <c:v>1.7954519999996421E-4</c:v>
                </c:pt>
                <c:pt idx="15">
                  <c:v>-5.7626089999999852E-2</c:v>
                </c:pt>
                <c:pt idx="16">
                  <c:v>-2.0683633982666678</c:v>
                </c:pt>
                <c:pt idx="17">
                  <c:v>-2.3832543336000001</c:v>
                </c:pt>
                <c:pt idx="18">
                  <c:v>-2.6787897626666681</c:v>
                </c:pt>
                <c:pt idx="19">
                  <c:v>-1.975351739466666</c:v>
                </c:pt>
                <c:pt idx="20">
                  <c:v>-2.578234943066668</c:v>
                </c:pt>
                <c:pt idx="21">
                  <c:v>-2.883710454533333</c:v>
                </c:pt>
                <c:pt idx="22">
                  <c:v>-3.2499110246666678</c:v>
                </c:pt>
                <c:pt idx="23">
                  <c:v>-3.1715342754666671</c:v>
                </c:pt>
                <c:pt idx="24">
                  <c:v>-3.2632919957333351</c:v>
                </c:pt>
                <c:pt idx="25">
                  <c:v>-3.3153643386666669</c:v>
                </c:pt>
                <c:pt idx="26">
                  <c:v>-2.7645941486666659</c:v>
                </c:pt>
                <c:pt idx="27">
                  <c:v>-3.1596903274666679</c:v>
                </c:pt>
                <c:pt idx="28">
                  <c:v>-2.9201358931999999</c:v>
                </c:pt>
                <c:pt idx="29">
                  <c:v>-2.778682173066668</c:v>
                </c:pt>
                <c:pt idx="30">
                  <c:v>-2.6331284948000002</c:v>
                </c:pt>
                <c:pt idx="31">
                  <c:v>-2.3140298538666682</c:v>
                </c:pt>
                <c:pt idx="32">
                  <c:v>-2.0885433906666648</c:v>
                </c:pt>
                <c:pt idx="33">
                  <c:v>-0.70996860626666192</c:v>
                </c:pt>
                <c:pt idx="34">
                  <c:v>-4.5060666661989053E-5</c:v>
                </c:pt>
                <c:pt idx="35">
                  <c:v>-1.8195453333025299E-4</c:v>
                </c:pt>
                <c:pt idx="36">
                  <c:v>3.1065333331969918E-5</c:v>
                </c:pt>
                <c:pt idx="37">
                  <c:v>-2.6339266666708378E-4</c:v>
                </c:pt>
                <c:pt idx="38">
                  <c:v>4.1725226666683429E-4</c:v>
                </c:pt>
                <c:pt idx="39">
                  <c:v>4.971826666699819E-5</c:v>
                </c:pt>
                <c:pt idx="40">
                  <c:v>3.9622373333331179E-4</c:v>
                </c:pt>
                <c:pt idx="41">
                  <c:v>-1.159999999999495E-4</c:v>
                </c:pt>
                <c:pt idx="42">
                  <c:v>1.793333333340863E-4</c:v>
                </c:pt>
                <c:pt idx="43">
                  <c:v>4.7600000000003201E-4</c:v>
                </c:pt>
                <c:pt idx="44">
                  <c:v>2.7599999999999852E-4</c:v>
                </c:pt>
                <c:pt idx="45">
                  <c:v>3.0633333333396351E-4</c:v>
                </c:pt>
                <c:pt idx="46">
                  <c:v>0</c:v>
                </c:pt>
                <c:pt idx="47">
                  <c:v>-5.1999999999996487E-5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9D-4772-82F2-7A6AA9D4D7DF}"/>
            </c:ext>
          </c:extLst>
        </c:ser>
        <c:ser>
          <c:idx val="2"/>
          <c:order val="2"/>
          <c:tx>
            <c:v>BES_TR3_one242_B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Net_kW!$E$2:$E$49</c:f>
              <c:numCache>
                <c:formatCode>#,##0.000</c:formatCode>
                <c:ptCount val="48"/>
                <c:pt idx="0">
                  <c:v>0</c:v>
                </c:pt>
                <c:pt idx="1">
                  <c:v>-2.013333333329981E-4</c:v>
                </c:pt>
                <c:pt idx="2">
                  <c:v>2.7066666666669681E-4</c:v>
                </c:pt>
                <c:pt idx="3">
                  <c:v>-1.993333333329961E-4</c:v>
                </c:pt>
                <c:pt idx="4">
                  <c:v>3.8266666666700311E-4</c:v>
                </c:pt>
                <c:pt idx="5">
                  <c:v>-9.3999999999996864E-5</c:v>
                </c:pt>
                <c:pt idx="6">
                  <c:v>-5.999999999978245E-6</c:v>
                </c:pt>
                <c:pt idx="7">
                  <c:v>-3.6547013333368411E-4</c:v>
                </c:pt>
                <c:pt idx="8">
                  <c:v>2.348407999998581E-4</c:v>
                </c:pt>
                <c:pt idx="9">
                  <c:v>2.3644280000000709E-4</c:v>
                </c:pt>
                <c:pt idx="10">
                  <c:v>-2.2695493333502181E-4</c:v>
                </c:pt>
                <c:pt idx="11">
                  <c:v>5.4690133334978068E-5</c:v>
                </c:pt>
                <c:pt idx="12">
                  <c:v>2.380739999989778E-4</c:v>
                </c:pt>
                <c:pt idx="13">
                  <c:v>2.5883226666811859E-4</c:v>
                </c:pt>
                <c:pt idx="14">
                  <c:v>4.032118666670303E-4</c:v>
                </c:pt>
                <c:pt idx="15">
                  <c:v>3.7391000000019941E-4</c:v>
                </c:pt>
                <c:pt idx="16">
                  <c:v>-1.303570064933335</c:v>
                </c:pt>
                <c:pt idx="17">
                  <c:v>-2.3503409336000001</c:v>
                </c:pt>
                <c:pt idx="18">
                  <c:v>-1.9114553626666679</c:v>
                </c:pt>
                <c:pt idx="19">
                  <c:v>-2.2026240727999982</c:v>
                </c:pt>
                <c:pt idx="20">
                  <c:v>-2.8823139430666682</c:v>
                </c:pt>
                <c:pt idx="21">
                  <c:v>-3.0516901212</c:v>
                </c:pt>
                <c:pt idx="22">
                  <c:v>-3.199543591333335</c:v>
                </c:pt>
                <c:pt idx="23">
                  <c:v>-3.3426607088</c:v>
                </c:pt>
                <c:pt idx="24">
                  <c:v>-3.2876259957333351</c:v>
                </c:pt>
                <c:pt idx="25">
                  <c:v>-3.2269076719999998</c:v>
                </c:pt>
                <c:pt idx="26">
                  <c:v>-3.1274784819999999</c:v>
                </c:pt>
                <c:pt idx="27">
                  <c:v>-3.0320016608000011</c:v>
                </c:pt>
                <c:pt idx="28">
                  <c:v>-2.9192185598666671</c:v>
                </c:pt>
                <c:pt idx="29">
                  <c:v>-2.764566173066668</c:v>
                </c:pt>
                <c:pt idx="30">
                  <c:v>-2.6331284948000002</c:v>
                </c:pt>
                <c:pt idx="31">
                  <c:v>-2.1461225205333352</c:v>
                </c:pt>
                <c:pt idx="32">
                  <c:v>-2.0146517239999988</c:v>
                </c:pt>
                <c:pt idx="33">
                  <c:v>-1.7698946062666649</c:v>
                </c:pt>
                <c:pt idx="34">
                  <c:v>-1.3080530606666649</c:v>
                </c:pt>
                <c:pt idx="35">
                  <c:v>-1.1182156212000001</c:v>
                </c:pt>
                <c:pt idx="36">
                  <c:v>-0.76421026800000103</c:v>
                </c:pt>
                <c:pt idx="37">
                  <c:v>-0.48536805933333299</c:v>
                </c:pt>
                <c:pt idx="38">
                  <c:v>-4.8344747733333193E-2</c:v>
                </c:pt>
                <c:pt idx="39">
                  <c:v>1.3838493333301341E-4</c:v>
                </c:pt>
                <c:pt idx="40">
                  <c:v>2.228904000003418E-4</c:v>
                </c:pt>
                <c:pt idx="41">
                  <c:v>1.016666666669996E-4</c:v>
                </c:pt>
                <c:pt idx="42">
                  <c:v>-2.6266666666707739E-4</c:v>
                </c:pt>
                <c:pt idx="43">
                  <c:v>1.1466666666604119E-4</c:v>
                </c:pt>
                <c:pt idx="44">
                  <c:v>-1.333333333297659E-5</c:v>
                </c:pt>
                <c:pt idx="45">
                  <c:v>1.7666666666669989E-4</c:v>
                </c:pt>
                <c:pt idx="46">
                  <c:v>1.666666666669814E-4</c:v>
                </c:pt>
                <c:pt idx="47">
                  <c:v>-2.7399999999999652E-4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9D-4772-82F2-7A6AA9D4D7DF}"/>
            </c:ext>
          </c:extLst>
        </c:ser>
        <c:ser>
          <c:idx val="3"/>
          <c:order val="3"/>
          <c:tx>
            <c:v>BES_TR3_one252_C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Net_kW!$F$2:$F$49</c:f>
              <c:numCache>
                <c:formatCode>#,##0.000</c:formatCode>
                <c:ptCount val="48"/>
                <c:pt idx="0">
                  <c:v>4.5800000000001401E-4</c:v>
                </c:pt>
                <c:pt idx="1">
                  <c:v>-2.7399999999999652E-4</c:v>
                </c:pt>
                <c:pt idx="2">
                  <c:v>0</c:v>
                </c:pt>
                <c:pt idx="3">
                  <c:v>3.9999999999984492E-5</c:v>
                </c:pt>
                <c:pt idx="4">
                  <c:v>0</c:v>
                </c:pt>
                <c:pt idx="5">
                  <c:v>3.9999999999984492E-5</c:v>
                </c:pt>
                <c:pt idx="6">
                  <c:v>0</c:v>
                </c:pt>
                <c:pt idx="7">
                  <c:v>2.7397400000017669E-5</c:v>
                </c:pt>
                <c:pt idx="8">
                  <c:v>1.311306000000845E-4</c:v>
                </c:pt>
                <c:pt idx="9">
                  <c:v>-4.3016790000000032E-4</c:v>
                </c:pt>
                <c:pt idx="10">
                  <c:v>3.4783799998994169E-5</c:v>
                </c:pt>
                <c:pt idx="11">
                  <c:v>-3.9348239999892343E-4</c:v>
                </c:pt>
                <c:pt idx="12">
                  <c:v>1.010554999988367E-4</c:v>
                </c:pt>
                <c:pt idx="13">
                  <c:v>-3.0587579999885589E-4</c:v>
                </c:pt>
                <c:pt idx="14">
                  <c:v>4.3707556666988673E-4</c:v>
                </c:pt>
                <c:pt idx="15">
                  <c:v>-3.6156749999993743E-4</c:v>
                </c:pt>
                <c:pt idx="16">
                  <c:v>2.8295129999911239E-4</c:v>
                </c:pt>
                <c:pt idx="17">
                  <c:v>8.2533133333839714E-5</c:v>
                </c:pt>
                <c:pt idx="18">
                  <c:v>-1.1403871886666681</c:v>
                </c:pt>
                <c:pt idx="19">
                  <c:v>-0.35089288793332879</c:v>
                </c:pt>
                <c:pt idx="20">
                  <c:v>-2.2990297073000008</c:v>
                </c:pt>
                <c:pt idx="21">
                  <c:v>-2.3859558408999999</c:v>
                </c:pt>
                <c:pt idx="22">
                  <c:v>-2.3032054435000009</c:v>
                </c:pt>
                <c:pt idx="23">
                  <c:v>-2.3783850316000001</c:v>
                </c:pt>
                <c:pt idx="24">
                  <c:v>-2.3880709968000011</c:v>
                </c:pt>
                <c:pt idx="25">
                  <c:v>-2.4214815873333331</c:v>
                </c:pt>
                <c:pt idx="26">
                  <c:v>-1.1664931948333299</c:v>
                </c:pt>
                <c:pt idx="27">
                  <c:v>-1.5612407456000019</c:v>
                </c:pt>
                <c:pt idx="28">
                  <c:v>-2.075476853233333</c:v>
                </c:pt>
                <c:pt idx="29">
                  <c:v>-2.0231084964666679</c:v>
                </c:pt>
                <c:pt idx="30">
                  <c:v>-1.8459634377666669</c:v>
                </c:pt>
                <c:pt idx="31">
                  <c:v>-1.434025223733334</c:v>
                </c:pt>
                <c:pt idx="32">
                  <c:v>-1.5452727096666661</c:v>
                </c:pt>
                <c:pt idx="33">
                  <c:v>-1.281935454699999</c:v>
                </c:pt>
                <c:pt idx="34">
                  <c:v>-1.0414867954999989</c:v>
                </c:pt>
                <c:pt idx="35">
                  <c:v>-0.62591221590000012</c:v>
                </c:pt>
                <c:pt idx="36">
                  <c:v>3.3229899999875911E-4</c:v>
                </c:pt>
                <c:pt idx="37">
                  <c:v>-7.9711166669937938E-5</c:v>
                </c:pt>
                <c:pt idx="38">
                  <c:v>-4.5607999999142113E-6</c:v>
                </c:pt>
                <c:pt idx="39">
                  <c:v>4.3403870000000011E-4</c:v>
                </c:pt>
                <c:pt idx="40">
                  <c:v>1.771677999999888E-4</c:v>
                </c:pt>
                <c:pt idx="41">
                  <c:v>3.5633333333301431E-4</c:v>
                </c:pt>
                <c:pt idx="42">
                  <c:v>-1.206666666669909E-4</c:v>
                </c:pt>
                <c:pt idx="43">
                  <c:v>1.646666666669794E-4</c:v>
                </c:pt>
                <c:pt idx="44">
                  <c:v>1.2300000000003969E-4</c:v>
                </c:pt>
                <c:pt idx="45">
                  <c:v>-3.3466666666698291E-4</c:v>
                </c:pt>
                <c:pt idx="46">
                  <c:v>-2.30000000000008E-4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9D-4772-82F2-7A6AA9D4D7DF}"/>
            </c:ext>
          </c:extLst>
        </c:ser>
        <c:ser>
          <c:idx val="4"/>
          <c:order val="4"/>
          <c:tx>
            <c:v>BES_TR3_one260_C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-4.5206666666702811E-4</c:v>
                </c:pt>
                <c:pt idx="2">
                  <c:v>0</c:v>
                </c:pt>
                <c:pt idx="3">
                  <c:v>0</c:v>
                </c:pt>
                <c:pt idx="4">
                  <c:v>-1.5866666666661261E-4</c:v>
                </c:pt>
                <c:pt idx="5">
                  <c:v>3.6533333333299561E-4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2.655074666667988E-4</c:v>
                </c:pt>
                <c:pt idx="9">
                  <c:v>-3.6689053333301141E-4</c:v>
                </c:pt>
                <c:pt idx="10">
                  <c:v>-3.4028826666798739E-4</c:v>
                </c:pt>
                <c:pt idx="11">
                  <c:v>-2.9430986666489911E-4</c:v>
                </c:pt>
                <c:pt idx="12">
                  <c:v>-2.7559266666798981E-4</c:v>
                </c:pt>
                <c:pt idx="13">
                  <c:v>2.5883226666811859E-4</c:v>
                </c:pt>
                <c:pt idx="14">
                  <c:v>-2.7678813333342772E-4</c:v>
                </c:pt>
                <c:pt idx="15">
                  <c:v>-0.74310209000000005</c:v>
                </c:pt>
                <c:pt idx="16">
                  <c:v>-2.2163293982666681</c:v>
                </c:pt>
                <c:pt idx="17">
                  <c:v>-2.3694442669333329</c:v>
                </c:pt>
                <c:pt idx="18">
                  <c:v>-2.6725832960000009</c:v>
                </c:pt>
                <c:pt idx="19">
                  <c:v>-2.7991767394666649</c:v>
                </c:pt>
                <c:pt idx="20">
                  <c:v>-3.0471346097333338</c:v>
                </c:pt>
                <c:pt idx="21">
                  <c:v>-3.2251951212000001</c:v>
                </c:pt>
                <c:pt idx="22">
                  <c:v>-3.2139585913333351</c:v>
                </c:pt>
                <c:pt idx="23">
                  <c:v>-2.5032230421333339</c:v>
                </c:pt>
                <c:pt idx="24">
                  <c:v>-3.394481329066668</c:v>
                </c:pt>
                <c:pt idx="25">
                  <c:v>-3.0667236720000002</c:v>
                </c:pt>
                <c:pt idx="26">
                  <c:v>-3.1891584819999999</c:v>
                </c:pt>
                <c:pt idx="27">
                  <c:v>-2.9461276608000011</c:v>
                </c:pt>
                <c:pt idx="28">
                  <c:v>-3.0042932265333331</c:v>
                </c:pt>
                <c:pt idx="29">
                  <c:v>-2.7758818397333349</c:v>
                </c:pt>
                <c:pt idx="30">
                  <c:v>-2.3497718281333331</c:v>
                </c:pt>
                <c:pt idx="31">
                  <c:v>-2.2048011872000011</c:v>
                </c:pt>
                <c:pt idx="32">
                  <c:v>-1.7970873906666649</c:v>
                </c:pt>
                <c:pt idx="33">
                  <c:v>-1.6057949395999991</c:v>
                </c:pt>
                <c:pt idx="34">
                  <c:v>-1.4460904606666649</c:v>
                </c:pt>
                <c:pt idx="35">
                  <c:v>-0.90636695453333305</c:v>
                </c:pt>
                <c:pt idx="36">
                  <c:v>-0.55126926800000109</c:v>
                </c:pt>
                <c:pt idx="37">
                  <c:v>-0.18055472600000011</c:v>
                </c:pt>
                <c:pt idx="38">
                  <c:v>3.6691893333387632E-4</c:v>
                </c:pt>
                <c:pt idx="39">
                  <c:v>4.1771826666703321E-4</c:v>
                </c:pt>
                <c:pt idx="40">
                  <c:v>-6.3776266666676351E-5</c:v>
                </c:pt>
                <c:pt idx="41">
                  <c:v>2.5999999999970491E-5</c:v>
                </c:pt>
                <c:pt idx="42">
                  <c:v>9.9000000000071253E-5</c:v>
                </c:pt>
                <c:pt idx="43">
                  <c:v>5.6999999999973738E-5</c:v>
                </c:pt>
                <c:pt idx="44">
                  <c:v>2.206666666669799E-4</c:v>
                </c:pt>
                <c:pt idx="45">
                  <c:v>-4.916666666670011E-4</c:v>
                </c:pt>
                <c:pt idx="46">
                  <c:v>0</c:v>
                </c:pt>
                <c:pt idx="47">
                  <c:v>2.0666666666702141E-4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9D-4772-82F2-7A6AA9D4D7DF}"/>
            </c:ext>
          </c:extLst>
        </c:ser>
        <c:ser>
          <c:idx val="5"/>
          <c:order val="5"/>
          <c:tx>
            <c:v>BES_TR3_one299_B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Net_kW!$H$2:$H$49</c:f>
              <c:numCache>
                <c:formatCode>#,##0.000</c:formatCode>
                <c:ptCount val="48"/>
                <c:pt idx="0">
                  <c:v>-4.2899999999999883E-4</c:v>
                </c:pt>
                <c:pt idx="1">
                  <c:v>-3.7300000000001221E-4</c:v>
                </c:pt>
                <c:pt idx="2">
                  <c:v>-4.200000000000037E-4</c:v>
                </c:pt>
                <c:pt idx="3">
                  <c:v>-3.8099999999999939E-4</c:v>
                </c:pt>
                <c:pt idx="4">
                  <c:v>1.5900000000002021E-4</c:v>
                </c:pt>
                <c:pt idx="5">
                  <c:v>0</c:v>
                </c:pt>
                <c:pt idx="6">
                  <c:v>2.5333333333299462E-4</c:v>
                </c:pt>
                <c:pt idx="7">
                  <c:v>8.38632000003392E-5</c:v>
                </c:pt>
                <c:pt idx="8">
                  <c:v>2.6550746666679619E-4</c:v>
                </c:pt>
                <c:pt idx="9">
                  <c:v>3.8177613333298388E-4</c:v>
                </c:pt>
                <c:pt idx="10">
                  <c:v>4.8237839999898391E-4</c:v>
                </c:pt>
                <c:pt idx="11">
                  <c:v>1.420234666681397E-4</c:v>
                </c:pt>
                <c:pt idx="12">
                  <c:v>4.2807399999889029E-4</c:v>
                </c:pt>
                <c:pt idx="13">
                  <c:v>2.6749893333499752E-4</c:v>
                </c:pt>
                <c:pt idx="14">
                  <c:v>-1.48121466670148E-4</c:v>
                </c:pt>
                <c:pt idx="15">
                  <c:v>2.7391000000021037E-4</c:v>
                </c:pt>
                <c:pt idx="16">
                  <c:v>1.926840000188168E-5</c:v>
                </c:pt>
                <c:pt idx="17">
                  <c:v>-0.79899260026666585</c:v>
                </c:pt>
                <c:pt idx="18">
                  <c:v>-2.4672983626666678</c:v>
                </c:pt>
                <c:pt idx="19">
                  <c:v>-2.5996474061333319</c:v>
                </c:pt>
                <c:pt idx="20">
                  <c:v>-2.9394592764000009</c:v>
                </c:pt>
                <c:pt idx="21">
                  <c:v>-3.165137354533333</c:v>
                </c:pt>
                <c:pt idx="22">
                  <c:v>-3.0183622580000011</c:v>
                </c:pt>
                <c:pt idx="23">
                  <c:v>-3.0719443754666669</c:v>
                </c:pt>
                <c:pt idx="24">
                  <c:v>-3.300321329066668</c:v>
                </c:pt>
                <c:pt idx="25">
                  <c:v>-3.2417036719999999</c:v>
                </c:pt>
                <c:pt idx="26">
                  <c:v>-3.284158482</c:v>
                </c:pt>
                <c:pt idx="27">
                  <c:v>-3.0711743274666681</c:v>
                </c:pt>
                <c:pt idx="28">
                  <c:v>-2.8888898932</c:v>
                </c:pt>
                <c:pt idx="29">
                  <c:v>-2.7360301730666681</c:v>
                </c:pt>
                <c:pt idx="30">
                  <c:v>-2.6261284948000001</c:v>
                </c:pt>
                <c:pt idx="31">
                  <c:v>-2.1738058538666678</c:v>
                </c:pt>
                <c:pt idx="32">
                  <c:v>-2.1168000573333319</c:v>
                </c:pt>
                <c:pt idx="33">
                  <c:v>-1.7067862729333321</c:v>
                </c:pt>
                <c:pt idx="34">
                  <c:v>-1.3676253939999989</c:v>
                </c:pt>
                <c:pt idx="35">
                  <c:v>-0.97740162120000007</c:v>
                </c:pt>
                <c:pt idx="36">
                  <c:v>-0.50709160133333508</c:v>
                </c:pt>
                <c:pt idx="37">
                  <c:v>-0.25550405933333398</c:v>
                </c:pt>
                <c:pt idx="38">
                  <c:v>-1.2450081066666171E-2</c:v>
                </c:pt>
                <c:pt idx="39">
                  <c:v>1.1718266667015699E-5</c:v>
                </c:pt>
                <c:pt idx="40">
                  <c:v>-4.8777626666673962E-4</c:v>
                </c:pt>
                <c:pt idx="41">
                  <c:v>2.4033333333406401E-4</c:v>
                </c:pt>
                <c:pt idx="42">
                  <c:v>3.66666666670179E-5</c:v>
                </c:pt>
                <c:pt idx="43">
                  <c:v>-2.116666666698297E-4</c:v>
                </c:pt>
                <c:pt idx="44">
                  <c:v>2.7166666667022282E-4</c:v>
                </c:pt>
                <c:pt idx="45">
                  <c:v>2.7233333333304127E-4</c:v>
                </c:pt>
                <c:pt idx="46">
                  <c:v>1.040000000000207E-4</c:v>
                </c:pt>
                <c:pt idx="47">
                  <c:v>-1.0000000000010001E-6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9D-4772-82F2-7A6AA9D4D7DF}"/>
            </c:ext>
          </c:extLst>
        </c:ser>
        <c:ser>
          <c:idx val="6"/>
          <c:order val="6"/>
          <c:tx>
            <c:v>BES_TR3_one313_A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Net_kW!$I$2:$I$49</c:f>
              <c:numCache>
                <c:formatCode>#,##0.000</c:formatCode>
                <c:ptCount val="48"/>
                <c:pt idx="0">
                  <c:v>-2.4733333333304408E-4</c:v>
                </c:pt>
                <c:pt idx="1">
                  <c:v>0</c:v>
                </c:pt>
                <c:pt idx="2">
                  <c:v>-2.7533333333301663E-4</c:v>
                </c:pt>
                <c:pt idx="3">
                  <c:v>-1.2666666666699691E-4</c:v>
                </c:pt>
                <c:pt idx="4">
                  <c:v>-3.6699999999999228E-4</c:v>
                </c:pt>
                <c:pt idx="5">
                  <c:v>-3.6699999999999228E-4</c:v>
                </c:pt>
                <c:pt idx="6">
                  <c:v>1.4033333333299261E-4</c:v>
                </c:pt>
                <c:pt idx="7">
                  <c:v>-4.2693593333301139E-4</c:v>
                </c:pt>
                <c:pt idx="8">
                  <c:v>-2.7353606666688512E-4</c:v>
                </c:pt>
                <c:pt idx="9">
                  <c:v>3.5383210000000659E-4</c:v>
                </c:pt>
                <c:pt idx="10">
                  <c:v>-4.5054953333403808E-4</c:v>
                </c:pt>
                <c:pt idx="11">
                  <c:v>-8.2482399998973221E-5</c:v>
                </c:pt>
                <c:pt idx="12">
                  <c:v>-3.7794450000117052E-4</c:v>
                </c:pt>
                <c:pt idx="13">
                  <c:v>-3.7009133331933342E-5</c:v>
                </c:pt>
                <c:pt idx="14">
                  <c:v>2.029422333330588E-4</c:v>
                </c:pt>
                <c:pt idx="15">
                  <c:v>-3.2176750000012522E-4</c:v>
                </c:pt>
                <c:pt idx="16">
                  <c:v>3.7095129999897841E-4</c:v>
                </c:pt>
                <c:pt idx="17">
                  <c:v>4.7546646666707382E-4</c:v>
                </c:pt>
                <c:pt idx="18">
                  <c:v>-1.5136301886666681</c:v>
                </c:pt>
                <c:pt idx="19">
                  <c:v>-2.123206554599999</c:v>
                </c:pt>
                <c:pt idx="20">
                  <c:v>-2.1530230406333342</c:v>
                </c:pt>
                <c:pt idx="21">
                  <c:v>-2.2550681742333332</c:v>
                </c:pt>
                <c:pt idx="22">
                  <c:v>-2.4214154435000008</c:v>
                </c:pt>
                <c:pt idx="23">
                  <c:v>-2.3292743649333332</c:v>
                </c:pt>
                <c:pt idx="24">
                  <c:v>-2.4091164968000012</c:v>
                </c:pt>
                <c:pt idx="25">
                  <c:v>-2.3674942539999999</c:v>
                </c:pt>
                <c:pt idx="26">
                  <c:v>-2.1671118615</c:v>
                </c:pt>
                <c:pt idx="27">
                  <c:v>-2.262763412266668</c:v>
                </c:pt>
                <c:pt idx="28">
                  <c:v>-1.8411429199</c:v>
                </c:pt>
                <c:pt idx="29">
                  <c:v>-0.87298262980000096</c:v>
                </c:pt>
                <c:pt idx="30">
                  <c:v>-1.7344640377666669</c:v>
                </c:pt>
                <c:pt idx="31">
                  <c:v>-1.395776557066668</c:v>
                </c:pt>
                <c:pt idx="32">
                  <c:v>-0.56766770966666891</c:v>
                </c:pt>
                <c:pt idx="33">
                  <c:v>-0.53059345469999908</c:v>
                </c:pt>
                <c:pt idx="34">
                  <c:v>-0.69472746216666614</c:v>
                </c:pt>
                <c:pt idx="35">
                  <c:v>-0.41622421590000008</c:v>
                </c:pt>
                <c:pt idx="36">
                  <c:v>-0.39044023433333402</c:v>
                </c:pt>
                <c:pt idx="37">
                  <c:v>-0.34446944449999989</c:v>
                </c:pt>
                <c:pt idx="38">
                  <c:v>-4.4941560799999919E-2</c:v>
                </c:pt>
                <c:pt idx="39">
                  <c:v>4.7037203333299971E-4</c:v>
                </c:pt>
                <c:pt idx="40">
                  <c:v>-5.7498866666949588E-5</c:v>
                </c:pt>
                <c:pt idx="41">
                  <c:v>-1.0033333333303581E-4</c:v>
                </c:pt>
                <c:pt idx="42">
                  <c:v>-2.5700000000006268E-4</c:v>
                </c:pt>
                <c:pt idx="43">
                  <c:v>-3.5533333333404032E-4</c:v>
                </c:pt>
                <c:pt idx="44">
                  <c:v>-2.7766666666706458E-4</c:v>
                </c:pt>
                <c:pt idx="45">
                  <c:v>4.1600000000008302E-4</c:v>
                </c:pt>
                <c:pt idx="46">
                  <c:v>-1.6133333333290259E-4</c:v>
                </c:pt>
                <c:pt idx="47">
                  <c:v>-1.733333333329978E-4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9D-4772-82F2-7A6AA9D4D7DF}"/>
            </c:ext>
          </c:extLst>
        </c:ser>
        <c:ser>
          <c:idx val="7"/>
          <c:order val="7"/>
          <c:tx>
            <c:v>BES_TR3_one42_B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Net_kW!$J$2:$J$49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-6.2999999999993617E-5</c:v>
                </c:pt>
                <c:pt idx="4">
                  <c:v>-6.2999999999993617E-5</c:v>
                </c:pt>
                <c:pt idx="5">
                  <c:v>0</c:v>
                </c:pt>
                <c:pt idx="6">
                  <c:v>0</c:v>
                </c:pt>
                <c:pt idx="7">
                  <c:v>-1.070303333333342E-5</c:v>
                </c:pt>
                <c:pt idx="8">
                  <c:v>3.7031903333344113E-4</c:v>
                </c:pt>
                <c:pt idx="9">
                  <c:v>4.8413745000000508E-4</c:v>
                </c:pt>
                <c:pt idx="10">
                  <c:v>2.7824776666546258E-4</c:v>
                </c:pt>
                <c:pt idx="11">
                  <c:v>-2.0272946666544109E-4</c:v>
                </c:pt>
                <c:pt idx="12">
                  <c:v>-1.2768583334543671E-5</c:v>
                </c:pt>
                <c:pt idx="13">
                  <c:v>-6.5521766665188608E-5</c:v>
                </c:pt>
                <c:pt idx="14">
                  <c:v>2.8547705000003809E-4</c:v>
                </c:pt>
                <c:pt idx="15">
                  <c:v>-0.3988398287499999</c:v>
                </c:pt>
                <c:pt idx="16">
                  <c:v>-1.709185856816668</c:v>
                </c:pt>
                <c:pt idx="17">
                  <c:v>-2.0814729668999998</c:v>
                </c:pt>
                <c:pt idx="18">
                  <c:v>-2.2125208423333351</c:v>
                </c:pt>
                <c:pt idx="19">
                  <c:v>-2.5227738803666648</c:v>
                </c:pt>
                <c:pt idx="20">
                  <c:v>-2.6150791918500009</c:v>
                </c:pt>
                <c:pt idx="21">
                  <c:v>-2.78389198105</c:v>
                </c:pt>
                <c:pt idx="22">
                  <c:v>1.873159166662364E-4</c:v>
                </c:pt>
                <c:pt idx="23">
                  <c:v>-0.60380420353332998</c:v>
                </c:pt>
                <c:pt idx="24">
                  <c:v>-2.3756932962666681</c:v>
                </c:pt>
                <c:pt idx="25">
                  <c:v>-2.8885493963333331</c:v>
                </c:pt>
                <c:pt idx="26">
                  <c:v>-2.8034176717500001</c:v>
                </c:pt>
                <c:pt idx="27">
                  <c:v>-2.7550088698666682</c:v>
                </c:pt>
                <c:pt idx="28">
                  <c:v>-2.56372140655</c:v>
                </c:pt>
                <c:pt idx="29">
                  <c:v>-2.4603704014333352</c:v>
                </c:pt>
                <c:pt idx="30">
                  <c:v>-2.29123743295</c:v>
                </c:pt>
                <c:pt idx="31">
                  <c:v>-1.9996698721333339</c:v>
                </c:pt>
                <c:pt idx="32">
                  <c:v>-1.6571450501666649</c:v>
                </c:pt>
                <c:pt idx="33">
                  <c:v>-1.5445903638166649</c:v>
                </c:pt>
                <c:pt idx="34">
                  <c:v>-1.257908261416665</c:v>
                </c:pt>
                <c:pt idx="35">
                  <c:v>-1.0397059185499999</c:v>
                </c:pt>
                <c:pt idx="36">
                  <c:v>-0.77455231783333445</c:v>
                </c:pt>
                <c:pt idx="37">
                  <c:v>-0.44217421858333289</c:v>
                </c:pt>
                <c:pt idx="38">
                  <c:v>-0.24081798759999989</c:v>
                </c:pt>
                <c:pt idx="39">
                  <c:v>-5.1764954850000003E-2</c:v>
                </c:pt>
                <c:pt idx="40">
                  <c:v>-1.643042333333497E-4</c:v>
                </c:pt>
                <c:pt idx="41">
                  <c:v>-1.19000000000008E-4</c:v>
                </c:pt>
                <c:pt idx="42">
                  <c:v>0</c:v>
                </c:pt>
                <c:pt idx="43">
                  <c:v>-1.400000000000012E-5</c:v>
                </c:pt>
                <c:pt idx="44">
                  <c:v>-1.12000000000001E-4</c:v>
                </c:pt>
                <c:pt idx="45">
                  <c:v>0</c:v>
                </c:pt>
                <c:pt idx="46">
                  <c:v>-1.2600000000001499E-4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C9D-4772-82F2-7A6AA9D4D7DF}"/>
            </c:ext>
          </c:extLst>
        </c:ser>
        <c:ser>
          <c:idx val="8"/>
          <c:order val="8"/>
          <c:tx>
            <c:v>BES_TR3_one320_B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Net_kW!$K$2:$K$49</c:f>
              <c:numCache>
                <c:formatCode>#,##0.000</c:formatCode>
                <c:ptCount val="48"/>
                <c:pt idx="0">
                  <c:v>0</c:v>
                </c:pt>
                <c:pt idx="1">
                  <c:v>4.059999999999897E-4</c:v>
                </c:pt>
                <c:pt idx="2">
                  <c:v>0</c:v>
                </c:pt>
                <c:pt idx="3">
                  <c:v>-4.3199999999998789E-4</c:v>
                </c:pt>
                <c:pt idx="4">
                  <c:v>-1.620000000000926E-4</c:v>
                </c:pt>
                <c:pt idx="5">
                  <c:v>0</c:v>
                </c:pt>
                <c:pt idx="6">
                  <c:v>4.059999999999897E-4</c:v>
                </c:pt>
                <c:pt idx="7">
                  <c:v>-4.4080346666667408E-4</c:v>
                </c:pt>
                <c:pt idx="8">
                  <c:v>-8.5492533333203502E-5</c:v>
                </c:pt>
                <c:pt idx="9">
                  <c:v>1.8344280000000271E-4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4.874073333319684E-4</c:v>
                </c:pt>
                <c:pt idx="13">
                  <c:v>2.5883226666811859E-4</c:v>
                </c:pt>
                <c:pt idx="14">
                  <c:v>2.6054519999996201E-4</c:v>
                </c:pt>
                <c:pt idx="15">
                  <c:v>-0.26022308999999982</c:v>
                </c:pt>
                <c:pt idx="16">
                  <c:v>-2.0857197316000011</c:v>
                </c:pt>
                <c:pt idx="17">
                  <c:v>-0.99126660026666991</c:v>
                </c:pt>
                <c:pt idx="18">
                  <c:v>-1.4748220293333381</c:v>
                </c:pt>
                <c:pt idx="19">
                  <c:v>-2.2699500727999991</c:v>
                </c:pt>
                <c:pt idx="20">
                  <c:v>-2.975467943066668</c:v>
                </c:pt>
                <c:pt idx="21">
                  <c:v>-3.2024401212</c:v>
                </c:pt>
                <c:pt idx="22">
                  <c:v>-3.338977924666668</c:v>
                </c:pt>
                <c:pt idx="23">
                  <c:v>-3.2301607088000002</c:v>
                </c:pt>
                <c:pt idx="24">
                  <c:v>-3.2744173290666678</c:v>
                </c:pt>
                <c:pt idx="25">
                  <c:v>-2.5942396720000001</c:v>
                </c:pt>
                <c:pt idx="26">
                  <c:v>-2.8394288153333331</c:v>
                </c:pt>
                <c:pt idx="27">
                  <c:v>-2.8373886608000021</c:v>
                </c:pt>
                <c:pt idx="28">
                  <c:v>-3.0153035598666671</c:v>
                </c:pt>
                <c:pt idx="29">
                  <c:v>-2.7722026397333348</c:v>
                </c:pt>
                <c:pt idx="30">
                  <c:v>-2.5220615614666668</c:v>
                </c:pt>
                <c:pt idx="31">
                  <c:v>-2.3851751872000011</c:v>
                </c:pt>
                <c:pt idx="32">
                  <c:v>-1.958497057333332</c:v>
                </c:pt>
                <c:pt idx="33">
                  <c:v>-1.6791012729333319</c:v>
                </c:pt>
                <c:pt idx="34">
                  <c:v>-1.411849393999999</c:v>
                </c:pt>
                <c:pt idx="35">
                  <c:v>-1.0204896212000001</c:v>
                </c:pt>
                <c:pt idx="36">
                  <c:v>-0.84758360133333477</c:v>
                </c:pt>
                <c:pt idx="37">
                  <c:v>-0.43831772600000007</c:v>
                </c:pt>
                <c:pt idx="38">
                  <c:v>-0.29367808106666649</c:v>
                </c:pt>
                <c:pt idx="39">
                  <c:v>2.117182666670214E-4</c:v>
                </c:pt>
                <c:pt idx="40">
                  <c:v>4.5509040000031592E-4</c:v>
                </c:pt>
                <c:pt idx="41">
                  <c:v>4.236666666669886E-4</c:v>
                </c:pt>
                <c:pt idx="42">
                  <c:v>1.5566666666699811E-4</c:v>
                </c:pt>
                <c:pt idx="43">
                  <c:v>2.8499999999997971E-4</c:v>
                </c:pt>
                <c:pt idx="44">
                  <c:v>3.9266666666698541E-4</c:v>
                </c:pt>
                <c:pt idx="45">
                  <c:v>-2.9299999999998771E-4</c:v>
                </c:pt>
                <c:pt idx="46">
                  <c:v>3.5966666667008868E-4</c:v>
                </c:pt>
                <c:pt idx="47">
                  <c:v>1.02999999999992E-4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C9D-4772-82F2-7A6AA9D4D7DF}"/>
            </c:ext>
          </c:extLst>
        </c:ser>
        <c:ser>
          <c:idx val="9"/>
          <c:order val="9"/>
          <c:tx>
            <c:v>BES_TR3_one346_C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Net_kW!$L$2:$L$49</c:f>
              <c:numCache>
                <c:formatCode>#,##0.000</c:formatCode>
                <c:ptCount val="48"/>
                <c:pt idx="0">
                  <c:v>-4.1599999999990261E-4</c:v>
                </c:pt>
                <c:pt idx="1">
                  <c:v>1.739999999999936E-4</c:v>
                </c:pt>
                <c:pt idx="2">
                  <c:v>-2.9799999999989562E-4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-1.2399999999999911E-4</c:v>
                </c:pt>
                <c:pt idx="7">
                  <c:v>-4.4080346666667408E-4</c:v>
                </c:pt>
                <c:pt idx="8">
                  <c:v>2.6550746666679451E-4</c:v>
                </c:pt>
                <c:pt idx="9">
                  <c:v>4.2644279999998203E-4</c:v>
                </c:pt>
                <c:pt idx="10">
                  <c:v>3.6171173333199302E-4</c:v>
                </c:pt>
                <c:pt idx="11">
                  <c:v>3.1602346666803621E-4</c:v>
                </c:pt>
                <c:pt idx="12">
                  <c:v>8.140733333206196E-5</c:v>
                </c:pt>
                <c:pt idx="13">
                  <c:v>1.3483226666810569E-4</c:v>
                </c:pt>
                <c:pt idx="14">
                  <c:v>4.0545199999852948E-5</c:v>
                </c:pt>
                <c:pt idx="15">
                  <c:v>-0.98822368999999965</c:v>
                </c:pt>
                <c:pt idx="16">
                  <c:v>-2.164964064933335</c:v>
                </c:pt>
                <c:pt idx="17">
                  <c:v>-2.4427746336</c:v>
                </c:pt>
                <c:pt idx="18">
                  <c:v>-1.783636996000002</c:v>
                </c:pt>
                <c:pt idx="19">
                  <c:v>-2.9111959394666651</c:v>
                </c:pt>
                <c:pt idx="20">
                  <c:v>-3.0733059430666678</c:v>
                </c:pt>
                <c:pt idx="21">
                  <c:v>-2.9197937212</c:v>
                </c:pt>
                <c:pt idx="22">
                  <c:v>-1.9453016246666679</c:v>
                </c:pt>
                <c:pt idx="23">
                  <c:v>-3.1980500421333331</c:v>
                </c:pt>
                <c:pt idx="24">
                  <c:v>-2.9915519957333352</c:v>
                </c:pt>
                <c:pt idx="25">
                  <c:v>-1.5563166719999999</c:v>
                </c:pt>
                <c:pt idx="26">
                  <c:v>-2.3761384819999991</c:v>
                </c:pt>
                <c:pt idx="27">
                  <c:v>-2.7635856608000009</c:v>
                </c:pt>
                <c:pt idx="28">
                  <c:v>-2.6633965598666669</c:v>
                </c:pt>
                <c:pt idx="29">
                  <c:v>-2.3597348397333349</c:v>
                </c:pt>
                <c:pt idx="30">
                  <c:v>-2.0529938281333329</c:v>
                </c:pt>
                <c:pt idx="31">
                  <c:v>-2.1249511872000011</c:v>
                </c:pt>
                <c:pt idx="32">
                  <c:v>-1.8901880573333321</c:v>
                </c:pt>
                <c:pt idx="33">
                  <c:v>-1.501392939599999</c:v>
                </c:pt>
                <c:pt idx="34">
                  <c:v>-1.100236060666665</c:v>
                </c:pt>
                <c:pt idx="35">
                  <c:v>-0.31846395453333309</c:v>
                </c:pt>
                <c:pt idx="36">
                  <c:v>-0.39042260133333512</c:v>
                </c:pt>
                <c:pt idx="37">
                  <c:v>-6.0268059333333013E-2</c:v>
                </c:pt>
                <c:pt idx="38">
                  <c:v>-0.18449174773333321</c:v>
                </c:pt>
                <c:pt idx="39">
                  <c:v>4.0005159999995099E-4</c:v>
                </c:pt>
                <c:pt idx="40">
                  <c:v>-3.0377626666666663E-4</c:v>
                </c:pt>
                <c:pt idx="41">
                  <c:v>1.9500000000005621E-4</c:v>
                </c:pt>
                <c:pt idx="42">
                  <c:v>-1.233333333305886E-5</c:v>
                </c:pt>
                <c:pt idx="43">
                  <c:v>3.3466666666703842E-4</c:v>
                </c:pt>
                <c:pt idx="44">
                  <c:v>-1.3033333333301031E-4</c:v>
                </c:pt>
                <c:pt idx="45">
                  <c:v>9.8666666666968883E-5</c:v>
                </c:pt>
                <c:pt idx="46">
                  <c:v>-1.593333333330671E-4</c:v>
                </c:pt>
                <c:pt idx="47">
                  <c:v>1.2233333333300231E-4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C9D-4772-82F2-7A6AA9D4D7DF}"/>
            </c:ext>
          </c:extLst>
        </c:ser>
        <c:ser>
          <c:idx val="10"/>
          <c:order val="10"/>
          <c:tx>
            <c:v>BES_TR3_one363_C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Net_kW!$M$2:$M$49</c:f>
              <c:numCache>
                <c:formatCode>#,##0.000</c:formatCode>
                <c:ptCount val="48"/>
                <c:pt idx="0">
                  <c:v>0</c:v>
                </c:pt>
                <c:pt idx="1">
                  <c:v>-1.043333333330121E-4</c:v>
                </c:pt>
                <c:pt idx="2">
                  <c:v>-3.6700000000000621E-4</c:v>
                </c:pt>
                <c:pt idx="3">
                  <c:v>1.5199999999999941E-4</c:v>
                </c:pt>
                <c:pt idx="4">
                  <c:v>1.8999999999989861E-4</c:v>
                </c:pt>
                <c:pt idx="5">
                  <c:v>0</c:v>
                </c:pt>
                <c:pt idx="6">
                  <c:v>0</c:v>
                </c:pt>
                <c:pt idx="7">
                  <c:v>-3.7840173333333888E-4</c:v>
                </c:pt>
                <c:pt idx="8">
                  <c:v>1.327537333333968E-4</c:v>
                </c:pt>
                <c:pt idx="9">
                  <c:v>-2.8677860000000249E-4</c:v>
                </c:pt>
                <c:pt idx="10">
                  <c:v>-3.2814413333401288E-4</c:v>
                </c:pt>
                <c:pt idx="11">
                  <c:v>7.1011733334014338E-5</c:v>
                </c:pt>
                <c:pt idx="12">
                  <c:v>-2.882963333340482E-4</c:v>
                </c:pt>
                <c:pt idx="13">
                  <c:v>-1.9958386666596439E-4</c:v>
                </c:pt>
                <c:pt idx="14">
                  <c:v>2.0272599999926481E-5</c:v>
                </c:pt>
                <c:pt idx="15">
                  <c:v>2.8954999999997181E-5</c:v>
                </c:pt>
                <c:pt idx="16">
                  <c:v>-3.6869913333403842E-4</c:v>
                </c:pt>
                <c:pt idx="17">
                  <c:v>4.9959986666703315E-4</c:v>
                </c:pt>
                <c:pt idx="18">
                  <c:v>-0.16040168133333399</c:v>
                </c:pt>
                <c:pt idx="19">
                  <c:v>-1.1485113697333329</c:v>
                </c:pt>
                <c:pt idx="20">
                  <c:v>-1.3660344715333339</c:v>
                </c:pt>
                <c:pt idx="21">
                  <c:v>-1.5876525606</c:v>
                </c:pt>
                <c:pt idx="22">
                  <c:v>-1.6384889623333341</c:v>
                </c:pt>
                <c:pt idx="23">
                  <c:v>-1.6009603544</c:v>
                </c:pt>
                <c:pt idx="24">
                  <c:v>-1.6637216645333339</c:v>
                </c:pt>
                <c:pt idx="25">
                  <c:v>-1.6551608360000001</c:v>
                </c:pt>
                <c:pt idx="26">
                  <c:v>-1.568832241</c:v>
                </c:pt>
                <c:pt idx="27">
                  <c:v>-1.535072163733334</c:v>
                </c:pt>
                <c:pt idx="28">
                  <c:v>-1.4294879465999999</c:v>
                </c:pt>
                <c:pt idx="29">
                  <c:v>-1.371019086533334</c:v>
                </c:pt>
                <c:pt idx="30">
                  <c:v>-1.2222222474</c:v>
                </c:pt>
                <c:pt idx="31">
                  <c:v>-1.100516593600001</c:v>
                </c:pt>
                <c:pt idx="32">
                  <c:v>-0.84519436199999887</c:v>
                </c:pt>
                <c:pt idx="33">
                  <c:v>-3.496364666657481E-4</c:v>
                </c:pt>
                <c:pt idx="34">
                  <c:v>4.2013633333404238E-4</c:v>
                </c:pt>
                <c:pt idx="35">
                  <c:v>-1.6281060000000741E-4</c:v>
                </c:pt>
                <c:pt idx="36">
                  <c:v>-8.0467333334000024E-5</c:v>
                </c:pt>
                <c:pt idx="37">
                  <c:v>1.9397033333298089E-4</c:v>
                </c:pt>
                <c:pt idx="38">
                  <c:v>-4.2770719999962742E-4</c:v>
                </c:pt>
                <c:pt idx="39">
                  <c:v>-2.926408666670266E-4</c:v>
                </c:pt>
                <c:pt idx="40">
                  <c:v>-2.2055480000038319E-4</c:v>
                </c:pt>
                <c:pt idx="41">
                  <c:v>-5.0000000000005596E-4</c:v>
                </c:pt>
                <c:pt idx="42">
                  <c:v>2.8799999999984388E-4</c:v>
                </c:pt>
                <c:pt idx="43">
                  <c:v>-3.3733333333302312E-4</c:v>
                </c:pt>
                <c:pt idx="44">
                  <c:v>-3.3533333333302112E-4</c:v>
                </c:pt>
                <c:pt idx="45">
                  <c:v>-3.5333333333298361E-4</c:v>
                </c:pt>
                <c:pt idx="46">
                  <c:v>1.5199999999999941E-4</c:v>
                </c:pt>
                <c:pt idx="47">
                  <c:v>1.8999999999989861E-4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C9D-4772-82F2-7A6AA9D4D7DF}"/>
            </c:ext>
          </c:extLst>
        </c:ser>
        <c:ser>
          <c:idx val="11"/>
          <c:order val="11"/>
          <c:tx>
            <c:v>BES_TR3_one366_B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Net_kW!$N$2:$N$49</c:f>
              <c:numCache>
                <c:formatCode>#,##0.000</c:formatCode>
                <c:ptCount val="48"/>
                <c:pt idx="0">
                  <c:v>3.9466666666698741E-4</c:v>
                </c:pt>
                <c:pt idx="1">
                  <c:v>2.1533333333401131E-4</c:v>
                </c:pt>
                <c:pt idx="2">
                  <c:v>-4.9099999999990818E-4</c:v>
                </c:pt>
                <c:pt idx="3">
                  <c:v>2.8366666666701512E-4</c:v>
                </c:pt>
                <c:pt idx="4">
                  <c:v>0.29093733333333299</c:v>
                </c:pt>
                <c:pt idx="5">
                  <c:v>9.5999999999999905E-2</c:v>
                </c:pt>
                <c:pt idx="6">
                  <c:v>4.4999999999999998E-2</c:v>
                </c:pt>
                <c:pt idx="7">
                  <c:v>0.1849375982666667</c:v>
                </c:pt>
                <c:pt idx="8">
                  <c:v>0.1064367537333334</c:v>
                </c:pt>
                <c:pt idx="9">
                  <c:v>5.1054221399999988E-2</c:v>
                </c:pt>
                <c:pt idx="10">
                  <c:v>-3.5314413333401018E-4</c:v>
                </c:pt>
                <c:pt idx="11">
                  <c:v>-5.0988266665996651E-5</c:v>
                </c:pt>
                <c:pt idx="12">
                  <c:v>-1.7929633333407799E-4</c:v>
                </c:pt>
                <c:pt idx="13">
                  <c:v>-1.2925053333257E-4</c:v>
                </c:pt>
                <c:pt idx="14">
                  <c:v>2.409392666670174E-4</c:v>
                </c:pt>
                <c:pt idx="15">
                  <c:v>-3.6637833333319492E-4</c:v>
                </c:pt>
                <c:pt idx="16">
                  <c:v>4.6063419999886612E-4</c:v>
                </c:pt>
                <c:pt idx="17">
                  <c:v>6.453320000021634E-5</c:v>
                </c:pt>
                <c:pt idx="18">
                  <c:v>-4.4234800000064739E-4</c:v>
                </c:pt>
                <c:pt idx="19">
                  <c:v>-3.5236973333296889E-4</c:v>
                </c:pt>
                <c:pt idx="20">
                  <c:v>-0.98029747153333402</c:v>
                </c:pt>
                <c:pt idx="21">
                  <c:v>-1.5966525605999999</c:v>
                </c:pt>
                <c:pt idx="22">
                  <c:v>-1.6308222956666669</c:v>
                </c:pt>
                <c:pt idx="23">
                  <c:v>-0.64292668773332995</c:v>
                </c:pt>
                <c:pt idx="24">
                  <c:v>-1.5167143978666671</c:v>
                </c:pt>
                <c:pt idx="25">
                  <c:v>-1.548104702666667</c:v>
                </c:pt>
                <c:pt idx="26">
                  <c:v>-1.5168192410000001</c:v>
                </c:pt>
                <c:pt idx="27">
                  <c:v>-1.3267251637333339</c:v>
                </c:pt>
                <c:pt idx="28">
                  <c:v>-1.4772879466</c:v>
                </c:pt>
                <c:pt idx="29">
                  <c:v>-1.1520490865333339</c:v>
                </c:pt>
                <c:pt idx="30">
                  <c:v>-1.2306766473999999</c:v>
                </c:pt>
                <c:pt idx="31">
                  <c:v>-1.041194393600001</c:v>
                </c:pt>
                <c:pt idx="32">
                  <c:v>-0.56091736199999886</c:v>
                </c:pt>
                <c:pt idx="33">
                  <c:v>-0.79552630313333295</c:v>
                </c:pt>
                <c:pt idx="34">
                  <c:v>-0.58294786366666596</c:v>
                </c:pt>
                <c:pt idx="35">
                  <c:v>-0.47367081059999999</c:v>
                </c:pt>
                <c:pt idx="36">
                  <c:v>-0.35593180066666702</c:v>
                </c:pt>
                <c:pt idx="37">
                  <c:v>-0.14407136300000001</c:v>
                </c:pt>
                <c:pt idx="38">
                  <c:v>-2.4204053333358799E-4</c:v>
                </c:pt>
                <c:pt idx="39">
                  <c:v>-3.4030753332991992E-4</c:v>
                </c:pt>
                <c:pt idx="40">
                  <c:v>2.174451999996663E-4</c:v>
                </c:pt>
                <c:pt idx="41">
                  <c:v>-2.9966666666703112E-4</c:v>
                </c:pt>
                <c:pt idx="42">
                  <c:v>-4.9933333333296304E-4</c:v>
                </c:pt>
                <c:pt idx="43">
                  <c:v>3.2299999999996221E-4</c:v>
                </c:pt>
                <c:pt idx="44">
                  <c:v>-1.933333333329901E-4</c:v>
                </c:pt>
                <c:pt idx="45">
                  <c:v>-4.2266666666695979E-4</c:v>
                </c:pt>
                <c:pt idx="46">
                  <c:v>-4.639999999999922E-4</c:v>
                </c:pt>
                <c:pt idx="47">
                  <c:v>-2.319999999999961E-4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C9D-4772-82F2-7A6AA9D4D7DF}"/>
            </c:ext>
          </c:extLst>
        </c:ser>
        <c:ser>
          <c:idx val="12"/>
          <c:order val="12"/>
          <c:tx>
            <c:v>BES_TR3_one371_C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Net_kW!$O$2:$O$49</c:f>
              <c:numCache>
                <c:formatCode>#,##0.000</c:formatCode>
                <c:ptCount val="48"/>
                <c:pt idx="0">
                  <c:v>-1.413333333333128E-4</c:v>
                </c:pt>
                <c:pt idx="1">
                  <c:v>6.9388939039072284E-18</c:v>
                </c:pt>
                <c:pt idx="2">
                  <c:v>6.9388939039072284E-18</c:v>
                </c:pt>
                <c:pt idx="3">
                  <c:v>2.226666666670096E-4</c:v>
                </c:pt>
                <c:pt idx="4">
                  <c:v>6.9388939039072284E-18</c:v>
                </c:pt>
                <c:pt idx="5">
                  <c:v>-2.1199999999999E-4</c:v>
                </c:pt>
                <c:pt idx="6">
                  <c:v>4.346666666669996E-4</c:v>
                </c:pt>
                <c:pt idx="7">
                  <c:v>-4.4080346666666709E-4</c:v>
                </c:pt>
                <c:pt idx="8">
                  <c:v>2.6550746666680058E-4</c:v>
                </c:pt>
                <c:pt idx="9">
                  <c:v>-3.5089053333300582E-4</c:v>
                </c:pt>
                <c:pt idx="10">
                  <c:v>-3.402882666680429E-4</c:v>
                </c:pt>
                <c:pt idx="11">
                  <c:v>4.6535680000137081E-4</c:v>
                </c:pt>
                <c:pt idx="12">
                  <c:v>-1.9259333335019949E-5</c:v>
                </c:pt>
                <c:pt idx="13">
                  <c:v>2.588322666678966E-4</c:v>
                </c:pt>
                <c:pt idx="14">
                  <c:v>4.0545200000074999E-5</c:v>
                </c:pt>
                <c:pt idx="15">
                  <c:v>-0.70846288999999985</c:v>
                </c:pt>
                <c:pt idx="16">
                  <c:v>-2.0471472649333351</c:v>
                </c:pt>
                <c:pt idx="17">
                  <c:v>-2.4925982669333329</c:v>
                </c:pt>
                <c:pt idx="18">
                  <c:v>-1.8401401626666669</c:v>
                </c:pt>
                <c:pt idx="19">
                  <c:v>-2.6670674061333322</c:v>
                </c:pt>
                <c:pt idx="20">
                  <c:v>-1.6143605430666681</c:v>
                </c:pt>
                <c:pt idx="21">
                  <c:v>-1.15150415453333</c:v>
                </c:pt>
                <c:pt idx="22">
                  <c:v>-0.77174125799999782</c:v>
                </c:pt>
                <c:pt idx="23">
                  <c:v>-2.6969477087999998</c:v>
                </c:pt>
                <c:pt idx="24">
                  <c:v>-3.2030306624000011</c:v>
                </c:pt>
                <c:pt idx="25">
                  <c:v>-2.885191338666667</c:v>
                </c:pt>
                <c:pt idx="26">
                  <c:v>3.6151800000017159E-4</c:v>
                </c:pt>
                <c:pt idx="27">
                  <c:v>-1.4166079999800021E-4</c:v>
                </c:pt>
                <c:pt idx="28">
                  <c:v>-2.4977852265333329</c:v>
                </c:pt>
                <c:pt idx="29">
                  <c:v>-2.4896438397333349</c:v>
                </c:pt>
                <c:pt idx="30">
                  <c:v>-4.364948000001867E-4</c:v>
                </c:pt>
                <c:pt idx="31">
                  <c:v>2.6281280000195467E-4</c:v>
                </c:pt>
                <c:pt idx="32">
                  <c:v>2.4727600000118422E-4</c:v>
                </c:pt>
                <c:pt idx="33">
                  <c:v>-1.1186632729333319</c:v>
                </c:pt>
                <c:pt idx="34">
                  <c:v>-0.2261280606666618</c:v>
                </c:pt>
                <c:pt idx="35">
                  <c:v>-0.60835462120000006</c:v>
                </c:pt>
                <c:pt idx="36">
                  <c:v>-0.82191626800000106</c:v>
                </c:pt>
                <c:pt idx="37">
                  <c:v>-0.42452805933333299</c:v>
                </c:pt>
                <c:pt idx="38">
                  <c:v>-0.2675956810666662</c:v>
                </c:pt>
                <c:pt idx="39">
                  <c:v>4.64051600000015E-4</c:v>
                </c:pt>
                <c:pt idx="40">
                  <c:v>4.0289040000029969E-4</c:v>
                </c:pt>
                <c:pt idx="41">
                  <c:v>-7.8333333333013844E-5</c:v>
                </c:pt>
                <c:pt idx="42">
                  <c:v>-4.740000000000022E-4</c:v>
                </c:pt>
                <c:pt idx="43">
                  <c:v>-4.270000000000107E-4</c:v>
                </c:pt>
                <c:pt idx="44">
                  <c:v>7.6666666666946881E-5</c:v>
                </c:pt>
                <c:pt idx="45">
                  <c:v>2.0000000000003351E-4</c:v>
                </c:pt>
                <c:pt idx="46">
                  <c:v>6.0666666666986391E-5</c:v>
                </c:pt>
                <c:pt idx="47">
                  <c:v>1.819999999999877E-4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C9D-4772-82F2-7A6AA9D4D7DF}"/>
            </c:ext>
          </c:extLst>
        </c:ser>
        <c:ser>
          <c:idx val="13"/>
          <c:order val="13"/>
          <c:tx>
            <c:v>BES_TR3_one375_C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Net_kW!$P$2:$P$49</c:f>
              <c:numCache>
                <c:formatCode>#,##0.000</c:formatCode>
                <c:ptCount val="48"/>
                <c:pt idx="0">
                  <c:v>4.286666666669936E-4</c:v>
                </c:pt>
                <c:pt idx="1">
                  <c:v>-1.5266666666702289E-4</c:v>
                </c:pt>
                <c:pt idx="2">
                  <c:v>8.0333333332988088E-5</c:v>
                </c:pt>
                <c:pt idx="3">
                  <c:v>-9.6666666669908974E-6</c:v>
                </c:pt>
                <c:pt idx="4">
                  <c:v>3.3799999999999109E-4</c:v>
                </c:pt>
                <c:pt idx="5">
                  <c:v>-3.5666666666700492E-4</c:v>
                </c:pt>
                <c:pt idx="6">
                  <c:v>-1.5333333333394931E-5</c:v>
                </c:pt>
                <c:pt idx="7">
                  <c:v>-4.3413679999967919E-4</c:v>
                </c:pt>
                <c:pt idx="8">
                  <c:v>-1.3515920000020659E-4</c:v>
                </c:pt>
                <c:pt idx="9">
                  <c:v>-3.4289053333301679E-4</c:v>
                </c:pt>
                <c:pt idx="10">
                  <c:v>-1.7728826666796321E-4</c:v>
                </c:pt>
                <c:pt idx="11">
                  <c:v>-4.9397653333205227E-4</c:v>
                </c:pt>
                <c:pt idx="12">
                  <c:v>-4.2959266666808832E-4</c:v>
                </c:pt>
                <c:pt idx="13">
                  <c:v>-1.0383439999905871E-4</c:v>
                </c:pt>
                <c:pt idx="14">
                  <c:v>4.0621186666700559E-4</c:v>
                </c:pt>
                <c:pt idx="15">
                  <c:v>-3.9062333333284022E-4</c:v>
                </c:pt>
                <c:pt idx="16">
                  <c:v>-0.86953339826666798</c:v>
                </c:pt>
                <c:pt idx="17">
                  <c:v>-2.4524877335999999</c:v>
                </c:pt>
                <c:pt idx="18">
                  <c:v>-2.6727593626666679</c:v>
                </c:pt>
                <c:pt idx="19">
                  <c:v>-2.7440154061333319</c:v>
                </c:pt>
                <c:pt idx="20">
                  <c:v>-2.9245469430666682</c:v>
                </c:pt>
                <c:pt idx="21">
                  <c:v>-3.1356611212000001</c:v>
                </c:pt>
                <c:pt idx="22">
                  <c:v>-3.094791924666668</c:v>
                </c:pt>
                <c:pt idx="23">
                  <c:v>-3.3591587087999999</c:v>
                </c:pt>
                <c:pt idx="24">
                  <c:v>-3.3109323290666679</c:v>
                </c:pt>
                <c:pt idx="25">
                  <c:v>-3.165307338666667</c:v>
                </c:pt>
                <c:pt idx="26">
                  <c:v>-3.1806988153333329</c:v>
                </c:pt>
                <c:pt idx="27">
                  <c:v>-2.304021660800001</c:v>
                </c:pt>
                <c:pt idx="28">
                  <c:v>-2.6506678932000001</c:v>
                </c:pt>
                <c:pt idx="29">
                  <c:v>-2.1657495064000019</c:v>
                </c:pt>
                <c:pt idx="30">
                  <c:v>-2.5017424281333329</c:v>
                </c:pt>
                <c:pt idx="31">
                  <c:v>-2.2726592538666681</c:v>
                </c:pt>
                <c:pt idx="32">
                  <c:v>-1.5398105239999991</c:v>
                </c:pt>
                <c:pt idx="33">
                  <c:v>-1.680892672933332</c:v>
                </c:pt>
                <c:pt idx="34">
                  <c:v>-1.203724193999999</c:v>
                </c:pt>
                <c:pt idx="35">
                  <c:v>-0.67036595453333303</c:v>
                </c:pt>
                <c:pt idx="36">
                  <c:v>-0.79891693466666802</c:v>
                </c:pt>
                <c:pt idx="37">
                  <c:v>-0.37123105933333311</c:v>
                </c:pt>
                <c:pt idx="38">
                  <c:v>-8.3390414400000168E-2</c:v>
                </c:pt>
                <c:pt idx="39">
                  <c:v>-1.0161506666700459E-4</c:v>
                </c:pt>
                <c:pt idx="40">
                  <c:v>2.93890400000274E-4</c:v>
                </c:pt>
                <c:pt idx="41">
                  <c:v>-4.8333333332983841E-5</c:v>
                </c:pt>
                <c:pt idx="42">
                  <c:v>-4.1099999999993919E-4</c:v>
                </c:pt>
                <c:pt idx="43">
                  <c:v>7.3333333330261041E-6</c:v>
                </c:pt>
                <c:pt idx="44">
                  <c:v>1.086666666669789E-4</c:v>
                </c:pt>
                <c:pt idx="45">
                  <c:v>3.7566666666699611E-4</c:v>
                </c:pt>
                <c:pt idx="46">
                  <c:v>3.0333333333298912E-4</c:v>
                </c:pt>
                <c:pt idx="47">
                  <c:v>4.2233333333299711E-4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C9D-4772-82F2-7A6AA9D4D7DF}"/>
            </c:ext>
          </c:extLst>
        </c:ser>
        <c:ser>
          <c:idx val="14"/>
          <c:order val="14"/>
          <c:tx>
            <c:v>BES_TR3_one410_B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Net_kW!$Q$2:$Q$49</c:f>
              <c:numCache>
                <c:formatCode>#,##0.000</c:formatCode>
                <c:ptCount val="48"/>
                <c:pt idx="0">
                  <c:v>5.0999999999995493E-5</c:v>
                </c:pt>
                <c:pt idx="1">
                  <c:v>0</c:v>
                </c:pt>
                <c:pt idx="2">
                  <c:v>-3.4999999999998921E-4</c:v>
                </c:pt>
                <c:pt idx="3">
                  <c:v>-4.639999999999922E-4</c:v>
                </c:pt>
                <c:pt idx="4">
                  <c:v>4.5599999999999807E-4</c:v>
                </c:pt>
                <c:pt idx="5">
                  <c:v>3.2000000000009798E-4</c:v>
                </c:pt>
                <c:pt idx="6">
                  <c:v>4.45000000000001E-4</c:v>
                </c:pt>
                <c:pt idx="7">
                  <c:v>-4.5940173333333672E-4</c:v>
                </c:pt>
                <c:pt idx="8">
                  <c:v>4.7275373333335868E-4</c:v>
                </c:pt>
                <c:pt idx="9">
                  <c:v>2.6322139999999158E-4</c:v>
                </c:pt>
                <c:pt idx="10">
                  <c:v>1.0585586666599089E-4</c:v>
                </c:pt>
                <c:pt idx="11">
                  <c:v>-8.6988266665949388E-5</c:v>
                </c:pt>
                <c:pt idx="12">
                  <c:v>3.8470366666598638E-4</c:v>
                </c:pt>
                <c:pt idx="13">
                  <c:v>-2.8558386666599489E-4</c:v>
                </c:pt>
                <c:pt idx="14">
                  <c:v>3.1027260000005002E-4</c:v>
                </c:pt>
                <c:pt idx="15">
                  <c:v>1.5695500000012519E-4</c:v>
                </c:pt>
                <c:pt idx="16">
                  <c:v>4.2263419999893909E-4</c:v>
                </c:pt>
                <c:pt idx="17">
                  <c:v>-3.4546680000002722E-4</c:v>
                </c:pt>
                <c:pt idx="18">
                  <c:v>4.8831866666598778E-4</c:v>
                </c:pt>
                <c:pt idx="19">
                  <c:v>-4.719170306666598E-2</c:v>
                </c:pt>
                <c:pt idx="20">
                  <c:v>-0.97655347153333394</c:v>
                </c:pt>
                <c:pt idx="21">
                  <c:v>-1.4150718939333331</c:v>
                </c:pt>
                <c:pt idx="22">
                  <c:v>-1.407226962333334</c:v>
                </c:pt>
                <c:pt idx="23">
                  <c:v>-1.537924687733333</c:v>
                </c:pt>
                <c:pt idx="24">
                  <c:v>-1.594464664533334</c:v>
                </c:pt>
                <c:pt idx="25">
                  <c:v>-1.493750836</c:v>
                </c:pt>
                <c:pt idx="26">
                  <c:v>-1.5861232409999999</c:v>
                </c:pt>
                <c:pt idx="27">
                  <c:v>-1.515347163733334</c:v>
                </c:pt>
                <c:pt idx="28">
                  <c:v>-1.3173439466000001</c:v>
                </c:pt>
                <c:pt idx="29">
                  <c:v>-1.3123190865333341</c:v>
                </c:pt>
                <c:pt idx="30">
                  <c:v>-1.2925642474000001</c:v>
                </c:pt>
                <c:pt idx="31">
                  <c:v>-1.172791926933334</c:v>
                </c:pt>
                <c:pt idx="32">
                  <c:v>-0.81187402866666591</c:v>
                </c:pt>
                <c:pt idx="33">
                  <c:v>-0.85287563646666598</c:v>
                </c:pt>
                <c:pt idx="34">
                  <c:v>-0.57997986366666598</c:v>
                </c:pt>
                <c:pt idx="35">
                  <c:v>-0.4604148106</c:v>
                </c:pt>
                <c:pt idx="36">
                  <c:v>-0.41445846733333402</c:v>
                </c:pt>
                <c:pt idx="37">
                  <c:v>-0.18859936299999999</c:v>
                </c:pt>
                <c:pt idx="38">
                  <c:v>-1.46803738666666E-2</c:v>
                </c:pt>
                <c:pt idx="39">
                  <c:v>4.6255913333301257E-4</c:v>
                </c:pt>
                <c:pt idx="40">
                  <c:v>-3.2395480000034499E-4</c:v>
                </c:pt>
                <c:pt idx="41">
                  <c:v>3.9833333333294529E-4</c:v>
                </c:pt>
                <c:pt idx="42">
                  <c:v>-2.6333333333300463E-4</c:v>
                </c:pt>
                <c:pt idx="43">
                  <c:v>5.6999999999973738E-5</c:v>
                </c:pt>
                <c:pt idx="44">
                  <c:v>2.000000000000057E-4</c:v>
                </c:pt>
                <c:pt idx="45">
                  <c:v>-2.7233333333298582E-4</c:v>
                </c:pt>
                <c:pt idx="46">
                  <c:v>2.4899999999994371E-4</c:v>
                </c:pt>
                <c:pt idx="47">
                  <c:v>4.943333333300437E-4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C9D-4772-82F2-7A6AA9D4D7DF}"/>
            </c:ext>
          </c:extLst>
        </c:ser>
        <c:ser>
          <c:idx val="15"/>
          <c:order val="15"/>
          <c:tx>
            <c:v>BES_TR3_one50_A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Net_kW!$R$2:$R$49</c:f>
              <c:numCache>
                <c:formatCode>#,##0.000</c:formatCode>
                <c:ptCount val="48"/>
                <c:pt idx="0">
                  <c:v>3.9966666666699241E-4</c:v>
                </c:pt>
                <c:pt idx="1">
                  <c:v>0</c:v>
                </c:pt>
                <c:pt idx="2">
                  <c:v>0</c:v>
                </c:pt>
                <c:pt idx="3">
                  <c:v>-2.4633333333300139E-4</c:v>
                </c:pt>
                <c:pt idx="4">
                  <c:v>-3.8499999999999651E-4</c:v>
                </c:pt>
                <c:pt idx="5">
                  <c:v>0</c:v>
                </c:pt>
                <c:pt idx="6">
                  <c:v>3.6866666666701692E-4</c:v>
                </c:pt>
                <c:pt idx="7">
                  <c:v>-1.5050216666666341E-4</c:v>
                </c:pt>
                <c:pt idx="8">
                  <c:v>2.5960883333375762E-4</c:v>
                </c:pt>
                <c:pt idx="9">
                  <c:v>3.7819341666700529E-4</c:v>
                </c:pt>
                <c:pt idx="10">
                  <c:v>8.7840986499999524E-2</c:v>
                </c:pt>
                <c:pt idx="11">
                  <c:v>3.387646666675459E-4</c:v>
                </c:pt>
                <c:pt idx="12">
                  <c:v>-2.2645375000052151E-4</c:v>
                </c:pt>
                <c:pt idx="13">
                  <c:v>-3.3356316666643959E-4</c:v>
                </c:pt>
                <c:pt idx="14">
                  <c:v>-2.2465925000014761E-4</c:v>
                </c:pt>
                <c:pt idx="15">
                  <c:v>2.2736041666693299E-4</c:v>
                </c:pt>
                <c:pt idx="16">
                  <c:v>-2.0587391666793131E-4</c:v>
                </c:pt>
                <c:pt idx="17">
                  <c:v>2.3916649999988771E-4</c:v>
                </c:pt>
                <c:pt idx="18">
                  <c:v>-4.8493500000090778E-4</c:v>
                </c:pt>
                <c:pt idx="19">
                  <c:v>-3.9362883333193821E-4</c:v>
                </c:pt>
                <c:pt idx="20">
                  <c:v>-0.13120558941666699</c:v>
                </c:pt>
                <c:pt idx="21">
                  <c:v>5.2632583329909062E-5</c:v>
                </c:pt>
                <c:pt idx="22">
                  <c:v>-8.1202916666744951E-5</c:v>
                </c:pt>
                <c:pt idx="23">
                  <c:v>2.088069999997832E-4</c:v>
                </c:pt>
                <c:pt idx="24">
                  <c:v>-1.5344741639999999</c:v>
                </c:pt>
                <c:pt idx="25">
                  <c:v>-2.0814510450000001</c:v>
                </c:pt>
                <c:pt idx="26">
                  <c:v>-2.03072405125</c:v>
                </c:pt>
                <c:pt idx="27">
                  <c:v>-1.840315621333334</c:v>
                </c:pt>
                <c:pt idx="28">
                  <c:v>-1.100411099916667</c:v>
                </c:pt>
                <c:pt idx="29">
                  <c:v>-1.7438688581666679</c:v>
                </c:pt>
                <c:pt idx="30">
                  <c:v>-1.5545939759166669</c:v>
                </c:pt>
                <c:pt idx="31">
                  <c:v>1.3424666661987489E-5</c:v>
                </c:pt>
                <c:pt idx="32">
                  <c:v>-0.70128470249999908</c:v>
                </c:pt>
                <c:pt idx="33">
                  <c:v>-0.42508741225000002</c:v>
                </c:pt>
                <c:pt idx="34">
                  <c:v>-0.68553342958333241</c:v>
                </c:pt>
                <c:pt idx="35">
                  <c:v>-0.54095751324999997</c:v>
                </c:pt>
                <c:pt idx="36">
                  <c:v>-0.50513875083333426</c:v>
                </c:pt>
                <c:pt idx="37">
                  <c:v>4.6912958333296401E-4</c:v>
                </c:pt>
                <c:pt idx="38">
                  <c:v>-3.1340000002377799E-6</c:v>
                </c:pt>
                <c:pt idx="39">
                  <c:v>-3.4296775000008939E-4</c:v>
                </c:pt>
                <c:pt idx="40">
                  <c:v>4.4563983333334439E-4</c:v>
                </c:pt>
                <c:pt idx="41">
                  <c:v>2.426666666694999E-4</c:v>
                </c:pt>
                <c:pt idx="42">
                  <c:v>-1.0133333333017799E-4</c:v>
                </c:pt>
                <c:pt idx="43">
                  <c:v>0.83125900000000008</c:v>
                </c:pt>
                <c:pt idx="44">
                  <c:v>0.956094</c:v>
                </c:pt>
                <c:pt idx="45">
                  <c:v>1.03280533333333</c:v>
                </c:pt>
                <c:pt idx="46">
                  <c:v>0.160399666666667</c:v>
                </c:pt>
                <c:pt idx="47">
                  <c:v>0.127969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C9D-4772-82F2-7A6AA9D4D7DF}"/>
            </c:ext>
          </c:extLst>
        </c:ser>
        <c:ser>
          <c:idx val="16"/>
          <c:order val="16"/>
          <c:tx>
            <c:v>BES_TR3_one423_B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Net_kW!$S$2:$S$49</c:f>
              <c:numCache>
                <c:formatCode>#,##0.000</c:formatCode>
                <c:ptCount val="48"/>
                <c:pt idx="0">
                  <c:v>4.200000000000037E-4</c:v>
                </c:pt>
                <c:pt idx="1">
                  <c:v>0</c:v>
                </c:pt>
                <c:pt idx="2">
                  <c:v>-1.5833333333328811E-4</c:v>
                </c:pt>
                <c:pt idx="3">
                  <c:v>2.6166666666699312E-4</c:v>
                </c:pt>
                <c:pt idx="4">
                  <c:v>0</c:v>
                </c:pt>
                <c:pt idx="5">
                  <c:v>0</c:v>
                </c:pt>
                <c:pt idx="6">
                  <c:v>1.0333333333298329E-4</c:v>
                </c:pt>
                <c:pt idx="7">
                  <c:v>-1.0703033333329949E-5</c:v>
                </c:pt>
                <c:pt idx="8">
                  <c:v>1.6565236666644939E-4</c:v>
                </c:pt>
                <c:pt idx="9">
                  <c:v>-8.1862549999978107E-5</c:v>
                </c:pt>
                <c:pt idx="10">
                  <c:v>6.3914433332201703E-5</c:v>
                </c:pt>
                <c:pt idx="11">
                  <c:v>2.4093720000156751E-4</c:v>
                </c:pt>
                <c:pt idx="12">
                  <c:v>7.1231416665429315E-5</c:v>
                </c:pt>
                <c:pt idx="13">
                  <c:v>4.2814490000198102E-4</c:v>
                </c:pt>
                <c:pt idx="14">
                  <c:v>-2.3585628332994929E-4</c:v>
                </c:pt>
                <c:pt idx="15">
                  <c:v>-3.9049541666602572E-4</c:v>
                </c:pt>
                <c:pt idx="16">
                  <c:v>-3.655681666514532E-5</c:v>
                </c:pt>
                <c:pt idx="17">
                  <c:v>-3.3456690000011058E-4</c:v>
                </c:pt>
                <c:pt idx="18">
                  <c:v>3.0989099999478848E-4</c:v>
                </c:pt>
                <c:pt idx="19">
                  <c:v>-1.132467480366665</c:v>
                </c:pt>
                <c:pt idx="20">
                  <c:v>-2.4722178251833342</c:v>
                </c:pt>
                <c:pt idx="21">
                  <c:v>-2.4703303143833342</c:v>
                </c:pt>
                <c:pt idx="22">
                  <c:v>-2.813499017416667</c:v>
                </c:pt>
                <c:pt idx="23">
                  <c:v>-2.7939898701999999</c:v>
                </c:pt>
                <c:pt idx="24">
                  <c:v>-2.4748984962666678</c:v>
                </c:pt>
                <c:pt idx="25">
                  <c:v>-2.423294129666667</c:v>
                </c:pt>
                <c:pt idx="26">
                  <c:v>-2.3799536717500001</c:v>
                </c:pt>
                <c:pt idx="27">
                  <c:v>-2.5130308698666681</c:v>
                </c:pt>
                <c:pt idx="28">
                  <c:v>-2.22372940655</c:v>
                </c:pt>
                <c:pt idx="29">
                  <c:v>-2.2231330681000019</c:v>
                </c:pt>
                <c:pt idx="30">
                  <c:v>-2.0419087662833331</c:v>
                </c:pt>
                <c:pt idx="31">
                  <c:v>-1.6845795388000011</c:v>
                </c:pt>
                <c:pt idx="32">
                  <c:v>-1.6783650501666649</c:v>
                </c:pt>
                <c:pt idx="33">
                  <c:v>-1.2580053638166651</c:v>
                </c:pt>
                <c:pt idx="34">
                  <c:v>-3.9282614166651353E-3</c:v>
                </c:pt>
                <c:pt idx="35">
                  <c:v>-0.9191772518833331</c:v>
                </c:pt>
                <c:pt idx="36">
                  <c:v>-0.60083298450000144</c:v>
                </c:pt>
                <c:pt idx="37">
                  <c:v>-0.45508371858333341</c:v>
                </c:pt>
                <c:pt idx="38">
                  <c:v>-0.11379438759999951</c:v>
                </c:pt>
                <c:pt idx="39">
                  <c:v>-2.628818333300087E-5</c:v>
                </c:pt>
                <c:pt idx="40">
                  <c:v>3.2336243333364051E-4</c:v>
                </c:pt>
                <c:pt idx="41">
                  <c:v>3.633333333297184E-5</c:v>
                </c:pt>
                <c:pt idx="42">
                  <c:v>-4.323333333329793E-4</c:v>
                </c:pt>
                <c:pt idx="43">
                  <c:v>3.7166666666699211E-4</c:v>
                </c:pt>
                <c:pt idx="44">
                  <c:v>-2.9133333333009048E-4</c:v>
                </c:pt>
                <c:pt idx="45">
                  <c:v>2.5200000000002998E-4</c:v>
                </c:pt>
                <c:pt idx="46">
                  <c:v>-1.7466666666698941E-4</c:v>
                </c:pt>
                <c:pt idx="47">
                  <c:v>2.966666666698314E-5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C9D-4772-82F2-7A6AA9D4D7DF}"/>
            </c:ext>
          </c:extLst>
        </c:ser>
        <c:ser>
          <c:idx val="17"/>
          <c:order val="17"/>
          <c:tx>
            <c:v>BES_TR3_one446_B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Net_kW!$T$2:$T$49</c:f>
              <c:numCache>
                <c:formatCode>#,##0.000</c:formatCode>
                <c:ptCount val="48"/>
                <c:pt idx="0">
                  <c:v>-4.8933333333298079E-4</c:v>
                </c:pt>
                <c:pt idx="1">
                  <c:v>4.106666666669756E-4</c:v>
                </c:pt>
                <c:pt idx="2">
                  <c:v>4.579999999999862E-4</c:v>
                </c:pt>
                <c:pt idx="3">
                  <c:v>-1.466666666669891E-4</c:v>
                </c:pt>
                <c:pt idx="4">
                  <c:v>0</c:v>
                </c:pt>
                <c:pt idx="5">
                  <c:v>4.579999999999862E-4</c:v>
                </c:pt>
                <c:pt idx="6">
                  <c:v>-1.466666666669891E-4</c:v>
                </c:pt>
                <c:pt idx="7">
                  <c:v>-2.118034666666879E-4</c:v>
                </c:pt>
                <c:pt idx="8">
                  <c:v>4.6250746666678938E-4</c:v>
                </c:pt>
                <c:pt idx="9">
                  <c:v>3.1177613333341347E-4</c:v>
                </c:pt>
                <c:pt idx="10">
                  <c:v>1.1771173333197101E-4</c:v>
                </c:pt>
                <c:pt idx="11">
                  <c:v>1.260234666680127E-4</c:v>
                </c:pt>
                <c:pt idx="12">
                  <c:v>3.7474066666498551E-4</c:v>
                </c:pt>
                <c:pt idx="13">
                  <c:v>2.9283226666820822E-4</c:v>
                </c:pt>
                <c:pt idx="14">
                  <c:v>-1.061214666668864E-4</c:v>
                </c:pt>
                <c:pt idx="15">
                  <c:v>-1.6808999999984309E-4</c:v>
                </c:pt>
                <c:pt idx="16">
                  <c:v>-1.2110300649333341</c:v>
                </c:pt>
                <c:pt idx="17">
                  <c:v>-2.2850639336</c:v>
                </c:pt>
                <c:pt idx="18">
                  <c:v>-2.5211690293333349</c:v>
                </c:pt>
                <c:pt idx="19">
                  <c:v>-2.9183834061333318</c:v>
                </c:pt>
                <c:pt idx="20">
                  <c:v>-2.9631556097333349</c:v>
                </c:pt>
                <c:pt idx="21">
                  <c:v>-3.0628471211999999</c:v>
                </c:pt>
                <c:pt idx="22">
                  <c:v>-3.2081245913333349</c:v>
                </c:pt>
                <c:pt idx="23">
                  <c:v>-3.3345327087999999</c:v>
                </c:pt>
                <c:pt idx="24">
                  <c:v>-3.2690573290666678</c:v>
                </c:pt>
                <c:pt idx="25">
                  <c:v>-3.3638790053333332</c:v>
                </c:pt>
                <c:pt idx="26">
                  <c:v>-3.0961968153333328</c:v>
                </c:pt>
                <c:pt idx="27">
                  <c:v>-3.0634273274666679</c:v>
                </c:pt>
                <c:pt idx="28">
                  <c:v>-2.9273105598666671</c:v>
                </c:pt>
                <c:pt idx="29">
                  <c:v>-2.6582711730666682</c:v>
                </c:pt>
                <c:pt idx="30">
                  <c:v>-2.508178828133333</c:v>
                </c:pt>
                <c:pt idx="31">
                  <c:v>-2.2602561872000009</c:v>
                </c:pt>
                <c:pt idx="32">
                  <c:v>-1.799293390666665</c:v>
                </c:pt>
                <c:pt idx="33">
                  <c:v>-1.703081272933332</c:v>
                </c:pt>
                <c:pt idx="34">
                  <c:v>-1.1255420606666651</c:v>
                </c:pt>
                <c:pt idx="35">
                  <c:v>-0.80542628786666703</c:v>
                </c:pt>
                <c:pt idx="36">
                  <c:v>-0.48783460133333501</c:v>
                </c:pt>
                <c:pt idx="37">
                  <c:v>-0.23194972599999999</c:v>
                </c:pt>
                <c:pt idx="38">
                  <c:v>2.8591893333385082E-4</c:v>
                </c:pt>
                <c:pt idx="39">
                  <c:v>-1.5794839999999641E-4</c:v>
                </c:pt>
                <c:pt idx="40">
                  <c:v>3.6122373333324909E-4</c:v>
                </c:pt>
                <c:pt idx="41">
                  <c:v>-4.9933333333307406E-4</c:v>
                </c:pt>
                <c:pt idx="42">
                  <c:v>2.9266666666705188E-4</c:v>
                </c:pt>
                <c:pt idx="43">
                  <c:v>-4.7166666666698109E-4</c:v>
                </c:pt>
                <c:pt idx="44">
                  <c:v>5.6333333333991042E-5</c:v>
                </c:pt>
                <c:pt idx="45">
                  <c:v>-2.333333333329746E-4</c:v>
                </c:pt>
                <c:pt idx="46">
                  <c:v>-1.333333333297659E-5</c:v>
                </c:pt>
                <c:pt idx="47">
                  <c:v>3.8266666666608717E-4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C9D-4772-82F2-7A6AA9D4D7DF}"/>
            </c:ext>
          </c:extLst>
        </c:ser>
        <c:ser>
          <c:idx val="18"/>
          <c:order val="18"/>
          <c:tx>
            <c:v>BES_TR3_one469_A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Net_kW!$U$2:$U$49</c:f>
              <c:numCache>
                <c:formatCode>#,##0.000</c:formatCode>
                <c:ptCount val="48"/>
                <c:pt idx="0">
                  <c:v>0</c:v>
                </c:pt>
                <c:pt idx="1">
                  <c:v>3.799999999999637E-5</c:v>
                </c:pt>
                <c:pt idx="2">
                  <c:v>-2.3200000000001E-4</c:v>
                </c:pt>
                <c:pt idx="3">
                  <c:v>-1.14000000000003E-4</c:v>
                </c:pt>
                <c:pt idx="4">
                  <c:v>-1.939999999999997E-4</c:v>
                </c:pt>
                <c:pt idx="5">
                  <c:v>-1.14000000000003E-4</c:v>
                </c:pt>
                <c:pt idx="6">
                  <c:v>0</c:v>
                </c:pt>
                <c:pt idx="7">
                  <c:v>3.7329696666665862E-4</c:v>
                </c:pt>
                <c:pt idx="8">
                  <c:v>-2.0968096666655611E-4</c:v>
                </c:pt>
                <c:pt idx="9">
                  <c:v>7.6137449999999496E-5</c:v>
                </c:pt>
                <c:pt idx="10">
                  <c:v>4.4124776666548682E-4</c:v>
                </c:pt>
                <c:pt idx="11">
                  <c:v>-2.397294666655059E-4</c:v>
                </c:pt>
                <c:pt idx="12">
                  <c:v>-1.2276858333448709E-4</c:v>
                </c:pt>
                <c:pt idx="13">
                  <c:v>-1.375217666650386E-4</c:v>
                </c:pt>
                <c:pt idx="14">
                  <c:v>1.547705000026767E-5</c:v>
                </c:pt>
                <c:pt idx="15">
                  <c:v>-4.397954166668328E-4</c:v>
                </c:pt>
                <c:pt idx="16">
                  <c:v>-0.81671312348333513</c:v>
                </c:pt>
                <c:pt idx="17">
                  <c:v>-2.1097443002333329</c:v>
                </c:pt>
                <c:pt idx="18">
                  <c:v>-2.2078114423333348</c:v>
                </c:pt>
                <c:pt idx="19">
                  <c:v>-2.4285018136999978</c:v>
                </c:pt>
                <c:pt idx="20">
                  <c:v>-2.5272398251833339</c:v>
                </c:pt>
                <c:pt idx="21">
                  <c:v>-2.76146798105</c:v>
                </c:pt>
                <c:pt idx="22">
                  <c:v>-2.8705856840833341</c:v>
                </c:pt>
                <c:pt idx="23">
                  <c:v>-2.9182548702000002</c:v>
                </c:pt>
                <c:pt idx="24">
                  <c:v>-2.7414601629333348</c:v>
                </c:pt>
                <c:pt idx="25">
                  <c:v>-2.9300504630000002</c:v>
                </c:pt>
                <c:pt idx="26">
                  <c:v>-2.7941276717500001</c:v>
                </c:pt>
                <c:pt idx="27">
                  <c:v>-2.6058615365333351</c:v>
                </c:pt>
                <c:pt idx="28">
                  <c:v>-2.4457927398833328</c:v>
                </c:pt>
                <c:pt idx="29">
                  <c:v>-2.1392134014333348</c:v>
                </c:pt>
                <c:pt idx="30">
                  <c:v>-2.013987766283333</c:v>
                </c:pt>
                <c:pt idx="31">
                  <c:v>-2.0779818721333339</c:v>
                </c:pt>
                <c:pt idx="32">
                  <c:v>-1.560022383499998</c:v>
                </c:pt>
                <c:pt idx="33">
                  <c:v>-1.4120603638166651</c:v>
                </c:pt>
                <c:pt idx="34">
                  <c:v>-1.0897249280833321</c:v>
                </c:pt>
                <c:pt idx="35">
                  <c:v>-0.88791591855000007</c:v>
                </c:pt>
                <c:pt idx="36">
                  <c:v>-0.44230565116666748</c:v>
                </c:pt>
                <c:pt idx="37">
                  <c:v>-0.31027755191666689</c:v>
                </c:pt>
                <c:pt idx="38">
                  <c:v>-0.17020098759999949</c:v>
                </c:pt>
                <c:pt idx="39">
                  <c:v>2.370451500000037E-4</c:v>
                </c:pt>
                <c:pt idx="40">
                  <c:v>-3.8063756666634202E-4</c:v>
                </c:pt>
                <c:pt idx="41">
                  <c:v>0</c:v>
                </c:pt>
                <c:pt idx="42">
                  <c:v>-3.0800000000003053E-4</c:v>
                </c:pt>
                <c:pt idx="43">
                  <c:v>0</c:v>
                </c:pt>
                <c:pt idx="44">
                  <c:v>-4.0300000000000058E-4</c:v>
                </c:pt>
                <c:pt idx="45">
                  <c:v>9.5000000000011742E-5</c:v>
                </c:pt>
                <c:pt idx="46">
                  <c:v>0</c:v>
                </c:pt>
                <c:pt idx="47">
                  <c:v>3.6500000000000421E-4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C9D-4772-82F2-7A6AA9D4D7DF}"/>
            </c:ext>
          </c:extLst>
        </c:ser>
        <c:ser>
          <c:idx val="19"/>
          <c:order val="19"/>
          <c:tx>
            <c:v>BES_TR3_one477_A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Net_kW!$V$2:$V$49</c:f>
              <c:numCache>
                <c:formatCode>#,##0.000</c:formatCode>
                <c:ptCount val="48"/>
                <c:pt idx="0">
                  <c:v>5.3333333333016597E-5</c:v>
                </c:pt>
                <c:pt idx="1">
                  <c:v>6.0000000000004487E-5</c:v>
                </c:pt>
                <c:pt idx="2">
                  <c:v>2.7999999999889221E-5</c:v>
                </c:pt>
                <c:pt idx="3">
                  <c:v>0</c:v>
                </c:pt>
                <c:pt idx="4">
                  <c:v>7.7333333332985088E-5</c:v>
                </c:pt>
                <c:pt idx="5">
                  <c:v>6.4000000000008495E-5</c:v>
                </c:pt>
                <c:pt idx="6">
                  <c:v>0</c:v>
                </c:pt>
                <c:pt idx="7">
                  <c:v>-2.0230129999998511E-4</c:v>
                </c:pt>
                <c:pt idx="8">
                  <c:v>3.8156530000005301E-4</c:v>
                </c:pt>
                <c:pt idx="9">
                  <c:v>-1.9375061666668849E-4</c:v>
                </c:pt>
                <c:pt idx="10">
                  <c:v>8.5391899999493967E-5</c:v>
                </c:pt>
                <c:pt idx="11">
                  <c:v>-1.434078666664729E-4</c:v>
                </c:pt>
                <c:pt idx="12">
                  <c:v>6.6527749999378827E-5</c:v>
                </c:pt>
                <c:pt idx="13">
                  <c:v>-1.00937899999487E-4</c:v>
                </c:pt>
                <c:pt idx="14">
                  <c:v>-3.1212888333298489E-4</c:v>
                </c:pt>
                <c:pt idx="15">
                  <c:v>2.3788291666704259E-4</c:v>
                </c:pt>
                <c:pt idx="16">
                  <c:v>1.7314231666643029E-4</c:v>
                </c:pt>
                <c:pt idx="17">
                  <c:v>2.0423323333407239E-4</c:v>
                </c:pt>
                <c:pt idx="18">
                  <c:v>-2.11760999999866E-4</c:v>
                </c:pt>
                <c:pt idx="19">
                  <c:v>-1.2511063333220379E-4</c:v>
                </c:pt>
                <c:pt idx="20">
                  <c:v>3.3731301666706243E-4</c:v>
                </c:pt>
                <c:pt idx="21">
                  <c:v>-2.720742045000013E-2</c:v>
                </c:pt>
                <c:pt idx="22">
                  <c:v>-1.208602055083333</c:v>
                </c:pt>
                <c:pt idx="23">
                  <c:v>-1.0097108491333331</c:v>
                </c:pt>
                <c:pt idx="24">
                  <c:v>-1.2569304984000009</c:v>
                </c:pt>
                <c:pt idx="25">
                  <c:v>-1.1328172936666669</c:v>
                </c:pt>
                <c:pt idx="26">
                  <c:v>-1.0808544307500001</c:v>
                </c:pt>
                <c:pt idx="27">
                  <c:v>-0.667449039466667</c:v>
                </c:pt>
                <c:pt idx="28">
                  <c:v>-0.69297212661666707</c:v>
                </c:pt>
                <c:pt idx="29">
                  <c:v>-0.73017698156666699</c:v>
                </c:pt>
                <c:pt idx="30">
                  <c:v>-0.64239018554999994</c:v>
                </c:pt>
                <c:pt idx="31">
                  <c:v>-0.55584594520000041</c:v>
                </c:pt>
                <c:pt idx="32">
                  <c:v>-0.37999102149999953</c:v>
                </c:pt>
                <c:pt idx="33">
                  <c:v>-0.50371006068333246</c:v>
                </c:pt>
                <c:pt idx="34">
                  <c:v>-2.4639774999940522E-4</c:v>
                </c:pt>
                <c:pt idx="35">
                  <c:v>1.302253833299627E-4</c:v>
                </c:pt>
                <c:pt idx="36">
                  <c:v>3.2981616666548358E-4</c:v>
                </c:pt>
                <c:pt idx="37">
                  <c:v>-4.2585558333299751E-4</c:v>
                </c:pt>
                <c:pt idx="38">
                  <c:v>-9.494706666979269E-5</c:v>
                </c:pt>
                <c:pt idx="39">
                  <c:v>-3.6664731666691258E-4</c:v>
                </c:pt>
                <c:pt idx="40">
                  <c:v>4.6825056666699449E-4</c:v>
                </c:pt>
                <c:pt idx="41">
                  <c:v>-2.07999999999986E-4</c:v>
                </c:pt>
                <c:pt idx="42">
                  <c:v>4.5600000000001201E-4</c:v>
                </c:pt>
                <c:pt idx="43">
                  <c:v>2.3866666666694239E-4</c:v>
                </c:pt>
                <c:pt idx="44">
                  <c:v>0.36727666666666597</c:v>
                </c:pt>
                <c:pt idx="45">
                  <c:v>0.89271033333333405</c:v>
                </c:pt>
                <c:pt idx="46">
                  <c:v>0.98620533333333305</c:v>
                </c:pt>
                <c:pt idx="47">
                  <c:v>0.67667100000000002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C9D-4772-82F2-7A6AA9D4D7DF}"/>
            </c:ext>
          </c:extLst>
        </c:ser>
        <c:ser>
          <c:idx val="20"/>
          <c:order val="20"/>
          <c:tx>
            <c:v>BES_TR3_one480_A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Net_kW!$W$2:$W$49</c:f>
              <c:numCache>
                <c:formatCode>#,##0.000</c:formatCode>
                <c:ptCount val="48"/>
                <c:pt idx="0">
                  <c:v>-9.3333333333001089E-5</c:v>
                </c:pt>
                <c:pt idx="1">
                  <c:v>0</c:v>
                </c:pt>
                <c:pt idx="2">
                  <c:v>0</c:v>
                </c:pt>
                <c:pt idx="3">
                  <c:v>-5.1333333333014597E-5</c:v>
                </c:pt>
                <c:pt idx="4">
                  <c:v>-4.2000000000097508E-5</c:v>
                </c:pt>
                <c:pt idx="5">
                  <c:v>0</c:v>
                </c:pt>
                <c:pt idx="6">
                  <c:v>-7.9333333333014844E-5</c:v>
                </c:pt>
                <c:pt idx="7">
                  <c:v>-4.5480346666666732E-4</c:v>
                </c:pt>
                <c:pt idx="8">
                  <c:v>-2.143333319940682E-8</c:v>
                </c:pt>
                <c:pt idx="9">
                  <c:v>4.2644279999998203E-4</c:v>
                </c:pt>
                <c:pt idx="10">
                  <c:v>-3.4495493333458471E-4</c:v>
                </c:pt>
                <c:pt idx="11">
                  <c:v>5.3356800000958771E-5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4.0545200000074999E-5</c:v>
                </c:pt>
                <c:pt idx="15">
                  <c:v>-0.93405208999999978</c:v>
                </c:pt>
                <c:pt idx="16">
                  <c:v>-2.1775775316000008</c:v>
                </c:pt>
                <c:pt idx="17">
                  <c:v>-2.4270959336</c:v>
                </c:pt>
                <c:pt idx="18">
                  <c:v>-2.6090663626666681</c:v>
                </c:pt>
                <c:pt idx="19">
                  <c:v>-2.9027448727999978</c:v>
                </c:pt>
                <c:pt idx="20">
                  <c:v>-2.9901022764000009</c:v>
                </c:pt>
                <c:pt idx="21">
                  <c:v>-3.2333051211999999</c:v>
                </c:pt>
                <c:pt idx="22">
                  <c:v>-3.2350712580000009</c:v>
                </c:pt>
                <c:pt idx="23">
                  <c:v>-3.3795667088000001</c:v>
                </c:pt>
                <c:pt idx="24">
                  <c:v>-3.3475233290666679</c:v>
                </c:pt>
                <c:pt idx="25">
                  <c:v>-3.3133730053333328</c:v>
                </c:pt>
                <c:pt idx="26">
                  <c:v>-3.2871584820000002</c:v>
                </c:pt>
                <c:pt idx="27">
                  <c:v>-3.0142706608000012</c:v>
                </c:pt>
                <c:pt idx="28">
                  <c:v>-2.9404798932</c:v>
                </c:pt>
                <c:pt idx="29">
                  <c:v>-2.6522671730666678</c:v>
                </c:pt>
                <c:pt idx="30">
                  <c:v>-2.3511612947999998</c:v>
                </c:pt>
                <c:pt idx="31">
                  <c:v>-2.2802529872000008</c:v>
                </c:pt>
                <c:pt idx="32">
                  <c:v>-1.959112723999999</c:v>
                </c:pt>
                <c:pt idx="33">
                  <c:v>-1.5695083395999989</c:v>
                </c:pt>
                <c:pt idx="34">
                  <c:v>-1.380352593999999</c:v>
                </c:pt>
                <c:pt idx="35">
                  <c:v>-1.0894380212000001</c:v>
                </c:pt>
                <c:pt idx="36">
                  <c:v>-0.73256960133333504</c:v>
                </c:pt>
                <c:pt idx="37">
                  <c:v>-0.35585815933333298</c:v>
                </c:pt>
                <c:pt idx="38">
                  <c:v>-0.13761074773333321</c:v>
                </c:pt>
                <c:pt idx="39">
                  <c:v>-3.9948399999989448E-5</c:v>
                </c:pt>
                <c:pt idx="40">
                  <c:v>1.75557066666332E-4</c:v>
                </c:pt>
                <c:pt idx="41">
                  <c:v>-3.99333333332974E-4</c:v>
                </c:pt>
                <c:pt idx="42">
                  <c:v>1.7666666666699141E-4</c:v>
                </c:pt>
                <c:pt idx="43">
                  <c:v>4.4700000000003071E-4</c:v>
                </c:pt>
                <c:pt idx="44">
                  <c:v>1.833333333329801E-4</c:v>
                </c:pt>
                <c:pt idx="45">
                  <c:v>-1.6599999999999951E-4</c:v>
                </c:pt>
                <c:pt idx="46">
                  <c:v>-2.4266666666705741E-4</c:v>
                </c:pt>
                <c:pt idx="47">
                  <c:v>-8.2666666667008393E-5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C9D-4772-82F2-7A6AA9D4D7DF}"/>
            </c:ext>
          </c:extLst>
        </c:ser>
        <c:ser>
          <c:idx val="21"/>
          <c:order val="21"/>
          <c:tx>
            <c:v>BES_TR3_one482_B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-4.0533333333300781E-4</c:v>
                </c:pt>
                <c:pt idx="3">
                  <c:v>0</c:v>
                </c:pt>
                <c:pt idx="4">
                  <c:v>2.24000000000002E-4</c:v>
                </c:pt>
                <c:pt idx="5">
                  <c:v>3.7066666666658871E-4</c:v>
                </c:pt>
                <c:pt idx="6">
                  <c:v>0</c:v>
                </c:pt>
                <c:pt idx="7">
                  <c:v>4.6852986666634511E-4</c:v>
                </c:pt>
                <c:pt idx="8">
                  <c:v>-4.9159199999902058E-5</c:v>
                </c:pt>
                <c:pt idx="9">
                  <c:v>4.2644280000000978E-4</c:v>
                </c:pt>
                <c:pt idx="10">
                  <c:v>2.5437839999897788E-4</c:v>
                </c:pt>
                <c:pt idx="11">
                  <c:v>1.420234666681397E-4</c:v>
                </c:pt>
                <c:pt idx="12">
                  <c:v>1.934073333318409E-4</c:v>
                </c:pt>
                <c:pt idx="13">
                  <c:v>-2.5850106666513989E-4</c:v>
                </c:pt>
                <c:pt idx="14">
                  <c:v>4.0545199999852948E-5</c:v>
                </c:pt>
                <c:pt idx="15">
                  <c:v>-0.64603142333333285</c:v>
                </c:pt>
                <c:pt idx="16">
                  <c:v>-2.2113293982666682</c:v>
                </c:pt>
                <c:pt idx="17">
                  <c:v>-2.482903066933333</c:v>
                </c:pt>
                <c:pt idx="18">
                  <c:v>-2.6051746960000011</c:v>
                </c:pt>
                <c:pt idx="19">
                  <c:v>-2.7362234061333321</c:v>
                </c:pt>
                <c:pt idx="20">
                  <c:v>-2.8337457430666682</c:v>
                </c:pt>
                <c:pt idx="21">
                  <c:v>-3.1096907545333332</c:v>
                </c:pt>
                <c:pt idx="22">
                  <c:v>-2.822070224666668</c:v>
                </c:pt>
                <c:pt idx="23">
                  <c:v>-2.4316650088</c:v>
                </c:pt>
                <c:pt idx="24">
                  <c:v>-3.3749648957333349</c:v>
                </c:pt>
                <c:pt idx="25">
                  <c:v>-3.3125828386666671</c:v>
                </c:pt>
                <c:pt idx="26">
                  <c:v>-3.1964421486666672</c:v>
                </c:pt>
                <c:pt idx="27">
                  <c:v>-3.125576394133335</c:v>
                </c:pt>
                <c:pt idx="28">
                  <c:v>-2.0935158265333329</c:v>
                </c:pt>
                <c:pt idx="29">
                  <c:v>-2.751704839733335</c:v>
                </c:pt>
                <c:pt idx="30">
                  <c:v>-2.5312618281333328</c:v>
                </c:pt>
                <c:pt idx="31">
                  <c:v>-2.363527853866668</c:v>
                </c:pt>
                <c:pt idx="32">
                  <c:v>-2.0322613906666649</c:v>
                </c:pt>
                <c:pt idx="33">
                  <c:v>-1.791071272933332</c:v>
                </c:pt>
                <c:pt idx="34">
                  <c:v>-1.486211727333332</c:v>
                </c:pt>
                <c:pt idx="35">
                  <c:v>-1.038009954533333</c:v>
                </c:pt>
                <c:pt idx="36">
                  <c:v>-0.57300046800000104</c:v>
                </c:pt>
                <c:pt idx="37">
                  <c:v>3.1940666670060569E-5</c:v>
                </c:pt>
                <c:pt idx="38">
                  <c:v>-2.1808106666618141E-4</c:v>
                </c:pt>
                <c:pt idx="39">
                  <c:v>5.1599999995044499E-8</c:v>
                </c:pt>
                <c:pt idx="40">
                  <c:v>2.3622373333331839E-4</c:v>
                </c:pt>
                <c:pt idx="41">
                  <c:v>0</c:v>
                </c:pt>
                <c:pt idx="42">
                  <c:v>-4.0533333333300781E-4</c:v>
                </c:pt>
                <c:pt idx="43">
                  <c:v>0</c:v>
                </c:pt>
                <c:pt idx="44">
                  <c:v>-4.0533333333300781E-4</c:v>
                </c:pt>
                <c:pt idx="45">
                  <c:v>0</c:v>
                </c:pt>
                <c:pt idx="46">
                  <c:v>-3.1466666666669918E-4</c:v>
                </c:pt>
                <c:pt idx="47">
                  <c:v>-9.0666666666988638E-5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C9D-4772-82F2-7A6AA9D4D7DF}"/>
            </c:ext>
          </c:extLst>
        </c:ser>
        <c:ser>
          <c:idx val="22"/>
          <c:order val="22"/>
          <c:tx>
            <c:v>BES_TR3_one521_C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Net_kW!$Y$2:$Y$49</c:f>
              <c:numCache>
                <c:formatCode>#,##0.000</c:formatCode>
                <c:ptCount val="48"/>
                <c:pt idx="0">
                  <c:v>-1.819999999999877E-4</c:v>
                </c:pt>
                <c:pt idx="1">
                  <c:v>-1.03999999999993E-4</c:v>
                </c:pt>
                <c:pt idx="2">
                  <c:v>0</c:v>
                </c:pt>
                <c:pt idx="3">
                  <c:v>0</c:v>
                </c:pt>
                <c:pt idx="4">
                  <c:v>-2.8599999999998071E-4</c:v>
                </c:pt>
                <c:pt idx="5">
                  <c:v>0</c:v>
                </c:pt>
                <c:pt idx="6">
                  <c:v>-1.4300000000000421E-4</c:v>
                </c:pt>
                <c:pt idx="7">
                  <c:v>4.1619653333331558E-4</c:v>
                </c:pt>
                <c:pt idx="8">
                  <c:v>-2.143333319940682E-8</c:v>
                </c:pt>
                <c:pt idx="9">
                  <c:v>1.4044280000000481E-4</c:v>
                </c:pt>
                <c:pt idx="10">
                  <c:v>-3.4028826666798739E-4</c:v>
                </c:pt>
                <c:pt idx="11">
                  <c:v>-1.4397653333209079E-4</c:v>
                </c:pt>
                <c:pt idx="12">
                  <c:v>8.1407333331950937E-5</c:v>
                </c:pt>
                <c:pt idx="13">
                  <c:v>1.288322666679331E-4</c:v>
                </c:pt>
                <c:pt idx="14">
                  <c:v>-1.1545479999997001E-4</c:v>
                </c:pt>
                <c:pt idx="15">
                  <c:v>-0.40030742333333319</c:v>
                </c:pt>
                <c:pt idx="16">
                  <c:v>-2.0200363982666678</c:v>
                </c:pt>
                <c:pt idx="17">
                  <c:v>-2.375272266933333</c:v>
                </c:pt>
                <c:pt idx="18">
                  <c:v>-2.5455373626666682</c:v>
                </c:pt>
                <c:pt idx="19">
                  <c:v>-2.6455274061333318</c:v>
                </c:pt>
                <c:pt idx="20">
                  <c:v>-2.9449189430666678</c:v>
                </c:pt>
                <c:pt idx="21">
                  <c:v>-2.9450781211999999</c:v>
                </c:pt>
                <c:pt idx="22">
                  <c:v>-3.1559469246666678</c:v>
                </c:pt>
                <c:pt idx="23">
                  <c:v>-2.0676470421333302</c:v>
                </c:pt>
                <c:pt idx="24">
                  <c:v>-3.1774339957333351</c:v>
                </c:pt>
                <c:pt idx="25">
                  <c:v>-3.266855005333333</c:v>
                </c:pt>
                <c:pt idx="26">
                  <c:v>-3.1334444819999998</c:v>
                </c:pt>
                <c:pt idx="27">
                  <c:v>-3.1633343274666679</c:v>
                </c:pt>
                <c:pt idx="28">
                  <c:v>-2.9187812265333331</c:v>
                </c:pt>
                <c:pt idx="29">
                  <c:v>-2.568762506400001</c:v>
                </c:pt>
                <c:pt idx="30">
                  <c:v>-1.42016582813333</c:v>
                </c:pt>
                <c:pt idx="31">
                  <c:v>-2.2108945205333339</c:v>
                </c:pt>
                <c:pt idx="32">
                  <c:v>-2.071436723999998</c:v>
                </c:pt>
                <c:pt idx="33">
                  <c:v>-1.6763536062666651</c:v>
                </c:pt>
                <c:pt idx="34">
                  <c:v>-1.290576727333332</c:v>
                </c:pt>
                <c:pt idx="35">
                  <c:v>-1.060368954533333</c:v>
                </c:pt>
                <c:pt idx="36">
                  <c:v>-0.68477193466666808</c:v>
                </c:pt>
                <c:pt idx="37">
                  <c:v>-0.48198072600000003</c:v>
                </c:pt>
                <c:pt idx="38">
                  <c:v>-0.2063507477333332</c:v>
                </c:pt>
                <c:pt idx="39">
                  <c:v>2.160516000000445E-4</c:v>
                </c:pt>
                <c:pt idx="40">
                  <c:v>3.9522373333311661E-4</c:v>
                </c:pt>
                <c:pt idx="41">
                  <c:v>3.5333333333301131E-4</c:v>
                </c:pt>
                <c:pt idx="42">
                  <c:v>-4.1800000000002951E-4</c:v>
                </c:pt>
                <c:pt idx="43">
                  <c:v>-5.1999999999996487E-5</c:v>
                </c:pt>
                <c:pt idx="44">
                  <c:v>1.2666666666699691E-4</c:v>
                </c:pt>
                <c:pt idx="45">
                  <c:v>-2.9566666666699942E-4</c:v>
                </c:pt>
                <c:pt idx="46">
                  <c:v>2.7499999999999752E-4</c:v>
                </c:pt>
                <c:pt idx="47">
                  <c:v>3.5933333333293399E-4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C9D-4772-82F2-7A6AA9D4D7DF}"/>
            </c:ext>
          </c:extLst>
        </c:ser>
        <c:ser>
          <c:idx val="23"/>
          <c:order val="23"/>
          <c:tx>
            <c:v>BES_TR3_one528_C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Net_kW!$Z$2:$Z$49</c:f>
              <c:numCache>
                <c:formatCode>#,##0.000</c:formatCode>
                <c:ptCount val="48"/>
                <c:pt idx="0">
                  <c:v>-4.326666666669976E-4</c:v>
                </c:pt>
                <c:pt idx="1">
                  <c:v>-1.7666666666596439E-5</c:v>
                </c:pt>
                <c:pt idx="2">
                  <c:v>4.9666666667030901E-5</c:v>
                </c:pt>
                <c:pt idx="3">
                  <c:v>-1.799999999999996E-4</c:v>
                </c:pt>
                <c:pt idx="4">
                  <c:v>-2.1200000000000391E-4</c:v>
                </c:pt>
                <c:pt idx="5">
                  <c:v>-5.0999999999995493E-5</c:v>
                </c:pt>
                <c:pt idx="6">
                  <c:v>1.15000000000004E-4</c:v>
                </c:pt>
                <c:pt idx="7">
                  <c:v>2.41196533333321E-4</c:v>
                </c:pt>
                <c:pt idx="8">
                  <c:v>2.655074666667988E-4</c:v>
                </c:pt>
                <c:pt idx="9">
                  <c:v>1.084427999999832E-4</c:v>
                </c:pt>
                <c:pt idx="10">
                  <c:v>-2.5862160000106332E-4</c:v>
                </c:pt>
                <c:pt idx="11">
                  <c:v>-8.7643199998543864E-5</c:v>
                </c:pt>
                <c:pt idx="12">
                  <c:v>-5.4259333335138222E-5</c:v>
                </c:pt>
                <c:pt idx="13">
                  <c:v>2.4649893333483769E-4</c:v>
                </c:pt>
                <c:pt idx="14">
                  <c:v>4.0545200000074999E-5</c:v>
                </c:pt>
                <c:pt idx="15">
                  <c:v>-0.2167740899999997</c:v>
                </c:pt>
                <c:pt idx="16">
                  <c:v>-2.2163293982666681</c:v>
                </c:pt>
                <c:pt idx="17">
                  <c:v>-2.4153609336000001</c:v>
                </c:pt>
                <c:pt idx="18">
                  <c:v>-2.6070133626666681</c:v>
                </c:pt>
                <c:pt idx="19">
                  <c:v>-2.9183834061333318</c:v>
                </c:pt>
                <c:pt idx="20">
                  <c:v>-2.9836819430666681</c:v>
                </c:pt>
                <c:pt idx="21">
                  <c:v>-3.1567801212000002</c:v>
                </c:pt>
                <c:pt idx="22">
                  <c:v>-3.2772429246666679</c:v>
                </c:pt>
                <c:pt idx="23">
                  <c:v>-3.2701547087999998</c:v>
                </c:pt>
                <c:pt idx="24">
                  <c:v>-3.3787763290666679</c:v>
                </c:pt>
                <c:pt idx="25">
                  <c:v>-3.302266672</c:v>
                </c:pt>
                <c:pt idx="26">
                  <c:v>-3.2420434820000001</c:v>
                </c:pt>
                <c:pt idx="27">
                  <c:v>-3.0976346608000012</c:v>
                </c:pt>
                <c:pt idx="28">
                  <c:v>-2.842099559866667</c:v>
                </c:pt>
                <c:pt idx="29">
                  <c:v>-2.7061581730666679</c:v>
                </c:pt>
                <c:pt idx="30">
                  <c:v>-2.6311284948</c:v>
                </c:pt>
                <c:pt idx="31">
                  <c:v>-2.2764138538666678</c:v>
                </c:pt>
                <c:pt idx="32">
                  <c:v>-2.0501180573333322</c:v>
                </c:pt>
                <c:pt idx="33">
                  <c:v>-1.6913712729333319</c:v>
                </c:pt>
                <c:pt idx="34">
                  <c:v>-1.2096727273333321</c:v>
                </c:pt>
                <c:pt idx="35">
                  <c:v>-0.99208595453333304</c:v>
                </c:pt>
                <c:pt idx="36">
                  <c:v>-0.468693268000001</c:v>
                </c:pt>
                <c:pt idx="37">
                  <c:v>-0.122725392666666</c:v>
                </c:pt>
                <c:pt idx="38">
                  <c:v>-2.7550414400000171E-2</c:v>
                </c:pt>
                <c:pt idx="39">
                  <c:v>3.2338493333300411E-4</c:v>
                </c:pt>
                <c:pt idx="40">
                  <c:v>-2.4044293333380651E-4</c:v>
                </c:pt>
                <c:pt idx="41">
                  <c:v>3.66666666670179E-5</c:v>
                </c:pt>
                <c:pt idx="42">
                  <c:v>-2.40000000000018E-4</c:v>
                </c:pt>
                <c:pt idx="43">
                  <c:v>-1.236666666665914E-4</c:v>
                </c:pt>
                <c:pt idx="44">
                  <c:v>4.7566666666704061E-4</c:v>
                </c:pt>
                <c:pt idx="45">
                  <c:v>-1.3266666666700291E-4</c:v>
                </c:pt>
                <c:pt idx="46">
                  <c:v>1.6466666666703489E-4</c:v>
                </c:pt>
                <c:pt idx="47">
                  <c:v>3.3379999999999521E-4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C9D-4772-82F2-7A6AA9D4D7DF}"/>
            </c:ext>
          </c:extLst>
        </c:ser>
        <c:ser>
          <c:idx val="24"/>
          <c:order val="24"/>
          <c:tx>
            <c:v>BES_TR3_one61_A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Net_kW!$AA$2:$AA$49</c:f>
              <c:numCache>
                <c:formatCode>#,##0.000</c:formatCode>
                <c:ptCount val="48"/>
                <c:pt idx="0">
                  <c:v>2.6666666666924628E-6</c:v>
                </c:pt>
                <c:pt idx="1">
                  <c:v>-4.2599999999998189E-4</c:v>
                </c:pt>
                <c:pt idx="2">
                  <c:v>0</c:v>
                </c:pt>
                <c:pt idx="3">
                  <c:v>-3.7000000000000921E-4</c:v>
                </c:pt>
                <c:pt idx="4">
                  <c:v>-5.3333333332988841E-5</c:v>
                </c:pt>
                <c:pt idx="5">
                  <c:v>0</c:v>
                </c:pt>
                <c:pt idx="6">
                  <c:v>-4.3800000000002171E-4</c:v>
                </c:pt>
                <c:pt idx="7">
                  <c:v>-1.3783549999968339E-4</c:v>
                </c:pt>
                <c:pt idx="8">
                  <c:v>-8.2057833333246122E-5</c:v>
                </c:pt>
                <c:pt idx="9">
                  <c:v>-4.0847325000002021E-4</c:v>
                </c:pt>
                <c:pt idx="10">
                  <c:v>2.889864999995051E-4</c:v>
                </c:pt>
                <c:pt idx="11">
                  <c:v>-3.3390199999944192E-4</c:v>
                </c:pt>
                <c:pt idx="12">
                  <c:v>3.0021291666548772E-4</c:v>
                </c:pt>
                <c:pt idx="13">
                  <c:v>4.1177016666760208E-4</c:v>
                </c:pt>
                <c:pt idx="14">
                  <c:v>-2.099925833330962E-4</c:v>
                </c:pt>
                <c:pt idx="15">
                  <c:v>-1.413062499999729E-4</c:v>
                </c:pt>
                <c:pt idx="16">
                  <c:v>-2.0587391666793131E-4</c:v>
                </c:pt>
                <c:pt idx="17">
                  <c:v>-7.1500166667126663E-5</c:v>
                </c:pt>
                <c:pt idx="18">
                  <c:v>-1.3071182683333351</c:v>
                </c:pt>
                <c:pt idx="19">
                  <c:v>-1.804989628833332</c:v>
                </c:pt>
                <c:pt idx="20">
                  <c:v>-1.8365615894166669</c:v>
                </c:pt>
                <c:pt idx="21">
                  <c:v>-1.8174330340833329</c:v>
                </c:pt>
                <c:pt idx="22">
                  <c:v>-2.066611202916667</c:v>
                </c:pt>
                <c:pt idx="23">
                  <c:v>-1.894333526333333</c:v>
                </c:pt>
                <c:pt idx="24">
                  <c:v>-2.0401198306666668</c:v>
                </c:pt>
                <c:pt idx="25">
                  <c:v>-1.9737383783333331</c:v>
                </c:pt>
                <c:pt idx="26">
                  <c:v>-1.8878600512499999</c:v>
                </c:pt>
                <c:pt idx="27">
                  <c:v>-1.959333954666667</c:v>
                </c:pt>
                <c:pt idx="28">
                  <c:v>-1.6380287665833331</c:v>
                </c:pt>
                <c:pt idx="29">
                  <c:v>-1.7162058581666679</c:v>
                </c:pt>
                <c:pt idx="30">
                  <c:v>-1.54370230925</c:v>
                </c:pt>
                <c:pt idx="31">
                  <c:v>-1.2949162420000011</c:v>
                </c:pt>
                <c:pt idx="32">
                  <c:v>-1.3071250358333319</c:v>
                </c:pt>
                <c:pt idx="33">
                  <c:v>-1.103544545583333</c:v>
                </c:pt>
                <c:pt idx="34">
                  <c:v>-0.83125432958333245</c:v>
                </c:pt>
                <c:pt idx="35">
                  <c:v>-0.53639484658333303</c:v>
                </c:pt>
                <c:pt idx="36">
                  <c:v>-0.42472375083333452</c:v>
                </c:pt>
                <c:pt idx="37">
                  <c:v>-0.185205870416667</c:v>
                </c:pt>
                <c:pt idx="38">
                  <c:v>-0.16519913399999989</c:v>
                </c:pt>
                <c:pt idx="39">
                  <c:v>-3.5430108333330679E-4</c:v>
                </c:pt>
                <c:pt idx="40">
                  <c:v>-3.9636016666672052E-4</c:v>
                </c:pt>
                <c:pt idx="41">
                  <c:v>0</c:v>
                </c:pt>
                <c:pt idx="42">
                  <c:v>-4.2333333333299811E-4</c:v>
                </c:pt>
                <c:pt idx="43">
                  <c:v>0</c:v>
                </c:pt>
                <c:pt idx="44">
                  <c:v>1.066666666701965E-5</c:v>
                </c:pt>
                <c:pt idx="45">
                  <c:v>4.0000000000040004E-6</c:v>
                </c:pt>
                <c:pt idx="46">
                  <c:v>2.6666666666924628E-6</c:v>
                </c:pt>
                <c:pt idx="47">
                  <c:v>1.1999999999984251E-5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C9D-4772-82F2-7A6AA9D4D7DF}"/>
            </c:ext>
          </c:extLst>
        </c:ser>
        <c:ser>
          <c:idx val="25"/>
          <c:order val="25"/>
          <c:tx>
            <c:v>BES_TR3_one544_A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Net_kW!$AB$2:$AB$49</c:f>
              <c:numCache>
                <c:formatCode>#,##0.000</c:formatCode>
                <c:ptCount val="48"/>
                <c:pt idx="0">
                  <c:v>-2.0166666666704411E-4</c:v>
                </c:pt>
                <c:pt idx="1">
                  <c:v>-3.7733333332989888E-4</c:v>
                </c:pt>
                <c:pt idx="2">
                  <c:v>3.5666666666700492E-4</c:v>
                </c:pt>
                <c:pt idx="3">
                  <c:v>-3.8000000000000528E-4</c:v>
                </c:pt>
                <c:pt idx="4">
                  <c:v>-7.1666666666997392E-5</c:v>
                </c:pt>
                <c:pt idx="5">
                  <c:v>9.7548333333332987E-2</c:v>
                </c:pt>
                <c:pt idx="6">
                  <c:v>4.2999999999999997E-2</c:v>
                </c:pt>
                <c:pt idx="7">
                  <c:v>0.1801691965333333</c:v>
                </c:pt>
                <c:pt idx="8">
                  <c:v>7.1182174133333803E-2</c:v>
                </c:pt>
                <c:pt idx="9">
                  <c:v>1.8810946666661391E-4</c:v>
                </c:pt>
                <c:pt idx="10">
                  <c:v>-2.9528826666802571E-4</c:v>
                </c:pt>
                <c:pt idx="11">
                  <c:v>-2.379765333319073E-4</c:v>
                </c:pt>
                <c:pt idx="12">
                  <c:v>-6.1926000001100157E-5</c:v>
                </c:pt>
                <c:pt idx="13">
                  <c:v>2.588322666678966E-4</c:v>
                </c:pt>
                <c:pt idx="14">
                  <c:v>4.0054519999999089E-4</c:v>
                </c:pt>
                <c:pt idx="15">
                  <c:v>3.7857666666707418E-4</c:v>
                </c:pt>
                <c:pt idx="16">
                  <c:v>-0.56021873160000113</c:v>
                </c:pt>
                <c:pt idx="17">
                  <c:v>-2.2024332669333329</c:v>
                </c:pt>
                <c:pt idx="18">
                  <c:v>-2.5541536960000011</c:v>
                </c:pt>
                <c:pt idx="19">
                  <c:v>-2.8338014061333321</c:v>
                </c:pt>
                <c:pt idx="20">
                  <c:v>-3.032388943066668</c:v>
                </c:pt>
                <c:pt idx="21">
                  <c:v>-3.1778117878666672</c:v>
                </c:pt>
                <c:pt idx="22">
                  <c:v>-3.2290245913333351</c:v>
                </c:pt>
                <c:pt idx="23">
                  <c:v>-3.3136411088000002</c:v>
                </c:pt>
                <c:pt idx="24">
                  <c:v>-3.0328596624000008</c:v>
                </c:pt>
                <c:pt idx="25">
                  <c:v>-3.271251672</c:v>
                </c:pt>
                <c:pt idx="26">
                  <c:v>-3.2774684820000002</c:v>
                </c:pt>
                <c:pt idx="27">
                  <c:v>-3.0163343274666681</c:v>
                </c:pt>
                <c:pt idx="28">
                  <c:v>-2.8569932265333331</c:v>
                </c:pt>
                <c:pt idx="29">
                  <c:v>-2.6054558397333349</c:v>
                </c:pt>
                <c:pt idx="30">
                  <c:v>-2.5970701614666671</c:v>
                </c:pt>
                <c:pt idx="31">
                  <c:v>-2.331963853866668</c:v>
                </c:pt>
                <c:pt idx="32">
                  <c:v>-2.0486833906666648</c:v>
                </c:pt>
                <c:pt idx="33">
                  <c:v>-1.7073312729333321</c:v>
                </c:pt>
                <c:pt idx="34">
                  <c:v>-1.4315917273333321</c:v>
                </c:pt>
                <c:pt idx="35">
                  <c:v>-1.0110929545333329</c:v>
                </c:pt>
                <c:pt idx="36">
                  <c:v>-0.86555693466666805</c:v>
                </c:pt>
                <c:pt idx="37">
                  <c:v>-0.36563405933333298</c:v>
                </c:pt>
                <c:pt idx="38">
                  <c:v>-0.26677408106666622</c:v>
                </c:pt>
                <c:pt idx="39">
                  <c:v>-1.8281733332986549E-5</c:v>
                </c:pt>
                <c:pt idx="40">
                  <c:v>1.6989040000026101E-4</c:v>
                </c:pt>
                <c:pt idx="41">
                  <c:v>-1.3000000000001899E-4</c:v>
                </c:pt>
                <c:pt idx="42">
                  <c:v>-4.503333333329973E-4</c:v>
                </c:pt>
                <c:pt idx="43">
                  <c:v>-2.9299999999998771E-4</c:v>
                </c:pt>
                <c:pt idx="44">
                  <c:v>9.6666666665967682E-5</c:v>
                </c:pt>
                <c:pt idx="45">
                  <c:v>2.3999999999996249E-4</c:v>
                </c:pt>
                <c:pt idx="46">
                  <c:v>-1.649999999999707E-4</c:v>
                </c:pt>
                <c:pt idx="47">
                  <c:v>3.3500000000002972E-4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C9D-4772-82F2-7A6AA9D4D7DF}"/>
            </c:ext>
          </c:extLst>
        </c:ser>
        <c:ser>
          <c:idx val="26"/>
          <c:order val="26"/>
          <c:tx>
            <c:v>BES_TR3_one552_B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Net_kW!$AC$2:$AC$49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2.2999999999998019E-4</c:v>
                </c:pt>
                <c:pt idx="3">
                  <c:v>0</c:v>
                </c:pt>
                <c:pt idx="4">
                  <c:v>3.3500000000000202E-4</c:v>
                </c:pt>
                <c:pt idx="5">
                  <c:v>-1.04999999999994E-4</c:v>
                </c:pt>
                <c:pt idx="6">
                  <c:v>0</c:v>
                </c:pt>
                <c:pt idx="7">
                  <c:v>2.1929696666667109E-4</c:v>
                </c:pt>
                <c:pt idx="8">
                  <c:v>4.8231903333343691E-4</c:v>
                </c:pt>
                <c:pt idx="9">
                  <c:v>-2.6862550000002899E-5</c:v>
                </c:pt>
                <c:pt idx="10">
                  <c:v>8.2247766665488609E-5</c:v>
                </c:pt>
                <c:pt idx="11">
                  <c:v>-1.2572946666533641E-4</c:v>
                </c:pt>
                <c:pt idx="12">
                  <c:v>3.0123141666538178E-4</c:v>
                </c:pt>
                <c:pt idx="13">
                  <c:v>-2.3521766664869052E-5</c:v>
                </c:pt>
                <c:pt idx="14">
                  <c:v>-1.045229500000744E-4</c:v>
                </c:pt>
                <c:pt idx="15">
                  <c:v>2.4450458333413749E-4</c:v>
                </c:pt>
                <c:pt idx="16">
                  <c:v>-0.70998289015000116</c:v>
                </c:pt>
                <c:pt idx="17">
                  <c:v>-1.8886089002333331</c:v>
                </c:pt>
                <c:pt idx="18">
                  <c:v>-2.1300094423333351</c:v>
                </c:pt>
                <c:pt idx="19">
                  <c:v>-2.3530854803666652</c:v>
                </c:pt>
                <c:pt idx="20">
                  <c:v>-2.3490258251833338</c:v>
                </c:pt>
                <c:pt idx="21">
                  <c:v>-2.7611479810500001</c:v>
                </c:pt>
                <c:pt idx="22">
                  <c:v>-2.795119184083334</c:v>
                </c:pt>
                <c:pt idx="23">
                  <c:v>-2.8322289035333328</c:v>
                </c:pt>
                <c:pt idx="24">
                  <c:v>-2.9581711629333349</c:v>
                </c:pt>
                <c:pt idx="25">
                  <c:v>-2.8494164629999998</c:v>
                </c:pt>
                <c:pt idx="26">
                  <c:v>-2.7783986717500002</c:v>
                </c:pt>
                <c:pt idx="27">
                  <c:v>-2.7541538698666681</c:v>
                </c:pt>
                <c:pt idx="28">
                  <c:v>-2.4929144065500002</c:v>
                </c:pt>
                <c:pt idx="29">
                  <c:v>-2.424591401433335</c:v>
                </c:pt>
                <c:pt idx="30">
                  <c:v>-2.2493587996166671</c:v>
                </c:pt>
                <c:pt idx="31">
                  <c:v>-1.8327632054666669</c:v>
                </c:pt>
                <c:pt idx="32">
                  <c:v>-1.751545050166665</c:v>
                </c:pt>
                <c:pt idx="33">
                  <c:v>-1.3155243638166649</c:v>
                </c:pt>
                <c:pt idx="34">
                  <c:v>-1.2063862614166649</c:v>
                </c:pt>
                <c:pt idx="35">
                  <c:v>-0.93567541855000003</c:v>
                </c:pt>
                <c:pt idx="36">
                  <c:v>-0.51217345116666746</c:v>
                </c:pt>
                <c:pt idx="37">
                  <c:v>-0.43589358524999999</c:v>
                </c:pt>
                <c:pt idx="38">
                  <c:v>2.006790666665009E-4</c:v>
                </c:pt>
                <c:pt idx="39">
                  <c:v>-2.332881833330136E-4</c:v>
                </c:pt>
                <c:pt idx="40">
                  <c:v>-2.9697090000035947E-4</c:v>
                </c:pt>
                <c:pt idx="41">
                  <c:v>3.9499999999992319E-4</c:v>
                </c:pt>
                <c:pt idx="42">
                  <c:v>-4.0366666666702411E-4</c:v>
                </c:pt>
                <c:pt idx="43">
                  <c:v>-2.6266666666707739E-4</c:v>
                </c:pt>
                <c:pt idx="44">
                  <c:v>-1.2000000000012E-4</c:v>
                </c:pt>
                <c:pt idx="45">
                  <c:v>4.6399999999996439E-4</c:v>
                </c:pt>
                <c:pt idx="46">
                  <c:v>-4.283333333339745E-4</c:v>
                </c:pt>
                <c:pt idx="47">
                  <c:v>-1.750000000001056E-4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C9D-4772-82F2-7A6AA9D4D7DF}"/>
            </c:ext>
          </c:extLst>
        </c:ser>
        <c:ser>
          <c:idx val="27"/>
          <c:order val="27"/>
          <c:tx>
            <c:v>BES_TR3_one559_C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Net_kW!$AD$2:$AD$49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-2.346666666669939E-4</c:v>
                </c:pt>
                <c:pt idx="2">
                  <c:v>3.6000000000008248E-5</c:v>
                </c:pt>
                <c:pt idx="3">
                  <c:v>1.733333333329978E-4</c:v>
                </c:pt>
                <c:pt idx="4">
                  <c:v>-9.4000000000010742E-5</c:v>
                </c:pt>
                <c:pt idx="5">
                  <c:v>-1.0466666666703039E-4</c:v>
                </c:pt>
                <c:pt idx="6">
                  <c:v>-6.9388939039072284E-18</c:v>
                </c:pt>
                <c:pt idx="7">
                  <c:v>3.6052986666634812E-4</c:v>
                </c:pt>
                <c:pt idx="8">
                  <c:v>2.6550746666679538E-4</c:v>
                </c:pt>
                <c:pt idx="9">
                  <c:v>-1.3889053333300541E-4</c:v>
                </c:pt>
                <c:pt idx="10">
                  <c:v>2.6378399998971961E-5</c:v>
                </c:pt>
                <c:pt idx="11">
                  <c:v>1.420234666680287E-4</c:v>
                </c:pt>
                <c:pt idx="12">
                  <c:v>-1.172593333350624E-4</c:v>
                </c:pt>
                <c:pt idx="13">
                  <c:v>2.588322666678966E-4</c:v>
                </c:pt>
                <c:pt idx="14">
                  <c:v>-4.5454800000177542E-5</c:v>
                </c:pt>
                <c:pt idx="15">
                  <c:v>2.6124333333310551E-4</c:v>
                </c:pt>
                <c:pt idx="16">
                  <c:v>-1.4497027316000011</c:v>
                </c:pt>
                <c:pt idx="17">
                  <c:v>-2.2804762669333338</c:v>
                </c:pt>
                <c:pt idx="18">
                  <c:v>-2.708575362666668</c:v>
                </c:pt>
                <c:pt idx="19">
                  <c:v>-2.8800874061333319</c:v>
                </c:pt>
                <c:pt idx="20">
                  <c:v>-2.864046943066668</c:v>
                </c:pt>
                <c:pt idx="21">
                  <c:v>-3.1907617878666672</c:v>
                </c:pt>
                <c:pt idx="22">
                  <c:v>-3.232941924666668</c:v>
                </c:pt>
                <c:pt idx="23">
                  <c:v>-3.3169747088000001</c:v>
                </c:pt>
                <c:pt idx="24">
                  <c:v>-3.382481329066668</c:v>
                </c:pt>
                <c:pt idx="25">
                  <c:v>-3.2136936719999998</c:v>
                </c:pt>
                <c:pt idx="26">
                  <c:v>-3.1469851486666669</c:v>
                </c:pt>
                <c:pt idx="27">
                  <c:v>-2.7962336608000009</c:v>
                </c:pt>
                <c:pt idx="28">
                  <c:v>-2.8578945598666672</c:v>
                </c:pt>
                <c:pt idx="29">
                  <c:v>-2.638383906400001</c:v>
                </c:pt>
                <c:pt idx="30">
                  <c:v>-2.5533884948000001</c:v>
                </c:pt>
                <c:pt idx="31">
                  <c:v>-2.321005853866668</c:v>
                </c:pt>
                <c:pt idx="32">
                  <c:v>-1.9790387239999989</c:v>
                </c:pt>
                <c:pt idx="33">
                  <c:v>-1.666065939599999</c:v>
                </c:pt>
                <c:pt idx="34">
                  <c:v>-1.3618597273333319</c:v>
                </c:pt>
                <c:pt idx="35">
                  <c:v>-0.9296356212000001</c:v>
                </c:pt>
                <c:pt idx="36">
                  <c:v>-0.57139193466666804</c:v>
                </c:pt>
                <c:pt idx="37">
                  <c:v>-0.42980505933333302</c:v>
                </c:pt>
                <c:pt idx="38">
                  <c:v>7.8585599999791977E-5</c:v>
                </c:pt>
                <c:pt idx="39">
                  <c:v>-4.4761506666701761E-4</c:v>
                </c:pt>
                <c:pt idx="40">
                  <c:v>-4.2677626666676177E-4</c:v>
                </c:pt>
                <c:pt idx="41">
                  <c:v>2.3133333332991951E-4</c:v>
                </c:pt>
                <c:pt idx="42">
                  <c:v>3.6700000000011718E-4</c:v>
                </c:pt>
                <c:pt idx="43">
                  <c:v>-3.7500000000001421E-4</c:v>
                </c:pt>
                <c:pt idx="44">
                  <c:v>-6.0000000000171028E-5</c:v>
                </c:pt>
                <c:pt idx="45">
                  <c:v>0.46131300000000008</c:v>
                </c:pt>
                <c:pt idx="46">
                  <c:v>0.87497366666666698</c:v>
                </c:pt>
                <c:pt idx="47">
                  <c:v>0.52163599999999999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C9D-4772-82F2-7A6AA9D4D7DF}"/>
            </c:ext>
          </c:extLst>
        </c:ser>
        <c:ser>
          <c:idx val="28"/>
          <c:order val="28"/>
          <c:tx>
            <c:v>BES_TR3_one570_B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Net_kW!$AE$2:$AE$49</c:f>
              <c:numCache>
                <c:formatCode>#,##0.000</c:formatCode>
                <c:ptCount val="48"/>
                <c:pt idx="0">
                  <c:v>0</c:v>
                </c:pt>
                <c:pt idx="1">
                  <c:v>-3.2000000000004247E-5</c:v>
                </c:pt>
                <c:pt idx="2">
                  <c:v>0</c:v>
                </c:pt>
                <c:pt idx="3">
                  <c:v>-3.2000000000004247E-5</c:v>
                </c:pt>
                <c:pt idx="4">
                  <c:v>0</c:v>
                </c:pt>
                <c:pt idx="5">
                  <c:v>-3.2000000000004247E-5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-3.0086939999990001E-4</c:v>
                </c:pt>
                <c:pt idx="9">
                  <c:v>-4.3016789999997251E-4</c:v>
                </c:pt>
                <c:pt idx="10">
                  <c:v>4.2145046666569602E-4</c:v>
                </c:pt>
                <c:pt idx="11">
                  <c:v>1.4785093333430371E-4</c:v>
                </c:pt>
                <c:pt idx="12">
                  <c:v>3.2772216666898668E-4</c:v>
                </c:pt>
                <c:pt idx="13">
                  <c:v>4.5412420000112702E-4</c:v>
                </c:pt>
                <c:pt idx="14">
                  <c:v>-1.3625776666659209E-4</c:v>
                </c:pt>
                <c:pt idx="15">
                  <c:v>2.8509916666652479E-4</c:v>
                </c:pt>
                <c:pt idx="16">
                  <c:v>-4.6704870000091597E-4</c:v>
                </c:pt>
                <c:pt idx="17">
                  <c:v>-1.1074882001999999</c:v>
                </c:pt>
                <c:pt idx="18">
                  <c:v>-1.9644635220000011</c:v>
                </c:pt>
                <c:pt idx="19">
                  <c:v>-2.183787554599999</c:v>
                </c:pt>
                <c:pt idx="20">
                  <c:v>-2.3140067073000008</c:v>
                </c:pt>
                <c:pt idx="21">
                  <c:v>-2.3505108409000002</c:v>
                </c:pt>
                <c:pt idx="22">
                  <c:v>-2.4977334435000009</c:v>
                </c:pt>
                <c:pt idx="23">
                  <c:v>-2.5311750316000001</c:v>
                </c:pt>
                <c:pt idx="24">
                  <c:v>-2.5398609968000012</c:v>
                </c:pt>
                <c:pt idx="25">
                  <c:v>-2.4603852540000002</c:v>
                </c:pt>
                <c:pt idx="26">
                  <c:v>-2.2918621948333331</c:v>
                </c:pt>
                <c:pt idx="27">
                  <c:v>-2.0457614122666681</c:v>
                </c:pt>
                <c:pt idx="28">
                  <c:v>-2.0563829198999999</c:v>
                </c:pt>
                <c:pt idx="29">
                  <c:v>-1.810182629800001</c:v>
                </c:pt>
                <c:pt idx="30">
                  <c:v>-1.7447723711000001</c:v>
                </c:pt>
                <c:pt idx="31">
                  <c:v>-1.4372575570666679</c:v>
                </c:pt>
                <c:pt idx="32">
                  <c:v>-1.2090323763333319</c:v>
                </c:pt>
                <c:pt idx="33">
                  <c:v>-1.164947121366666</c:v>
                </c:pt>
                <c:pt idx="34">
                  <c:v>-0.87559612883333204</c:v>
                </c:pt>
                <c:pt idx="35">
                  <c:v>-0.52934288256666617</c:v>
                </c:pt>
                <c:pt idx="36">
                  <c:v>2.6363233332893371E-4</c:v>
                </c:pt>
                <c:pt idx="37">
                  <c:v>3.9128883333017228E-4</c:v>
                </c:pt>
                <c:pt idx="38">
                  <c:v>-1.9922746666695129E-4</c:v>
                </c:pt>
                <c:pt idx="39">
                  <c:v>1.973720333329487E-4</c:v>
                </c:pt>
                <c:pt idx="40">
                  <c:v>4.2834466666974442E-5</c:v>
                </c:pt>
                <c:pt idx="41">
                  <c:v>-3.5999999999980492E-5</c:v>
                </c:pt>
                <c:pt idx="42">
                  <c:v>5.266666666697839E-5</c:v>
                </c:pt>
                <c:pt idx="43">
                  <c:v>4.1766666666703811E-4</c:v>
                </c:pt>
                <c:pt idx="44">
                  <c:v>-3.8066666666700111E-4</c:v>
                </c:pt>
                <c:pt idx="45">
                  <c:v>0</c:v>
                </c:pt>
                <c:pt idx="46">
                  <c:v>-3.2000000000004247E-5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C9D-4772-82F2-7A6AA9D4D7DF}"/>
            </c:ext>
          </c:extLst>
        </c:ser>
        <c:ser>
          <c:idx val="29"/>
          <c:order val="29"/>
          <c:tx>
            <c:v>BES_TR3_one605_A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Net_kW!$AF$2:$AF$49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2.6550746666679619E-4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2.9535680000136733E-4</c:v>
                </c:pt>
                <c:pt idx="12">
                  <c:v>8.1407333331950937E-5</c:v>
                </c:pt>
                <c:pt idx="13">
                  <c:v>2.442989333348855E-4</c:v>
                </c:pt>
                <c:pt idx="14">
                  <c:v>-1.031214666671332E-4</c:v>
                </c:pt>
                <c:pt idx="15">
                  <c:v>-0.88781728999999987</c:v>
                </c:pt>
                <c:pt idx="16">
                  <c:v>-2.105116331600001</c:v>
                </c:pt>
                <c:pt idx="17">
                  <c:v>-2.4836509335999999</c:v>
                </c:pt>
                <c:pt idx="18">
                  <c:v>-2.619032696000001</c:v>
                </c:pt>
                <c:pt idx="19">
                  <c:v>-2.7302044061333319</c:v>
                </c:pt>
                <c:pt idx="20">
                  <c:v>-2.9688676097333349</c:v>
                </c:pt>
                <c:pt idx="21">
                  <c:v>-3.1903051212000002</c:v>
                </c:pt>
                <c:pt idx="22">
                  <c:v>-2.018677924666668</c:v>
                </c:pt>
                <c:pt idx="23">
                  <c:v>-3.2510307088000001</c:v>
                </c:pt>
                <c:pt idx="24">
                  <c:v>-3.1955129957333348</c:v>
                </c:pt>
                <c:pt idx="25">
                  <c:v>-3.3185306720000001</c:v>
                </c:pt>
                <c:pt idx="26">
                  <c:v>-3.284158482</c:v>
                </c:pt>
                <c:pt idx="27">
                  <c:v>-3.1603343274666682</c:v>
                </c:pt>
                <c:pt idx="28">
                  <c:v>-3.0125078932</c:v>
                </c:pt>
                <c:pt idx="29">
                  <c:v>-2.8251901730666682</c:v>
                </c:pt>
                <c:pt idx="30">
                  <c:v>-2.6261284948000001</c:v>
                </c:pt>
                <c:pt idx="31">
                  <c:v>-2.3865838538666679</c:v>
                </c:pt>
                <c:pt idx="32">
                  <c:v>-2.1168000573333319</c:v>
                </c:pt>
                <c:pt idx="33">
                  <c:v>-1.791071272933332</c:v>
                </c:pt>
                <c:pt idx="34">
                  <c:v>-1.486211727333332</c:v>
                </c:pt>
                <c:pt idx="35">
                  <c:v>-1.1729496211999999</c:v>
                </c:pt>
                <c:pt idx="36">
                  <c:v>-0.82910573466666804</c:v>
                </c:pt>
                <c:pt idx="37">
                  <c:v>-0.50327165933333307</c:v>
                </c:pt>
                <c:pt idx="38">
                  <c:v>-0.25681561440000023</c:v>
                </c:pt>
                <c:pt idx="39">
                  <c:v>4.667182666670544E-4</c:v>
                </c:pt>
                <c:pt idx="40">
                  <c:v>1.362237333333294E-4</c:v>
                </c:pt>
                <c:pt idx="41">
                  <c:v>1.2666666666699691E-4</c:v>
                </c:pt>
                <c:pt idx="42">
                  <c:v>0</c:v>
                </c:pt>
                <c:pt idx="43">
                  <c:v>0</c:v>
                </c:pt>
                <c:pt idx="44">
                  <c:v>-2.5466666666701387E-4</c:v>
                </c:pt>
                <c:pt idx="45">
                  <c:v>1.2500000000004169E-4</c:v>
                </c:pt>
                <c:pt idx="46">
                  <c:v>-3.8366666666700411E-4</c:v>
                </c:pt>
                <c:pt idx="47">
                  <c:v>-1.3666666666700691E-4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C9D-4772-82F2-7A6AA9D4D7DF}"/>
            </c:ext>
          </c:extLst>
        </c:ser>
        <c:ser>
          <c:idx val="30"/>
          <c:order val="30"/>
          <c:tx>
            <c:v>BES_TR3_one614_B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-4.5266666666698979E-4</c:v>
                </c:pt>
                <c:pt idx="2">
                  <c:v>3.0199999999999672E-4</c:v>
                </c:pt>
                <c:pt idx="3">
                  <c:v>4.3400000000000377E-4</c:v>
                </c:pt>
                <c:pt idx="4">
                  <c:v>4.1533333333299011E-4</c:v>
                </c:pt>
                <c:pt idx="5">
                  <c:v>0</c:v>
                </c:pt>
                <c:pt idx="6">
                  <c:v>0</c:v>
                </c:pt>
                <c:pt idx="7">
                  <c:v>2.6873073333300018E-4</c:v>
                </c:pt>
                <c:pt idx="8">
                  <c:v>-3.0086939999990348E-4</c:v>
                </c:pt>
                <c:pt idx="9">
                  <c:v>-1.8483456666669451E-4</c:v>
                </c:pt>
                <c:pt idx="10">
                  <c:v>-4.0121620000102548E-4</c:v>
                </c:pt>
                <c:pt idx="11">
                  <c:v>-3.9348239999892343E-4</c:v>
                </c:pt>
                <c:pt idx="12">
                  <c:v>6.105549999879667E-5</c:v>
                </c:pt>
                <c:pt idx="13">
                  <c:v>-4.5654246666593229E-4</c:v>
                </c:pt>
                <c:pt idx="14">
                  <c:v>-4.6959109999988868E-4</c:v>
                </c:pt>
                <c:pt idx="15">
                  <c:v>6.8432499999770968E-5</c:v>
                </c:pt>
                <c:pt idx="16">
                  <c:v>-4.6238203333404121E-4</c:v>
                </c:pt>
                <c:pt idx="17">
                  <c:v>-1.3023848668666671</c:v>
                </c:pt>
                <c:pt idx="18">
                  <c:v>-1.842357522000001</c:v>
                </c:pt>
                <c:pt idx="19">
                  <c:v>-1.912847554599999</c:v>
                </c:pt>
                <c:pt idx="20">
                  <c:v>-1.8008040406333341</c:v>
                </c:pt>
                <c:pt idx="21">
                  <c:v>-1.9900121742333341</c:v>
                </c:pt>
                <c:pt idx="22">
                  <c:v>-2.311648776833334</c:v>
                </c:pt>
                <c:pt idx="23">
                  <c:v>-2.1835240316000002</c:v>
                </c:pt>
                <c:pt idx="24">
                  <c:v>-1.055633663466671</c:v>
                </c:pt>
                <c:pt idx="25">
                  <c:v>-2.2504769206666668</c:v>
                </c:pt>
                <c:pt idx="26">
                  <c:v>-2.0414328615000001</c:v>
                </c:pt>
                <c:pt idx="27">
                  <c:v>-1.9460887456000009</c:v>
                </c:pt>
                <c:pt idx="28">
                  <c:v>-2.1989613865666668</c:v>
                </c:pt>
                <c:pt idx="29">
                  <c:v>-1.9673576964666679</c:v>
                </c:pt>
                <c:pt idx="30">
                  <c:v>-1.503031037766666</c:v>
                </c:pt>
                <c:pt idx="31">
                  <c:v>-1.0810182237333339</c:v>
                </c:pt>
                <c:pt idx="32">
                  <c:v>-0.94004104299999902</c:v>
                </c:pt>
                <c:pt idx="33">
                  <c:v>-0.56422545469999907</c:v>
                </c:pt>
                <c:pt idx="34">
                  <c:v>-0.81733912883333315</c:v>
                </c:pt>
                <c:pt idx="35">
                  <c:v>-0.61073221590000015</c:v>
                </c:pt>
                <c:pt idx="36">
                  <c:v>-0.23336536766666799</c:v>
                </c:pt>
                <c:pt idx="37">
                  <c:v>-4.3471116667004322E-4</c:v>
                </c:pt>
                <c:pt idx="38">
                  <c:v>4.4010586666709539E-4</c:v>
                </c:pt>
                <c:pt idx="39">
                  <c:v>3.5137203333301947E-4</c:v>
                </c:pt>
                <c:pt idx="40">
                  <c:v>2.218344666700123E-4</c:v>
                </c:pt>
                <c:pt idx="41">
                  <c:v>4.1799999999991838E-4</c:v>
                </c:pt>
                <c:pt idx="42">
                  <c:v>-1.5733333333300961E-4</c:v>
                </c:pt>
                <c:pt idx="43">
                  <c:v>-4.7966666666587893E-4</c:v>
                </c:pt>
                <c:pt idx="44">
                  <c:v>0.24400866666667009</c:v>
                </c:pt>
                <c:pt idx="45">
                  <c:v>1.6348533333333299</c:v>
                </c:pt>
                <c:pt idx="46">
                  <c:v>0.76022833333333395</c:v>
                </c:pt>
                <c:pt idx="47">
                  <c:v>7.2622666666666599E-2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C9D-4772-82F2-7A6AA9D4D7DF}"/>
            </c:ext>
          </c:extLst>
        </c:ser>
        <c:ser>
          <c:idx val="31"/>
          <c:order val="31"/>
          <c:tx>
            <c:v>BES_TR3_one617_A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Net_kW!$AH$2:$AH$49</c:f>
              <c:numCache>
                <c:formatCode>#,##0.000</c:formatCode>
                <c:ptCount val="48"/>
                <c:pt idx="0">
                  <c:v>-4.699999999999982E-4</c:v>
                </c:pt>
                <c:pt idx="1">
                  <c:v>-6.4000000000008495E-5</c:v>
                </c:pt>
                <c:pt idx="2">
                  <c:v>-6.9388939039072284E-18</c:v>
                </c:pt>
                <c:pt idx="3">
                  <c:v>-1.8800000000000761E-4</c:v>
                </c:pt>
                <c:pt idx="4">
                  <c:v>1.5399999999998751E-4</c:v>
                </c:pt>
                <c:pt idx="5">
                  <c:v>-6.9388939039072284E-18</c:v>
                </c:pt>
                <c:pt idx="6">
                  <c:v>-3.4000000000006247E-5</c:v>
                </c:pt>
                <c:pt idx="7">
                  <c:v>-4.4080346666667408E-4</c:v>
                </c:pt>
                <c:pt idx="8">
                  <c:v>2.6550746666679538E-4</c:v>
                </c:pt>
                <c:pt idx="9">
                  <c:v>3.9244280000000348E-4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4.7407333331861423E-5</c:v>
                </c:pt>
                <c:pt idx="13">
                  <c:v>2.5883226666811859E-4</c:v>
                </c:pt>
                <c:pt idx="14">
                  <c:v>4.9354519999988966E-4</c:v>
                </c:pt>
                <c:pt idx="15">
                  <c:v>-0.5366130899999999</c:v>
                </c:pt>
                <c:pt idx="16">
                  <c:v>-2.2208293982666678</c:v>
                </c:pt>
                <c:pt idx="17">
                  <c:v>-2.488164600266666</c:v>
                </c:pt>
                <c:pt idx="18">
                  <c:v>-2.5640623626666681</c:v>
                </c:pt>
                <c:pt idx="19">
                  <c:v>-2.9303834061333318</c:v>
                </c:pt>
                <c:pt idx="20">
                  <c:v>-3.0891029430666679</c:v>
                </c:pt>
                <c:pt idx="21">
                  <c:v>-3.0982451212000002</c:v>
                </c:pt>
                <c:pt idx="22">
                  <c:v>-3.3489779246666682</c:v>
                </c:pt>
                <c:pt idx="23">
                  <c:v>-3.3488487087999999</c:v>
                </c:pt>
                <c:pt idx="24">
                  <c:v>-3.2872333290666682</c:v>
                </c:pt>
                <c:pt idx="25">
                  <c:v>-3.3823216719999998</c:v>
                </c:pt>
                <c:pt idx="26">
                  <c:v>-3.3011584819999999</c:v>
                </c:pt>
                <c:pt idx="27">
                  <c:v>-3.010701660800001</c:v>
                </c:pt>
                <c:pt idx="28">
                  <c:v>-2.7636442932</c:v>
                </c:pt>
                <c:pt idx="29">
                  <c:v>-1.671236773066668</c:v>
                </c:pt>
                <c:pt idx="30">
                  <c:v>-2.5882572948</c:v>
                </c:pt>
                <c:pt idx="31">
                  <c:v>-2.3134147538666681</c:v>
                </c:pt>
                <c:pt idx="32">
                  <c:v>-2.0268379573333322</c:v>
                </c:pt>
                <c:pt idx="33">
                  <c:v>-1.781328806266665</c:v>
                </c:pt>
                <c:pt idx="34">
                  <c:v>-1.300913427333332</c:v>
                </c:pt>
                <c:pt idx="35">
                  <c:v>-1.1644227212</c:v>
                </c:pt>
                <c:pt idx="36">
                  <c:v>-0.88291693466666799</c:v>
                </c:pt>
                <c:pt idx="37">
                  <c:v>-0.48531472599999997</c:v>
                </c:pt>
                <c:pt idx="38">
                  <c:v>-0.12817178106666621</c:v>
                </c:pt>
                <c:pt idx="39">
                  <c:v>-1.7794839999998871E-4</c:v>
                </c:pt>
                <c:pt idx="40">
                  <c:v>-1.7762666666976119E-6</c:v>
                </c:pt>
                <c:pt idx="41">
                  <c:v>4.0999999999957737E-5</c:v>
                </c:pt>
                <c:pt idx="42">
                  <c:v>4.1233333333301481E-4</c:v>
                </c:pt>
                <c:pt idx="43">
                  <c:v>1.8700000000004821E-4</c:v>
                </c:pt>
                <c:pt idx="44">
                  <c:v>2.8900000000003923E-4</c:v>
                </c:pt>
                <c:pt idx="45">
                  <c:v>7.8000000000022496E-5</c:v>
                </c:pt>
                <c:pt idx="46">
                  <c:v>-3.3733333333296761E-4</c:v>
                </c:pt>
                <c:pt idx="47">
                  <c:v>-4.7666666667001152E-5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C9D-4772-82F2-7A6AA9D4D7DF}"/>
            </c:ext>
          </c:extLst>
        </c:ser>
        <c:ser>
          <c:idx val="32"/>
          <c:order val="32"/>
          <c:tx>
            <c:v>BES_TR3_one73_A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Net_kW!$AI$2:$AI$49</c:f>
              <c:numCache>
                <c:formatCode>#,##0.000</c:formatCode>
                <c:ptCount val="48"/>
                <c:pt idx="0">
                  <c:v>-1.3900000000000021E-4</c:v>
                </c:pt>
                <c:pt idx="1">
                  <c:v>3.356666666669561E-4</c:v>
                </c:pt>
                <c:pt idx="2">
                  <c:v>-1.07999999999997E-4</c:v>
                </c:pt>
                <c:pt idx="3">
                  <c:v>4.703333333330173E-4</c:v>
                </c:pt>
                <c:pt idx="4">
                  <c:v>-4.379999999999939E-4</c:v>
                </c:pt>
                <c:pt idx="5">
                  <c:v>8.5333333332993089E-5</c:v>
                </c:pt>
                <c:pt idx="6">
                  <c:v>4.1966666666701241E-4</c:v>
                </c:pt>
                <c:pt idx="7">
                  <c:v>6.3991630299999658E-2</c:v>
                </c:pt>
                <c:pt idx="8">
                  <c:v>0.11013131903333349</c:v>
                </c:pt>
                <c:pt idx="9">
                  <c:v>-2.2452921666699099E-4</c:v>
                </c:pt>
                <c:pt idx="10">
                  <c:v>2.310810999985036E-4</c:v>
                </c:pt>
                <c:pt idx="11">
                  <c:v>4.8960386666752065E-4</c:v>
                </c:pt>
                <c:pt idx="12">
                  <c:v>1.432314166652793E-4</c:v>
                </c:pt>
                <c:pt idx="13">
                  <c:v>-3.5585509999802589E-4</c:v>
                </c:pt>
                <c:pt idx="14">
                  <c:v>1.8347705000021361E-4</c:v>
                </c:pt>
                <c:pt idx="15">
                  <c:v>3.3450458333295069E-4</c:v>
                </c:pt>
                <c:pt idx="16">
                  <c:v>-2.8822348333501502E-4</c:v>
                </c:pt>
                <c:pt idx="17">
                  <c:v>-1.124762900233333</c:v>
                </c:pt>
                <c:pt idx="18">
                  <c:v>-2.1978309423333351</c:v>
                </c:pt>
                <c:pt idx="19">
                  <c:v>-2.3612208136999979</c:v>
                </c:pt>
                <c:pt idx="20">
                  <c:v>-2.6037998251833341</c:v>
                </c:pt>
                <c:pt idx="21">
                  <c:v>-2.6703536477166669</c:v>
                </c:pt>
                <c:pt idx="22">
                  <c:v>-1.1361483507500041</c:v>
                </c:pt>
                <c:pt idx="23">
                  <c:v>-0.91989253686667016</c:v>
                </c:pt>
                <c:pt idx="24">
                  <c:v>-2.3716308296000008</c:v>
                </c:pt>
                <c:pt idx="25">
                  <c:v>-2.5863494629999999</c:v>
                </c:pt>
                <c:pt idx="26">
                  <c:v>-2.5392770050833331</c:v>
                </c:pt>
                <c:pt idx="27">
                  <c:v>-2.1400835365333348</c:v>
                </c:pt>
                <c:pt idx="28">
                  <c:v>-2.5790440732166671</c:v>
                </c:pt>
                <c:pt idx="29">
                  <c:v>-2.2333484014333349</c:v>
                </c:pt>
                <c:pt idx="30">
                  <c:v>-2.1420927662833331</c:v>
                </c:pt>
                <c:pt idx="31">
                  <c:v>-2.0623512054666668</c:v>
                </c:pt>
                <c:pt idx="32">
                  <c:v>-1.495056716833332</c:v>
                </c:pt>
                <c:pt idx="33">
                  <c:v>-1.5441483638166651</c:v>
                </c:pt>
                <c:pt idx="34">
                  <c:v>-1.1060489280833321</c:v>
                </c:pt>
                <c:pt idx="35">
                  <c:v>-0.82625225188333307</c:v>
                </c:pt>
                <c:pt idx="36">
                  <c:v>-0.71653311783333451</c:v>
                </c:pt>
                <c:pt idx="37">
                  <c:v>-0.20912255191666701</c:v>
                </c:pt>
                <c:pt idx="38">
                  <c:v>1.7534573333344289E-4</c:v>
                </c:pt>
                <c:pt idx="39">
                  <c:v>-3.3362151666604939E-4</c:v>
                </c:pt>
                <c:pt idx="40">
                  <c:v>2.100290999996757E-4</c:v>
                </c:pt>
                <c:pt idx="41">
                  <c:v>-1.809999999999867E-4</c:v>
                </c:pt>
                <c:pt idx="42">
                  <c:v>-4.8833333333409001E-4</c:v>
                </c:pt>
                <c:pt idx="43">
                  <c:v>-3.356666666669561E-4</c:v>
                </c:pt>
                <c:pt idx="44">
                  <c:v>3.4033333333405302E-4</c:v>
                </c:pt>
                <c:pt idx="45">
                  <c:v>-4.2666666666602021E-4</c:v>
                </c:pt>
                <c:pt idx="46">
                  <c:v>-4.9666666667058663E-5</c:v>
                </c:pt>
                <c:pt idx="47">
                  <c:v>4.1333333333004603E-5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C9D-4772-82F2-7A6AA9D4D7DF}"/>
            </c:ext>
          </c:extLst>
        </c:ser>
        <c:ser>
          <c:idx val="33"/>
          <c:order val="33"/>
          <c:tx>
            <c:v>BES_TR3_one76_A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Net_kW!$AJ$2:$AJ$49</c:f>
              <c:numCache>
                <c:formatCode>#,##0.000</c:formatCode>
                <c:ptCount val="48"/>
                <c:pt idx="0">
                  <c:v>9.1666666667017394E-5</c:v>
                </c:pt>
                <c:pt idx="1">
                  <c:v>0</c:v>
                </c:pt>
                <c:pt idx="2">
                  <c:v>9.0000000000006741E-5</c:v>
                </c:pt>
                <c:pt idx="3">
                  <c:v>0</c:v>
                </c:pt>
                <c:pt idx="4">
                  <c:v>0</c:v>
                </c:pt>
                <c:pt idx="5">
                  <c:v>3.5499999999999421E-4</c:v>
                </c:pt>
                <c:pt idx="6">
                  <c:v>-2.6500000000011242E-4</c:v>
                </c:pt>
                <c:pt idx="7">
                  <c:v>-3.105021666666638E-4</c:v>
                </c:pt>
                <c:pt idx="8">
                  <c:v>2.8260883333372511E-4</c:v>
                </c:pt>
                <c:pt idx="9">
                  <c:v>-4.7513991666671418E-4</c:v>
                </c:pt>
                <c:pt idx="10">
                  <c:v>8.5653166665783376E-5</c:v>
                </c:pt>
                <c:pt idx="11">
                  <c:v>5.4313333345268333E-6</c:v>
                </c:pt>
                <c:pt idx="12">
                  <c:v>5.0879583332497091E-5</c:v>
                </c:pt>
                <c:pt idx="13">
                  <c:v>-4.9822983333247528E-4</c:v>
                </c:pt>
                <c:pt idx="14">
                  <c:v>-2.2465925000014761E-4</c:v>
                </c:pt>
                <c:pt idx="15">
                  <c:v>-3.713062499997033E-4</c:v>
                </c:pt>
                <c:pt idx="16">
                  <c:v>1.141260833319446E-4</c:v>
                </c:pt>
                <c:pt idx="17">
                  <c:v>-0.15355683349999991</c:v>
                </c:pt>
                <c:pt idx="18">
                  <c:v>3.0373166666208817E-4</c:v>
                </c:pt>
                <c:pt idx="19">
                  <c:v>-1.1184389621666651</c:v>
                </c:pt>
                <c:pt idx="20">
                  <c:v>-1.5628909227500001</c:v>
                </c:pt>
                <c:pt idx="21">
                  <c:v>-1.5783863674166669</c:v>
                </c:pt>
                <c:pt idx="22">
                  <c:v>-2.0067528695833339</c:v>
                </c:pt>
                <c:pt idx="23">
                  <c:v>-2.1024791930000002</c:v>
                </c:pt>
                <c:pt idx="24">
                  <c:v>-2.1105508306666669</c:v>
                </c:pt>
                <c:pt idx="25">
                  <c:v>-2.0954510449999999</c:v>
                </c:pt>
                <c:pt idx="26">
                  <c:v>-1.9144840512500001</c:v>
                </c:pt>
                <c:pt idx="27">
                  <c:v>-1.9513672879999999</c:v>
                </c:pt>
                <c:pt idx="28">
                  <c:v>-1.7895630665833331</c:v>
                </c:pt>
                <c:pt idx="29">
                  <c:v>-1.5362285248333341</c:v>
                </c:pt>
                <c:pt idx="30">
                  <c:v>-1.4709909759166671</c:v>
                </c:pt>
                <c:pt idx="31">
                  <c:v>-1.394095208666668</c:v>
                </c:pt>
                <c:pt idx="32">
                  <c:v>-1.2586694691666649</c:v>
                </c:pt>
                <c:pt idx="33">
                  <c:v>-0.91845554558333298</c:v>
                </c:pt>
                <c:pt idx="34">
                  <c:v>-0.81788566291666542</c:v>
                </c:pt>
                <c:pt idx="35">
                  <c:v>-0.56969251325000003</c:v>
                </c:pt>
                <c:pt idx="36">
                  <c:v>-0.27724008416666751</c:v>
                </c:pt>
                <c:pt idx="37">
                  <c:v>2.7079624999998281E-4</c:v>
                </c:pt>
                <c:pt idx="38">
                  <c:v>-2.5313400000019642E-4</c:v>
                </c:pt>
                <c:pt idx="39">
                  <c:v>3.063655833329681E-4</c:v>
                </c:pt>
                <c:pt idx="40">
                  <c:v>-3.5236016666666947E-4</c:v>
                </c:pt>
                <c:pt idx="41">
                  <c:v>-2.8000000000000252E-4</c:v>
                </c:pt>
                <c:pt idx="42">
                  <c:v>-3.523333333329548E-4</c:v>
                </c:pt>
                <c:pt idx="43">
                  <c:v>2.9866666666694691E-4</c:v>
                </c:pt>
                <c:pt idx="44">
                  <c:v>4.9266666666702985E-4</c:v>
                </c:pt>
                <c:pt idx="45">
                  <c:v>3.5833333333301631E-4</c:v>
                </c:pt>
                <c:pt idx="46">
                  <c:v>-6.3333333333026598E-5</c:v>
                </c:pt>
                <c:pt idx="47">
                  <c:v>-4.0000000000001151E-4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9C9D-4772-82F2-7A6AA9D4D7DF}"/>
            </c:ext>
          </c:extLst>
        </c:ser>
        <c:ser>
          <c:idx val="34"/>
          <c:order val="34"/>
          <c:tx>
            <c:v>BES_TR3_one137_A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Net_kW!$AK$2:$AK$49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-6.9388939039072284E-18</c:v>
                </c:pt>
                <c:pt idx="2">
                  <c:v>4.6566666666697509E-4</c:v>
                </c:pt>
                <c:pt idx="3">
                  <c:v>2.193333333329883E-4</c:v>
                </c:pt>
                <c:pt idx="4">
                  <c:v>-3.5200000000001902E-4</c:v>
                </c:pt>
                <c:pt idx="5">
                  <c:v>2.1000000000000191E-4</c:v>
                </c:pt>
                <c:pt idx="6">
                  <c:v>-6.9388939039072284E-18</c:v>
                </c:pt>
                <c:pt idx="7">
                  <c:v>-4.4080346666667408E-4</c:v>
                </c:pt>
                <c:pt idx="8">
                  <c:v>4.7550746666678861E-4</c:v>
                </c:pt>
                <c:pt idx="9">
                  <c:v>4.2644279999998203E-4</c:v>
                </c:pt>
                <c:pt idx="10">
                  <c:v>4.4304506666537069E-4</c:v>
                </c:pt>
                <c:pt idx="11">
                  <c:v>-4.3130986666528592E-4</c:v>
                </c:pt>
                <c:pt idx="12">
                  <c:v>8.1407333331950937E-5</c:v>
                </c:pt>
                <c:pt idx="13">
                  <c:v>4.6883226666794009E-4</c:v>
                </c:pt>
                <c:pt idx="14">
                  <c:v>4.0545199999852948E-5</c:v>
                </c:pt>
                <c:pt idx="15">
                  <c:v>-0.34130775666666652</c:v>
                </c:pt>
                <c:pt idx="16">
                  <c:v>-2.200437731600001</c:v>
                </c:pt>
                <c:pt idx="17">
                  <c:v>-2.3800262669333332</c:v>
                </c:pt>
                <c:pt idx="18">
                  <c:v>-1.798228629333334</c:v>
                </c:pt>
                <c:pt idx="19">
                  <c:v>-2.7237084061333321</c:v>
                </c:pt>
                <c:pt idx="20">
                  <c:v>-2.9527532764000011</c:v>
                </c:pt>
                <c:pt idx="21">
                  <c:v>-3.0160387878666661</c:v>
                </c:pt>
                <c:pt idx="22">
                  <c:v>-3.0508829246666682</c:v>
                </c:pt>
                <c:pt idx="23">
                  <c:v>-2.3399500421333301</c:v>
                </c:pt>
                <c:pt idx="24">
                  <c:v>-2.9967429957333338</c:v>
                </c:pt>
                <c:pt idx="25">
                  <c:v>-2.7457583386666671</c:v>
                </c:pt>
                <c:pt idx="26">
                  <c:v>-1.847617482</c:v>
                </c:pt>
                <c:pt idx="27">
                  <c:v>-1.194224327466668</c:v>
                </c:pt>
                <c:pt idx="28">
                  <c:v>-1.545598666600756E-4</c:v>
                </c:pt>
                <c:pt idx="29">
                  <c:v>-0.61184017306666827</c:v>
                </c:pt>
                <c:pt idx="30">
                  <c:v>-2.6027018281333332</c:v>
                </c:pt>
                <c:pt idx="31">
                  <c:v>-2.3910758538666679</c:v>
                </c:pt>
                <c:pt idx="32">
                  <c:v>-1.9593970573333319</c:v>
                </c:pt>
                <c:pt idx="33">
                  <c:v>-1.704771272933332</c:v>
                </c:pt>
                <c:pt idx="34">
                  <c:v>-1.328349727333332</c:v>
                </c:pt>
                <c:pt idx="35">
                  <c:v>-0.48434562120000002</c:v>
                </c:pt>
                <c:pt idx="36">
                  <c:v>3.4279866666220288E-4</c:v>
                </c:pt>
                <c:pt idx="37">
                  <c:v>-1.2965933333403121E-4</c:v>
                </c:pt>
                <c:pt idx="38">
                  <c:v>2.7252266666805139E-5</c:v>
                </c:pt>
                <c:pt idx="39">
                  <c:v>1.600515999999885E-4</c:v>
                </c:pt>
                <c:pt idx="40">
                  <c:v>-1.137762666666708E-4</c:v>
                </c:pt>
                <c:pt idx="41">
                  <c:v>-3.5799999999996951E-4</c:v>
                </c:pt>
                <c:pt idx="42">
                  <c:v>4.916666666670011E-4</c:v>
                </c:pt>
                <c:pt idx="43">
                  <c:v>-4.9499999999996769E-4</c:v>
                </c:pt>
                <c:pt idx="44">
                  <c:v>3.2333333333300912E-4</c:v>
                </c:pt>
                <c:pt idx="45">
                  <c:v>2.1000000000000191E-4</c:v>
                </c:pt>
                <c:pt idx="46">
                  <c:v>-6.9388939039072284E-18</c:v>
                </c:pt>
                <c:pt idx="47">
                  <c:v>-6.9388939039072284E-18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C9D-4772-82F2-7A6AA9D4D7DF}"/>
            </c:ext>
          </c:extLst>
        </c:ser>
        <c:ser>
          <c:idx val="35"/>
          <c:order val="35"/>
          <c:tx>
            <c:v>BES_TR3_one176_A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Net_kW!$AL$2:$AL$49</c:f>
              <c:numCache>
                <c:formatCode>#,##0.000</c:formatCode>
                <c:ptCount val="48"/>
                <c:pt idx="0">
                  <c:v>-6.6666666666992391E-5</c:v>
                </c:pt>
                <c:pt idx="1">
                  <c:v>9.9999999999891842E-5</c:v>
                </c:pt>
                <c:pt idx="2">
                  <c:v>6.9388939039072284E-18</c:v>
                </c:pt>
                <c:pt idx="3">
                  <c:v>3.3333333332996602E-5</c:v>
                </c:pt>
                <c:pt idx="4">
                  <c:v>6.9388939039072284E-18</c:v>
                </c:pt>
                <c:pt idx="5">
                  <c:v>6.9388939039072284E-18</c:v>
                </c:pt>
                <c:pt idx="6">
                  <c:v>2.000000000000057E-4</c:v>
                </c:pt>
                <c:pt idx="7">
                  <c:v>1.129315999996716E-4</c:v>
                </c:pt>
                <c:pt idx="8">
                  <c:v>-1.3391293333329951E-4</c:v>
                </c:pt>
                <c:pt idx="9">
                  <c:v>1.322139999999916E-5</c:v>
                </c:pt>
                <c:pt idx="10">
                  <c:v>3.2985586666600669E-4</c:v>
                </c:pt>
                <c:pt idx="11">
                  <c:v>4.3450666670219462E-6</c:v>
                </c:pt>
                <c:pt idx="12">
                  <c:v>1.4070366666585341E-4</c:v>
                </c:pt>
                <c:pt idx="13">
                  <c:v>-4.8858386666594811E-4</c:v>
                </c:pt>
                <c:pt idx="14">
                  <c:v>-3.1306073333303708E-4</c:v>
                </c:pt>
                <c:pt idx="15">
                  <c:v>-1.8504499999993931E-4</c:v>
                </c:pt>
                <c:pt idx="16">
                  <c:v>3.8770086666595199E-4</c:v>
                </c:pt>
                <c:pt idx="17">
                  <c:v>-4.3813346666698999E-4</c:v>
                </c:pt>
                <c:pt idx="18">
                  <c:v>-8.7287681333333866E-2</c:v>
                </c:pt>
                <c:pt idx="19">
                  <c:v>-1.294158369733333</c:v>
                </c:pt>
                <c:pt idx="20">
                  <c:v>-1.5280044715333341</c:v>
                </c:pt>
                <c:pt idx="21">
                  <c:v>-1.532819227266667</c:v>
                </c:pt>
                <c:pt idx="22">
                  <c:v>-1.570288962333334</c:v>
                </c:pt>
                <c:pt idx="23">
                  <c:v>-1.6727833543999999</c:v>
                </c:pt>
                <c:pt idx="24">
                  <c:v>-1.679240664533334</c:v>
                </c:pt>
                <c:pt idx="25">
                  <c:v>-1.5268108359999999</c:v>
                </c:pt>
                <c:pt idx="26">
                  <c:v>-1.613221241</c:v>
                </c:pt>
                <c:pt idx="27">
                  <c:v>-1.435140030400001</c:v>
                </c:pt>
                <c:pt idx="28">
                  <c:v>-1.3965699465999999</c:v>
                </c:pt>
                <c:pt idx="29">
                  <c:v>-1.397095086533334</c:v>
                </c:pt>
                <c:pt idx="30">
                  <c:v>-2.9091406667003378E-4</c:v>
                </c:pt>
                <c:pt idx="31">
                  <c:v>-0.74174192693333407</c:v>
                </c:pt>
                <c:pt idx="32">
                  <c:v>-0.94758569533333292</c:v>
                </c:pt>
                <c:pt idx="33">
                  <c:v>-0.60914986979999897</c:v>
                </c:pt>
                <c:pt idx="34">
                  <c:v>-0.36126476366666588</c:v>
                </c:pt>
                <c:pt idx="35">
                  <c:v>-0.23170194393333299</c:v>
                </c:pt>
                <c:pt idx="36">
                  <c:v>-2.9222934000001029E-2</c:v>
                </c:pt>
                <c:pt idx="37">
                  <c:v>-3.4749633333008839E-4</c:v>
                </c:pt>
                <c:pt idx="38">
                  <c:v>4.5629280000039982E-4</c:v>
                </c:pt>
                <c:pt idx="39">
                  <c:v>-1.6330753333329559E-4</c:v>
                </c:pt>
                <c:pt idx="40">
                  <c:v>-2.8975480000034692E-4</c:v>
                </c:pt>
                <c:pt idx="41">
                  <c:v>-3.1466666666690729E-4</c:v>
                </c:pt>
                <c:pt idx="42">
                  <c:v>2.5800000000003598E-4</c:v>
                </c:pt>
                <c:pt idx="43">
                  <c:v>-2.9733333333403777E-4</c:v>
                </c:pt>
                <c:pt idx="44">
                  <c:v>-3.9199999999994789E-4</c:v>
                </c:pt>
                <c:pt idx="45">
                  <c:v>-3.6733333333005552E-4</c:v>
                </c:pt>
                <c:pt idx="46">
                  <c:v>-1.9066666666700541E-4</c:v>
                </c:pt>
                <c:pt idx="47">
                  <c:v>-1.6666666666970139E-5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9C9D-4772-82F2-7A6AA9D4D7DF}"/>
            </c:ext>
          </c:extLst>
        </c:ser>
        <c:ser>
          <c:idx val="36"/>
          <c:order val="36"/>
          <c:tx>
            <c:v>BES_TR3_two130_C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Net_kW!$AM$2:$AM$49</c:f>
              <c:numCache>
                <c:formatCode>#,##0.000</c:formatCode>
                <c:ptCount val="48"/>
                <c:pt idx="0">
                  <c:v>0</c:v>
                </c:pt>
                <c:pt idx="1">
                  <c:v>-3.1000000000000472E-4</c:v>
                </c:pt>
                <c:pt idx="2">
                  <c:v>0</c:v>
                </c:pt>
                <c:pt idx="3">
                  <c:v>0</c:v>
                </c:pt>
                <c:pt idx="4">
                  <c:v>-3.1000000000000472E-4</c:v>
                </c:pt>
                <c:pt idx="5">
                  <c:v>0</c:v>
                </c:pt>
                <c:pt idx="6">
                  <c:v>0</c:v>
                </c:pt>
                <c:pt idx="7">
                  <c:v>-3.3080346666666821E-4</c:v>
                </c:pt>
                <c:pt idx="8">
                  <c:v>-1.5449253333330029E-4</c:v>
                </c:pt>
                <c:pt idx="9">
                  <c:v>-9.855719999998791E-5</c:v>
                </c:pt>
                <c:pt idx="10">
                  <c:v>-1.2528826666807771E-4</c:v>
                </c:pt>
                <c:pt idx="11">
                  <c:v>1.420234666681397E-4</c:v>
                </c:pt>
                <c:pt idx="12">
                  <c:v>-2.8359266666810878E-4</c:v>
                </c:pt>
                <c:pt idx="13">
                  <c:v>3.1383226666803488E-4</c:v>
                </c:pt>
                <c:pt idx="14">
                  <c:v>4.0545199999852948E-5</c:v>
                </c:pt>
                <c:pt idx="15">
                  <c:v>-0.29593608999999987</c:v>
                </c:pt>
                <c:pt idx="16">
                  <c:v>-2.2153293982666682</c:v>
                </c:pt>
                <c:pt idx="17">
                  <c:v>-2.4797842669333332</c:v>
                </c:pt>
                <c:pt idx="18">
                  <c:v>-2.6044836960000008</c:v>
                </c:pt>
                <c:pt idx="19">
                  <c:v>-2.7816882061333321</c:v>
                </c:pt>
                <c:pt idx="20">
                  <c:v>-2.4778560097333351</c:v>
                </c:pt>
                <c:pt idx="21">
                  <c:v>-2.7910912545333328</c:v>
                </c:pt>
                <c:pt idx="22">
                  <c:v>-1.4255089246666679</c:v>
                </c:pt>
                <c:pt idx="23">
                  <c:v>-0.41186670879999993</c:v>
                </c:pt>
                <c:pt idx="24">
                  <c:v>-1.8343779957333379</c:v>
                </c:pt>
                <c:pt idx="25">
                  <c:v>-3.3693216719999999</c:v>
                </c:pt>
                <c:pt idx="26">
                  <c:v>-3.0609184819999999</c:v>
                </c:pt>
                <c:pt idx="27">
                  <c:v>-3.022224327466668</c:v>
                </c:pt>
                <c:pt idx="28">
                  <c:v>-3.015345759866666</c:v>
                </c:pt>
                <c:pt idx="29">
                  <c:v>-2.8071071730666679</c:v>
                </c:pt>
                <c:pt idx="30">
                  <c:v>-2.4343503614666671</c:v>
                </c:pt>
                <c:pt idx="31">
                  <c:v>-2.383969053866668</c:v>
                </c:pt>
                <c:pt idx="32">
                  <c:v>-1.8772080573333321</c:v>
                </c:pt>
                <c:pt idx="33">
                  <c:v>-1.4593842729333319</c:v>
                </c:pt>
                <c:pt idx="34">
                  <c:v>-1.173635060666665</c:v>
                </c:pt>
                <c:pt idx="35">
                  <c:v>-0.82706962120000005</c:v>
                </c:pt>
                <c:pt idx="36">
                  <c:v>-0.49167793466666798</c:v>
                </c:pt>
                <c:pt idx="37">
                  <c:v>-0.35167539266666697</c:v>
                </c:pt>
                <c:pt idx="38">
                  <c:v>-0.12628774773333321</c:v>
                </c:pt>
                <c:pt idx="39">
                  <c:v>2.8105159999980422E-4</c:v>
                </c:pt>
                <c:pt idx="40">
                  <c:v>-2.5977626666673359E-4</c:v>
                </c:pt>
                <c:pt idx="41">
                  <c:v>-1.3333333333298561E-4</c:v>
                </c:pt>
                <c:pt idx="42">
                  <c:v>2.170000000000227E-4</c:v>
                </c:pt>
                <c:pt idx="43">
                  <c:v>-1.7000000000000351E-4</c:v>
                </c:pt>
                <c:pt idx="44">
                  <c:v>7.4333333333009843E-5</c:v>
                </c:pt>
                <c:pt idx="45">
                  <c:v>-4.3499999999996319E-4</c:v>
                </c:pt>
                <c:pt idx="46">
                  <c:v>2.7333333333301463E-4</c:v>
                </c:pt>
                <c:pt idx="47">
                  <c:v>2.9166666666702312E-4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C9D-4772-82F2-7A6AA9D4D7DF}"/>
            </c:ext>
          </c:extLst>
        </c:ser>
        <c:ser>
          <c:idx val="37"/>
          <c:order val="37"/>
          <c:tx>
            <c:v>BES_TR3_two249_A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Net_kW!$AN$2:$AN$49</c:f>
              <c:numCache>
                <c:formatCode>#,##0.000</c:formatCode>
                <c:ptCount val="48"/>
                <c:pt idx="0">
                  <c:v>-3.3166666666660521E-4</c:v>
                </c:pt>
                <c:pt idx="1">
                  <c:v>2.7199999999999452E-4</c:v>
                </c:pt>
                <c:pt idx="2">
                  <c:v>5.2333333333015597E-5</c:v>
                </c:pt>
                <c:pt idx="3">
                  <c:v>-2.376666666669969E-4</c:v>
                </c:pt>
                <c:pt idx="4">
                  <c:v>2.303333333329993E-4</c:v>
                </c:pt>
                <c:pt idx="5">
                  <c:v>4.6733333333340288E-4</c:v>
                </c:pt>
                <c:pt idx="6">
                  <c:v>-3.4899999999998821E-4</c:v>
                </c:pt>
                <c:pt idx="7">
                  <c:v>4.3352986666653209E-4</c:v>
                </c:pt>
                <c:pt idx="8">
                  <c:v>-2.1333333199426929E-8</c:v>
                </c:pt>
                <c:pt idx="9">
                  <c:v>3.6610946666700012E-4</c:v>
                </c:pt>
                <c:pt idx="10">
                  <c:v>-2.8728826666801771E-4</c:v>
                </c:pt>
                <c:pt idx="11">
                  <c:v>1.420234666681397E-4</c:v>
                </c:pt>
                <c:pt idx="12">
                  <c:v>-3.709260000009929E-4</c:v>
                </c:pt>
                <c:pt idx="13">
                  <c:v>-2.961677333321866E-4</c:v>
                </c:pt>
                <c:pt idx="14">
                  <c:v>-6.2121466666731351E-5</c:v>
                </c:pt>
                <c:pt idx="15">
                  <c:v>4.6924333333397961E-4</c:v>
                </c:pt>
                <c:pt idx="16">
                  <c:v>-1.9333293982666679</c:v>
                </c:pt>
                <c:pt idx="17">
                  <c:v>-2.3240559336</c:v>
                </c:pt>
                <c:pt idx="18">
                  <c:v>-2.4054716960000011</c:v>
                </c:pt>
                <c:pt idx="19">
                  <c:v>-2.695141572799999</c:v>
                </c:pt>
                <c:pt idx="20">
                  <c:v>-2.8365422764000008</c:v>
                </c:pt>
                <c:pt idx="21">
                  <c:v>-3.0461917878666669</c:v>
                </c:pt>
                <c:pt idx="22">
                  <c:v>-3.2324785913333351</c:v>
                </c:pt>
                <c:pt idx="23">
                  <c:v>-3.2511323754666668</c:v>
                </c:pt>
                <c:pt idx="24">
                  <c:v>-3.2816183290666681</c:v>
                </c:pt>
                <c:pt idx="25">
                  <c:v>-3.1698024720000002</c:v>
                </c:pt>
                <c:pt idx="26">
                  <c:v>-3.036854348666667</c:v>
                </c:pt>
                <c:pt idx="27">
                  <c:v>-2.332367127466668</c:v>
                </c:pt>
                <c:pt idx="28">
                  <c:v>-2.8818378932000002</c:v>
                </c:pt>
                <c:pt idx="29">
                  <c:v>-2.5588568397333349</c:v>
                </c:pt>
                <c:pt idx="30">
                  <c:v>-2.4025724947999998</c:v>
                </c:pt>
                <c:pt idx="31">
                  <c:v>-1.9715321872000009</c:v>
                </c:pt>
                <c:pt idx="32">
                  <c:v>-1.8744917239999981</c:v>
                </c:pt>
                <c:pt idx="33">
                  <c:v>-0.78008493960000203</c:v>
                </c:pt>
                <c:pt idx="34">
                  <c:v>-1.1954537273333321</c:v>
                </c:pt>
                <c:pt idx="35">
                  <c:v>-0.95026395453333312</c:v>
                </c:pt>
                <c:pt idx="36">
                  <c:v>-0.56843993466666798</c:v>
                </c:pt>
                <c:pt idx="37">
                  <c:v>-0.39855989266666703</c:v>
                </c:pt>
                <c:pt idx="38">
                  <c:v>-0.2103000810666662</c:v>
                </c:pt>
                <c:pt idx="39">
                  <c:v>-3.8281733332978802E-5</c:v>
                </c:pt>
                <c:pt idx="40">
                  <c:v>2.3355706666627901E-4</c:v>
                </c:pt>
                <c:pt idx="41">
                  <c:v>3.1333333333405378E-4</c:v>
                </c:pt>
                <c:pt idx="42">
                  <c:v>-1.793333333329761E-4</c:v>
                </c:pt>
                <c:pt idx="43">
                  <c:v>-4.283333333329753E-4</c:v>
                </c:pt>
                <c:pt idx="44">
                  <c:v>2.1933333333301611E-4</c:v>
                </c:pt>
                <c:pt idx="45">
                  <c:v>-3.4199999999995351E-4</c:v>
                </c:pt>
                <c:pt idx="46">
                  <c:v>-2.096666666668856E-4</c:v>
                </c:pt>
                <c:pt idx="47">
                  <c:v>4.6999999999997039E-4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9C9D-4772-82F2-7A6AA9D4D7DF}"/>
            </c:ext>
          </c:extLst>
        </c:ser>
        <c:ser>
          <c:idx val="38"/>
          <c:order val="38"/>
          <c:tx>
            <c:v>BES_TR3_two267_C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Net_kW!$AO$2:$AO$49</c:f>
              <c:numCache>
                <c:formatCode>#,##0.000</c:formatCode>
                <c:ptCount val="48"/>
                <c:pt idx="0">
                  <c:v>-1.2433333333297661E-4</c:v>
                </c:pt>
                <c:pt idx="1">
                  <c:v>5.7000000000001487E-5</c:v>
                </c:pt>
                <c:pt idx="2">
                  <c:v>0</c:v>
                </c:pt>
                <c:pt idx="3">
                  <c:v>-6.7333333333002843E-5</c:v>
                </c:pt>
                <c:pt idx="4">
                  <c:v>0</c:v>
                </c:pt>
                <c:pt idx="5">
                  <c:v>5.7000000000001487E-5</c:v>
                </c:pt>
                <c:pt idx="6">
                  <c:v>-1.2433333333297661E-4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3.5910946666699311E-4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-3.3825933333508917E-4</c:v>
                </c:pt>
                <c:pt idx="13">
                  <c:v>-3.8883439999848329E-4</c:v>
                </c:pt>
                <c:pt idx="14">
                  <c:v>4.0545199999852948E-5</c:v>
                </c:pt>
                <c:pt idx="15">
                  <c:v>-0.60769342333333309</c:v>
                </c:pt>
                <c:pt idx="16">
                  <c:v>-2.2073293982666682</c:v>
                </c:pt>
                <c:pt idx="17">
                  <c:v>-2.2242872669333331</c:v>
                </c:pt>
                <c:pt idx="18">
                  <c:v>-0.51010536266666806</c:v>
                </c:pt>
                <c:pt idx="19">
                  <c:v>4.0659386666797888E-4</c:v>
                </c:pt>
                <c:pt idx="20">
                  <c:v>-2.1608062764000011</c:v>
                </c:pt>
                <c:pt idx="21">
                  <c:v>-3.2263051211999998</c:v>
                </c:pt>
                <c:pt idx="22">
                  <c:v>-3.3279779246666679</c:v>
                </c:pt>
                <c:pt idx="23">
                  <c:v>-3.2360667088000001</c:v>
                </c:pt>
                <c:pt idx="24">
                  <c:v>-3.3854813290666681</c:v>
                </c:pt>
                <c:pt idx="25">
                  <c:v>-3.3613216719999999</c:v>
                </c:pt>
                <c:pt idx="26">
                  <c:v>-3.1492491486666672</c:v>
                </c:pt>
                <c:pt idx="27">
                  <c:v>-3.0804043274666681</c:v>
                </c:pt>
                <c:pt idx="28">
                  <c:v>-2.9753382265333328</c:v>
                </c:pt>
                <c:pt idx="29">
                  <c:v>-2.5640668397333339</c:v>
                </c:pt>
                <c:pt idx="30">
                  <c:v>-2.5927191614666669</c:v>
                </c:pt>
                <c:pt idx="31">
                  <c:v>-2.3825838538666679</c:v>
                </c:pt>
                <c:pt idx="32">
                  <c:v>1.5460933333799609E-4</c:v>
                </c:pt>
                <c:pt idx="33">
                  <c:v>1.153937333380206E-4</c:v>
                </c:pt>
                <c:pt idx="34">
                  <c:v>-2.817273333328707E-4</c:v>
                </c:pt>
                <c:pt idx="35">
                  <c:v>-0.44591098786666711</c:v>
                </c:pt>
                <c:pt idx="36">
                  <c:v>-0.85589393466666808</c:v>
                </c:pt>
                <c:pt idx="37">
                  <c:v>-0.56807102600000003</c:v>
                </c:pt>
                <c:pt idx="38">
                  <c:v>-7.719628106666615E-2</c:v>
                </c:pt>
                <c:pt idx="39">
                  <c:v>-3.7528173333301051E-4</c:v>
                </c:pt>
                <c:pt idx="40">
                  <c:v>-6.4109600000639144E-5</c:v>
                </c:pt>
                <c:pt idx="41">
                  <c:v>-2.766666666698114E-5</c:v>
                </c:pt>
                <c:pt idx="42">
                  <c:v>-9.0666666667016393E-5</c:v>
                </c:pt>
                <c:pt idx="43">
                  <c:v>-2.206666666668688E-4</c:v>
                </c:pt>
                <c:pt idx="44">
                  <c:v>3.3933333333302512E-4</c:v>
                </c:pt>
                <c:pt idx="45">
                  <c:v>4.359999999999919E-4</c:v>
                </c:pt>
                <c:pt idx="46">
                  <c:v>-3.4666666666960388E-5</c:v>
                </c:pt>
                <c:pt idx="47">
                  <c:v>1.709999999999906E-4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C9D-4772-82F2-7A6AA9D4D7DF}"/>
            </c:ext>
          </c:extLst>
        </c:ser>
        <c:ser>
          <c:idx val="39"/>
          <c:order val="39"/>
          <c:tx>
            <c:v>BES_TR3_two292_B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2.6550746666679619E-4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7.0545199999827446E-5</c:v>
                </c:pt>
                <c:pt idx="15">
                  <c:v>-1.2148408900000001</c:v>
                </c:pt>
                <c:pt idx="16">
                  <c:v>-2.146566731600001</c:v>
                </c:pt>
                <c:pt idx="17">
                  <c:v>-2.3417949336000001</c:v>
                </c:pt>
                <c:pt idx="18">
                  <c:v>-2.5511453626666678</c:v>
                </c:pt>
                <c:pt idx="19">
                  <c:v>-2.7789534061333319</c:v>
                </c:pt>
                <c:pt idx="20">
                  <c:v>-3.0870089430666678</c:v>
                </c:pt>
                <c:pt idx="21">
                  <c:v>-3.2303051211999998</c:v>
                </c:pt>
                <c:pt idx="22">
                  <c:v>-3.3319779246666679</c:v>
                </c:pt>
                <c:pt idx="23">
                  <c:v>-3.3765667088</c:v>
                </c:pt>
                <c:pt idx="24">
                  <c:v>-3.3894813290666681</c:v>
                </c:pt>
                <c:pt idx="25">
                  <c:v>-3.3653216719999999</c:v>
                </c:pt>
                <c:pt idx="26">
                  <c:v>-3.284158482</c:v>
                </c:pt>
                <c:pt idx="27">
                  <c:v>-3.1603343274666682</c:v>
                </c:pt>
                <c:pt idx="28">
                  <c:v>-3.0125078932</c:v>
                </c:pt>
                <c:pt idx="29">
                  <c:v>-2.8251901730666682</c:v>
                </c:pt>
                <c:pt idx="30">
                  <c:v>-2.6261284948000001</c:v>
                </c:pt>
                <c:pt idx="31">
                  <c:v>-2.3865838538666679</c:v>
                </c:pt>
                <c:pt idx="32">
                  <c:v>-2.1168000573333319</c:v>
                </c:pt>
                <c:pt idx="33">
                  <c:v>-1.791071272933332</c:v>
                </c:pt>
                <c:pt idx="34">
                  <c:v>-1.486211727333332</c:v>
                </c:pt>
                <c:pt idx="35">
                  <c:v>-1.1729496211999999</c:v>
                </c:pt>
                <c:pt idx="36">
                  <c:v>-0.86991693466666797</c:v>
                </c:pt>
                <c:pt idx="37">
                  <c:v>-0.57775072599999999</c:v>
                </c:pt>
                <c:pt idx="38">
                  <c:v>-0.31532074773333318</c:v>
                </c:pt>
                <c:pt idx="39">
                  <c:v>-5.4159948399999998E-2</c:v>
                </c:pt>
                <c:pt idx="40">
                  <c:v>2.3622373333331839E-4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9C9D-4772-82F2-7A6AA9D4D7DF}"/>
            </c:ext>
          </c:extLst>
        </c:ser>
        <c:ser>
          <c:idx val="40"/>
          <c:order val="40"/>
          <c:tx>
            <c:v>BES_TR3_two308_A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Net_kW!$AQ$2:$AQ$49</c:f>
              <c:numCache>
                <c:formatCode>#,##0.000</c:formatCode>
                <c:ptCount val="48"/>
                <c:pt idx="0">
                  <c:v>-1.2933333333298161E-4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-3.0086939999989833E-4</c:v>
                </c:pt>
                <c:pt idx="9">
                  <c:v>-4.3016789999998639E-4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-0.48724704870000091</c:v>
                </c:pt>
                <c:pt idx="17">
                  <c:v>-1.7550971002</c:v>
                </c:pt>
                <c:pt idx="18">
                  <c:v>-2.0022045220000009</c:v>
                </c:pt>
                <c:pt idx="19">
                  <c:v>-2.1328446545999991</c:v>
                </c:pt>
                <c:pt idx="20">
                  <c:v>-2.2349327073000009</c:v>
                </c:pt>
                <c:pt idx="21">
                  <c:v>-2.1513738408999998</c:v>
                </c:pt>
                <c:pt idx="22">
                  <c:v>-2.488733443500001</c:v>
                </c:pt>
                <c:pt idx="23">
                  <c:v>-2.2950376316000001</c:v>
                </c:pt>
                <c:pt idx="24">
                  <c:v>-2.5123140968000008</c:v>
                </c:pt>
                <c:pt idx="25">
                  <c:v>-2.5114266540000001</c:v>
                </c:pt>
                <c:pt idx="26">
                  <c:v>-2.4528688614999998</c:v>
                </c:pt>
                <c:pt idx="27">
                  <c:v>-2.3600007456000012</c:v>
                </c:pt>
                <c:pt idx="28">
                  <c:v>-2.2491309198999998</c:v>
                </c:pt>
                <c:pt idx="29">
                  <c:v>-2.1086426298000012</c:v>
                </c:pt>
                <c:pt idx="30">
                  <c:v>-1.9593463711000001</c:v>
                </c:pt>
                <c:pt idx="31">
                  <c:v>-1.777478890400001</c:v>
                </c:pt>
                <c:pt idx="32">
                  <c:v>-1.2974347096666661</c:v>
                </c:pt>
                <c:pt idx="33">
                  <c:v>-1.1464654546999991</c:v>
                </c:pt>
                <c:pt idx="34">
                  <c:v>-0.80884602883333301</c:v>
                </c:pt>
                <c:pt idx="35">
                  <c:v>-0.85788921590000011</c:v>
                </c:pt>
                <c:pt idx="36">
                  <c:v>-0.64025886766666762</c:v>
                </c:pt>
                <c:pt idx="37">
                  <c:v>-0.42306304449999999</c:v>
                </c:pt>
                <c:pt idx="38">
                  <c:v>-0.22624056079999991</c:v>
                </c:pt>
                <c:pt idx="39">
                  <c:v>-3.0369961300000001E-2</c:v>
                </c:pt>
                <c:pt idx="40">
                  <c:v>1.7716779999999571E-4</c:v>
                </c:pt>
                <c:pt idx="41">
                  <c:v>2.7733333333301863E-4</c:v>
                </c:pt>
                <c:pt idx="42">
                  <c:v>-5.8000000000002487E-5</c:v>
                </c:pt>
                <c:pt idx="43">
                  <c:v>-3.956666666669606E-4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C9D-4772-82F2-7A6AA9D4D7DF}"/>
            </c:ext>
          </c:extLst>
        </c:ser>
        <c:ser>
          <c:idx val="41"/>
          <c:order val="41"/>
          <c:tx>
            <c:v>BES_TR3_two313_C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Net_kW!$AR$2:$AR$49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-8.4057833333251591E-5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3.387646666675459E-4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-2.2465925000003659E-4</c:v>
                </c:pt>
                <c:pt idx="15">
                  <c:v>-1.413062499999729E-4</c:v>
                </c:pt>
                <c:pt idx="16">
                  <c:v>-2.0587391666815341E-4</c:v>
                </c:pt>
                <c:pt idx="17">
                  <c:v>-1.3944068334999999</c:v>
                </c:pt>
                <c:pt idx="18">
                  <c:v>-1.6773596016666681</c:v>
                </c:pt>
                <c:pt idx="19">
                  <c:v>-1.800989628833332</c:v>
                </c:pt>
                <c:pt idx="20">
                  <c:v>-1.909505589416667</c:v>
                </c:pt>
                <c:pt idx="21">
                  <c:v>-1.9974213007499999</c:v>
                </c:pt>
                <c:pt idx="22">
                  <c:v>-2.0502782029166671</c:v>
                </c:pt>
                <c:pt idx="23">
                  <c:v>-2.0467178596666669</c:v>
                </c:pt>
                <c:pt idx="24">
                  <c:v>-1.9993308306666671</c:v>
                </c:pt>
                <c:pt idx="25">
                  <c:v>-2.0735290449999999</c:v>
                </c:pt>
                <c:pt idx="26">
                  <c:v>-1.7258757179166671</c:v>
                </c:pt>
                <c:pt idx="27">
                  <c:v>-0.402080621333337</c:v>
                </c:pt>
                <c:pt idx="28">
                  <c:v>-1.696727099916667</c:v>
                </c:pt>
                <c:pt idx="29">
                  <c:v>-1.5674388581666681</c:v>
                </c:pt>
                <c:pt idx="30">
                  <c:v>-1.5409786425833329</c:v>
                </c:pt>
                <c:pt idx="31">
                  <c:v>-1.471739908666668</c:v>
                </c:pt>
                <c:pt idx="32">
                  <c:v>-1.3031250358333319</c:v>
                </c:pt>
                <c:pt idx="33">
                  <c:v>-1.099544545583333</c:v>
                </c:pt>
                <c:pt idx="34">
                  <c:v>-0.90900732958333241</c:v>
                </c:pt>
                <c:pt idx="35">
                  <c:v>-0.71321851324999996</c:v>
                </c:pt>
                <c:pt idx="36">
                  <c:v>-0.52382308416666745</c:v>
                </c:pt>
                <c:pt idx="37">
                  <c:v>-0.34121920374999998</c:v>
                </c:pt>
                <c:pt idx="38">
                  <c:v>4.3653266666683621E-4</c:v>
                </c:pt>
                <c:pt idx="39">
                  <c:v>-2.7030108333303549E-4</c:v>
                </c:pt>
                <c:pt idx="40">
                  <c:v>-2.3702683333370891E-4</c:v>
                </c:pt>
                <c:pt idx="41">
                  <c:v>-4.093333333329841E-4</c:v>
                </c:pt>
                <c:pt idx="42">
                  <c:v>-3.763333333329788E-4</c:v>
                </c:pt>
                <c:pt idx="43">
                  <c:v>-3.7666666666991138E-5</c:v>
                </c:pt>
                <c:pt idx="44">
                  <c:v>-8.3333333329993486E-6</c:v>
                </c:pt>
                <c:pt idx="45">
                  <c:v>4.6333333333303811E-4</c:v>
                </c:pt>
                <c:pt idx="46">
                  <c:v>0</c:v>
                </c:pt>
                <c:pt idx="47">
                  <c:v>-3.2693333333330687E-4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C9D-4772-82F2-7A6AA9D4D7DF}"/>
            </c:ext>
          </c:extLst>
        </c:ser>
        <c:ser>
          <c:idx val="42"/>
          <c:order val="42"/>
          <c:tx>
            <c:v>BES_TR3_two137_B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Net_kW!$AS$2:$AS$49</c:f>
              <c:numCache>
                <c:formatCode>#,##0.000</c:formatCode>
                <c:ptCount val="48"/>
                <c:pt idx="0">
                  <c:v>-1.199999999990098E-5</c:v>
                </c:pt>
                <c:pt idx="1">
                  <c:v>-3.7433333333292129E-4</c:v>
                </c:pt>
                <c:pt idx="2">
                  <c:v>7.699999999999374E-5</c:v>
                </c:pt>
                <c:pt idx="3">
                  <c:v>1.7999999999988861E-4</c:v>
                </c:pt>
                <c:pt idx="4">
                  <c:v>-8.6666666666013192E-6</c:v>
                </c:pt>
                <c:pt idx="5">
                  <c:v>-8.6666666667012393E-5</c:v>
                </c:pt>
                <c:pt idx="6">
                  <c:v>-2.30000000000008E-4</c:v>
                </c:pt>
                <c:pt idx="7">
                  <c:v>-1.0603636666634E-4</c:v>
                </c:pt>
                <c:pt idx="8">
                  <c:v>4.8231903333344033E-4</c:v>
                </c:pt>
                <c:pt idx="9">
                  <c:v>4.3747078333300488E-4</c:v>
                </c:pt>
                <c:pt idx="10">
                  <c:v>6.2581099998515466E-5</c:v>
                </c:pt>
                <c:pt idx="11">
                  <c:v>-1.257294666654474E-4</c:v>
                </c:pt>
                <c:pt idx="12">
                  <c:v>-4.4176858333455638E-4</c:v>
                </c:pt>
                <c:pt idx="13">
                  <c:v>1.6414490000193899E-4</c:v>
                </c:pt>
                <c:pt idx="14">
                  <c:v>2.8547705000003809E-4</c:v>
                </c:pt>
                <c:pt idx="15">
                  <c:v>-2.782874999995855E-5</c:v>
                </c:pt>
                <c:pt idx="16">
                  <c:v>-0.35438355681666822</c:v>
                </c:pt>
                <c:pt idx="17">
                  <c:v>-2.1033295668999998</c:v>
                </c:pt>
                <c:pt idx="18">
                  <c:v>-2.228574109000002</c:v>
                </c:pt>
                <c:pt idx="19">
                  <c:v>-1.8819404803666651</c:v>
                </c:pt>
                <c:pt idx="20">
                  <c:v>-1.1219551585166641</c:v>
                </c:pt>
                <c:pt idx="21">
                  <c:v>-2.6908337810499998</c:v>
                </c:pt>
                <c:pt idx="22">
                  <c:v>-2.7926123507500011</c:v>
                </c:pt>
                <c:pt idx="23">
                  <c:v>-2.9498108701999999</c:v>
                </c:pt>
                <c:pt idx="24">
                  <c:v>-2.835266496266668</c:v>
                </c:pt>
                <c:pt idx="25">
                  <c:v>-2.9015864630000001</c:v>
                </c:pt>
                <c:pt idx="26">
                  <c:v>-2.832210338416667</c:v>
                </c:pt>
                <c:pt idx="27">
                  <c:v>-2.6672412032000019</c:v>
                </c:pt>
                <c:pt idx="28">
                  <c:v>-2.57154940655</c:v>
                </c:pt>
                <c:pt idx="29">
                  <c:v>-2.3415117347666681</c:v>
                </c:pt>
                <c:pt idx="30">
                  <c:v>-2.3102374329500002</c:v>
                </c:pt>
                <c:pt idx="31">
                  <c:v>-2.0750458721333338</c:v>
                </c:pt>
                <c:pt idx="32">
                  <c:v>-1.6769860501666649</c:v>
                </c:pt>
                <c:pt idx="33">
                  <c:v>-1.573066697149998</c:v>
                </c:pt>
                <c:pt idx="34">
                  <c:v>-1.2701602614166649</c:v>
                </c:pt>
                <c:pt idx="35">
                  <c:v>-0.86168125188333311</c:v>
                </c:pt>
                <c:pt idx="36">
                  <c:v>-0.77355231783333445</c:v>
                </c:pt>
                <c:pt idx="37">
                  <c:v>-0.32421488524999997</c:v>
                </c:pt>
                <c:pt idx="38">
                  <c:v>-0.26229798759999978</c:v>
                </c:pt>
                <c:pt idx="39">
                  <c:v>-2.089288183333302E-3</c:v>
                </c:pt>
                <c:pt idx="40">
                  <c:v>-2.9430423333332012E-4</c:v>
                </c:pt>
                <c:pt idx="41">
                  <c:v>1.199999999999951E-4</c:v>
                </c:pt>
                <c:pt idx="42">
                  <c:v>3.0100000000005123E-4</c:v>
                </c:pt>
                <c:pt idx="43">
                  <c:v>4.870000000000152E-4</c:v>
                </c:pt>
                <c:pt idx="44">
                  <c:v>-1.09999999999999E-4</c:v>
                </c:pt>
                <c:pt idx="45">
                  <c:v>-1.5766666666694459E-4</c:v>
                </c:pt>
                <c:pt idx="46">
                  <c:v>1.2666666666699691E-4</c:v>
                </c:pt>
                <c:pt idx="47">
                  <c:v>-3.6600000000008848E-4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C9D-4772-82F2-7A6AA9D4D7DF}"/>
            </c:ext>
          </c:extLst>
        </c:ser>
        <c:ser>
          <c:idx val="43"/>
          <c:order val="43"/>
          <c:tx>
            <c:v>BES_TR3_two316_A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Net_kW!$AT$2:$AT$49</c:f>
              <c:numCache>
                <c:formatCode>#,##0.000</c:formatCode>
                <c:ptCount val="48"/>
                <c:pt idx="0">
                  <c:v>-8.566666666709466E-5</c:v>
                </c:pt>
                <c:pt idx="1">
                  <c:v>-3.4666666666699491E-4</c:v>
                </c:pt>
                <c:pt idx="2">
                  <c:v>3.3399999999997321E-4</c:v>
                </c:pt>
                <c:pt idx="3">
                  <c:v>0</c:v>
                </c:pt>
                <c:pt idx="4">
                  <c:v>0</c:v>
                </c:pt>
                <c:pt idx="5">
                  <c:v>3.3399999999997321E-4</c:v>
                </c:pt>
                <c:pt idx="6">
                  <c:v>0</c:v>
                </c:pt>
                <c:pt idx="7">
                  <c:v>8.6397400000007285E-5</c:v>
                </c:pt>
                <c:pt idx="8">
                  <c:v>3.6613059999999342E-4</c:v>
                </c:pt>
                <c:pt idx="9">
                  <c:v>-4.3016789999998639E-4</c:v>
                </c:pt>
                <c:pt idx="10">
                  <c:v>3.2878379999898288E-4</c:v>
                </c:pt>
                <c:pt idx="11">
                  <c:v>-3.9348239999892343E-4</c:v>
                </c:pt>
                <c:pt idx="12">
                  <c:v>2.5205549999884891E-4</c:v>
                </c:pt>
                <c:pt idx="13">
                  <c:v>-1.6287579999907381E-4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-3.4904870000107557E-4</c:v>
                </c:pt>
                <c:pt idx="17">
                  <c:v>-1.5204882002</c:v>
                </c:pt>
                <c:pt idx="18">
                  <c:v>-2.0224315220000011</c:v>
                </c:pt>
                <c:pt idx="19">
                  <c:v>-2.081453554599999</c:v>
                </c:pt>
                <c:pt idx="20">
                  <c:v>-2.3010067073000009</c:v>
                </c:pt>
                <c:pt idx="21">
                  <c:v>-2.4084788409</c:v>
                </c:pt>
                <c:pt idx="22">
                  <c:v>-2.484733443500001</c:v>
                </c:pt>
                <c:pt idx="23">
                  <c:v>-2.5181750315999998</c:v>
                </c:pt>
                <c:pt idx="24">
                  <c:v>-2.5278609968000012</c:v>
                </c:pt>
                <c:pt idx="25">
                  <c:v>-1.24335758733333</c:v>
                </c:pt>
                <c:pt idx="26">
                  <c:v>-1.4326188615</c:v>
                </c:pt>
                <c:pt idx="27">
                  <c:v>-2.0764174122666681</c:v>
                </c:pt>
                <c:pt idx="28">
                  <c:v>-1.7182259199000001</c:v>
                </c:pt>
                <c:pt idx="29">
                  <c:v>-1.9241022964666681</c:v>
                </c:pt>
                <c:pt idx="30">
                  <c:v>-1.5053933711</c:v>
                </c:pt>
                <c:pt idx="31">
                  <c:v>-1.2803588904000009</c:v>
                </c:pt>
                <c:pt idx="32">
                  <c:v>-1.3603873763333321</c:v>
                </c:pt>
                <c:pt idx="33">
                  <c:v>-1.149311454699999</c:v>
                </c:pt>
                <c:pt idx="34">
                  <c:v>-1.023836795499999</c:v>
                </c:pt>
                <c:pt idx="35">
                  <c:v>-0.80980221590000012</c:v>
                </c:pt>
                <c:pt idx="36">
                  <c:v>-0.37892903433333402</c:v>
                </c:pt>
                <c:pt idx="37">
                  <c:v>-0.35998197783333302</c:v>
                </c:pt>
                <c:pt idx="38">
                  <c:v>-0.17903656079999991</c:v>
                </c:pt>
                <c:pt idx="39">
                  <c:v>-3.3626130000002918E-4</c:v>
                </c:pt>
                <c:pt idx="40">
                  <c:v>-4.4616553333304282E-4</c:v>
                </c:pt>
                <c:pt idx="41">
                  <c:v>-3.5433333333301231E-4</c:v>
                </c:pt>
                <c:pt idx="42">
                  <c:v>3.656666666669306E-4</c:v>
                </c:pt>
                <c:pt idx="43">
                  <c:v>3.1333333333294361E-4</c:v>
                </c:pt>
                <c:pt idx="44">
                  <c:v>-2.399999999991298E-5</c:v>
                </c:pt>
                <c:pt idx="45">
                  <c:v>2.2833333333294181E-4</c:v>
                </c:pt>
                <c:pt idx="46">
                  <c:v>-1.4066666666701089E-4</c:v>
                </c:pt>
                <c:pt idx="47">
                  <c:v>-3.1666666666596571E-4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9C9D-4772-82F2-7A6AA9D4D7DF}"/>
            </c:ext>
          </c:extLst>
        </c:ser>
        <c:ser>
          <c:idx val="44"/>
          <c:order val="44"/>
          <c:tx>
            <c:v>BES_TR3_two339_A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Net_kW!$AU$2:$AU$49</c:f>
              <c:numCache>
                <c:formatCode>#,##0.000</c:formatCode>
                <c:ptCount val="48"/>
                <c:pt idx="0">
                  <c:v>-2.8099999999997571E-4</c:v>
                </c:pt>
                <c:pt idx="1">
                  <c:v>1.8266666666699741E-4</c:v>
                </c:pt>
                <c:pt idx="2">
                  <c:v>4.6533333333287352E-4</c:v>
                </c:pt>
                <c:pt idx="3">
                  <c:v>0.27841733333333302</c:v>
                </c:pt>
                <c:pt idx="4">
                  <c:v>0.48988799999999999</c:v>
                </c:pt>
                <c:pt idx="5">
                  <c:v>0.56713533333333299</c:v>
                </c:pt>
                <c:pt idx="6">
                  <c:v>0.206956</c:v>
                </c:pt>
                <c:pt idx="7">
                  <c:v>4.9989296966666673E-2</c:v>
                </c:pt>
                <c:pt idx="8">
                  <c:v>0.12704698570000039</c:v>
                </c:pt>
                <c:pt idx="9">
                  <c:v>9.8483470783332999E-2</c:v>
                </c:pt>
                <c:pt idx="10">
                  <c:v>-1.060855666674687E-4</c:v>
                </c:pt>
                <c:pt idx="11">
                  <c:v>6.6038666675649624E-6</c:v>
                </c:pt>
                <c:pt idx="12">
                  <c:v>-7.776858333452541E-5</c:v>
                </c:pt>
                <c:pt idx="13">
                  <c:v>-4.5685509999793261E-4</c:v>
                </c:pt>
                <c:pt idx="14">
                  <c:v>2.8681038333311371E-4</c:v>
                </c:pt>
                <c:pt idx="15">
                  <c:v>-1.7416208333309591E-4</c:v>
                </c:pt>
                <c:pt idx="16">
                  <c:v>-3.6322348333506232E-4</c:v>
                </c:pt>
                <c:pt idx="17">
                  <c:v>-1.2935735668999999</c:v>
                </c:pt>
                <c:pt idx="18">
                  <c:v>-1.851562442333335</c:v>
                </c:pt>
                <c:pt idx="19">
                  <c:v>-2.5149438136999982</c:v>
                </c:pt>
                <c:pt idx="20">
                  <c:v>-2.5504891585166671</c:v>
                </c:pt>
                <c:pt idx="21">
                  <c:v>-2.50473738105</c:v>
                </c:pt>
                <c:pt idx="22">
                  <c:v>-2.8109655174166668</c:v>
                </c:pt>
                <c:pt idx="23">
                  <c:v>-2.7231692035333328</c:v>
                </c:pt>
                <c:pt idx="24">
                  <c:v>-2.887036162933335</c:v>
                </c:pt>
                <c:pt idx="25">
                  <c:v>-2.7257741296666671</c:v>
                </c:pt>
                <c:pt idx="26">
                  <c:v>-2.712721005083333</c:v>
                </c:pt>
                <c:pt idx="27">
                  <c:v>-2.646699536533335</c:v>
                </c:pt>
                <c:pt idx="28">
                  <c:v>-2.40413840655</c:v>
                </c:pt>
                <c:pt idx="29">
                  <c:v>-2.4360154014333348</c:v>
                </c:pt>
                <c:pt idx="30">
                  <c:v>-0.77903676628332996</c:v>
                </c:pt>
                <c:pt idx="31">
                  <c:v>-1.8108098721333341</c:v>
                </c:pt>
                <c:pt idx="32">
                  <c:v>-1.1003050501666649</c:v>
                </c:pt>
                <c:pt idx="33">
                  <c:v>-0.89958303048333199</c:v>
                </c:pt>
                <c:pt idx="34">
                  <c:v>-1.0002152614166651</c:v>
                </c:pt>
                <c:pt idx="35">
                  <c:v>-0.6793095185500001</c:v>
                </c:pt>
                <c:pt idx="36">
                  <c:v>-0.29130665116666737</c:v>
                </c:pt>
                <c:pt idx="37">
                  <c:v>-0.35639655191666703</c:v>
                </c:pt>
                <c:pt idx="38">
                  <c:v>-3.9532093333352961E-4</c:v>
                </c:pt>
                <c:pt idx="39">
                  <c:v>1.097118166669686E-4</c:v>
                </c:pt>
                <c:pt idx="40">
                  <c:v>2.683624333336132E-4</c:v>
                </c:pt>
                <c:pt idx="41">
                  <c:v>-4.250000000000087E-4</c:v>
                </c:pt>
                <c:pt idx="42">
                  <c:v>2.8966666666702112E-4</c:v>
                </c:pt>
                <c:pt idx="43">
                  <c:v>-2.7433333333304327E-4</c:v>
                </c:pt>
                <c:pt idx="44">
                  <c:v>-1.6000000000238049E-5</c:v>
                </c:pt>
                <c:pt idx="45">
                  <c:v>-3.1700000000001172E-4</c:v>
                </c:pt>
                <c:pt idx="46">
                  <c:v>-3.3733333333296761E-4</c:v>
                </c:pt>
                <c:pt idx="47">
                  <c:v>2.5333333332988591E-5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C9D-4772-82F2-7A6AA9D4D7DF}"/>
            </c:ext>
          </c:extLst>
        </c:ser>
        <c:ser>
          <c:idx val="45"/>
          <c:order val="45"/>
          <c:tx>
            <c:v>BES_TR3_two149_B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Net_kW!$AV$2:$AV$49</c:f>
              <c:numCache>
                <c:formatCode>#,##0.000</c:formatCode>
                <c:ptCount val="48"/>
                <c:pt idx="0">
                  <c:v>-7.9999999999941229E-6</c:v>
                </c:pt>
                <c:pt idx="1">
                  <c:v>-4.4033333333301511E-4</c:v>
                </c:pt>
                <c:pt idx="2">
                  <c:v>-2.230000000000287E-4</c:v>
                </c:pt>
                <c:pt idx="3">
                  <c:v>0</c:v>
                </c:pt>
                <c:pt idx="4">
                  <c:v>3.3666666666701262E-4</c:v>
                </c:pt>
                <c:pt idx="5">
                  <c:v>0</c:v>
                </c:pt>
                <c:pt idx="6">
                  <c:v>0</c:v>
                </c:pt>
                <c:pt idx="7">
                  <c:v>-2.2703033333348891E-5</c:v>
                </c:pt>
                <c:pt idx="8">
                  <c:v>-1.6901429999954809E-4</c:v>
                </c:pt>
                <c:pt idx="9">
                  <c:v>4.9813745000001908E-4</c:v>
                </c:pt>
                <c:pt idx="10">
                  <c:v>-1.13085566667448E-4</c:v>
                </c:pt>
                <c:pt idx="11">
                  <c:v>-3.4672946666558507E-4</c:v>
                </c:pt>
                <c:pt idx="12">
                  <c:v>6.9231416665482826E-5</c:v>
                </c:pt>
                <c:pt idx="13">
                  <c:v>3.1714490000189782E-4</c:v>
                </c:pt>
                <c:pt idx="14">
                  <c:v>2.8147704999992312E-4</c:v>
                </c:pt>
                <c:pt idx="15">
                  <c:v>-4.6716208333341669E-4</c:v>
                </c:pt>
                <c:pt idx="16">
                  <c:v>-1.1650712234833349</c:v>
                </c:pt>
                <c:pt idx="17">
                  <c:v>-2.1467805669</c:v>
                </c:pt>
                <c:pt idx="18">
                  <c:v>-2.2945154423333349</c:v>
                </c:pt>
                <c:pt idx="19">
                  <c:v>-2.3671834803666649</c:v>
                </c:pt>
                <c:pt idx="20">
                  <c:v>-2.3953571585166671</c:v>
                </c:pt>
                <c:pt idx="21">
                  <c:v>-2.5634546477166662</c:v>
                </c:pt>
                <c:pt idx="22">
                  <c:v>-2.6335816840833339</c:v>
                </c:pt>
                <c:pt idx="23">
                  <c:v>-2.8026508701999999</c:v>
                </c:pt>
                <c:pt idx="24">
                  <c:v>-2.9621711629333349</c:v>
                </c:pt>
                <c:pt idx="25">
                  <c:v>-2.7783581296666671</c:v>
                </c:pt>
                <c:pt idx="26">
                  <c:v>-2.8483503384166671</c:v>
                </c:pt>
                <c:pt idx="27">
                  <c:v>-2.6336555365333352</c:v>
                </c:pt>
                <c:pt idx="28">
                  <c:v>-2.5759947398833329</c:v>
                </c:pt>
                <c:pt idx="29">
                  <c:v>-2.468416401433335</c:v>
                </c:pt>
                <c:pt idx="30">
                  <c:v>-2.1099007662833329</c:v>
                </c:pt>
                <c:pt idx="31">
                  <c:v>-2.084635872133334</c:v>
                </c:pt>
                <c:pt idx="32">
                  <c:v>-1.742226383499998</c:v>
                </c:pt>
                <c:pt idx="33">
                  <c:v>-1.5635623638166649</c:v>
                </c:pt>
                <c:pt idx="34">
                  <c:v>-1.203572928083332</c:v>
                </c:pt>
                <c:pt idx="35">
                  <c:v>-0.93160658521666706</c:v>
                </c:pt>
                <c:pt idx="36">
                  <c:v>-0.75755231783333443</c:v>
                </c:pt>
                <c:pt idx="37">
                  <c:v>-0.34789888525000001</c:v>
                </c:pt>
                <c:pt idx="38">
                  <c:v>-0.24195198759999981</c:v>
                </c:pt>
                <c:pt idx="39">
                  <c:v>-4.7709548499999949E-3</c:v>
                </c:pt>
                <c:pt idx="40">
                  <c:v>4.936243333367174E-5</c:v>
                </c:pt>
                <c:pt idx="41">
                  <c:v>0</c:v>
                </c:pt>
                <c:pt idx="42">
                  <c:v>0</c:v>
                </c:pt>
                <c:pt idx="43">
                  <c:v>-3.66666666670179E-5</c:v>
                </c:pt>
                <c:pt idx="44">
                  <c:v>-9.0000000000006741E-5</c:v>
                </c:pt>
                <c:pt idx="45">
                  <c:v>-3.3600000000000302E-4</c:v>
                </c:pt>
                <c:pt idx="46">
                  <c:v>-1.163333333329963E-4</c:v>
                </c:pt>
                <c:pt idx="47">
                  <c:v>2.8899999999998371E-4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9C9D-4772-82F2-7A6AA9D4D7DF}"/>
            </c:ext>
          </c:extLst>
        </c:ser>
        <c:ser>
          <c:idx val="46"/>
          <c:order val="46"/>
          <c:tx>
            <c:v>BES_TR3_two225_C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Net_kW!$AW$2:$AW$49</c:f>
              <c:numCache>
                <c:formatCode>#,##0.000</c:formatCode>
                <c:ptCount val="48"/>
                <c:pt idx="0">
                  <c:v>3.5066666666699892E-4</c:v>
                </c:pt>
                <c:pt idx="1">
                  <c:v>4.9000000000021249E-5</c:v>
                </c:pt>
                <c:pt idx="2">
                  <c:v>3.0566666666650982E-4</c:v>
                </c:pt>
                <c:pt idx="3">
                  <c:v>3.7799999999998951E-4</c:v>
                </c:pt>
                <c:pt idx="4">
                  <c:v>-3.8866666666698141E-4</c:v>
                </c:pt>
                <c:pt idx="5">
                  <c:v>3.7799999999998951E-4</c:v>
                </c:pt>
                <c:pt idx="6">
                  <c:v>0</c:v>
                </c:pt>
                <c:pt idx="7">
                  <c:v>-4.3640173333332749E-4</c:v>
                </c:pt>
                <c:pt idx="8">
                  <c:v>4.3808706666639829E-4</c:v>
                </c:pt>
                <c:pt idx="9">
                  <c:v>1.132213999999951E-4</c:v>
                </c:pt>
                <c:pt idx="10">
                  <c:v>-3.2614413333401088E-4</c:v>
                </c:pt>
                <c:pt idx="11">
                  <c:v>4.9567840000100394E-4</c:v>
                </c:pt>
                <c:pt idx="12">
                  <c:v>2.6137033333301091E-4</c:v>
                </c:pt>
                <c:pt idx="13">
                  <c:v>1.294161333340593E-4</c:v>
                </c:pt>
                <c:pt idx="14">
                  <c:v>-1.2839406666698139E-4</c:v>
                </c:pt>
                <c:pt idx="15">
                  <c:v>-3.1304499999984531E-4</c:v>
                </c:pt>
                <c:pt idx="16">
                  <c:v>8.3008666658807018E-6</c:v>
                </c:pt>
                <c:pt idx="17">
                  <c:v>4.0753320000019849E-4</c:v>
                </c:pt>
                <c:pt idx="18">
                  <c:v>-3.6348000000963048E-5</c:v>
                </c:pt>
                <c:pt idx="19">
                  <c:v>-1.5103639999880511E-4</c:v>
                </c:pt>
                <c:pt idx="20">
                  <c:v>-1.036563804866667</c:v>
                </c:pt>
                <c:pt idx="21">
                  <c:v>-1.4794125605999999</c:v>
                </c:pt>
                <c:pt idx="22">
                  <c:v>-1.6424889623333341</c:v>
                </c:pt>
                <c:pt idx="23">
                  <c:v>-1.566172021066667</c:v>
                </c:pt>
                <c:pt idx="24">
                  <c:v>-1.502908664533334</c:v>
                </c:pt>
                <c:pt idx="25">
                  <c:v>-1.6311148360000001</c:v>
                </c:pt>
                <c:pt idx="26">
                  <c:v>-1.1822809076666669</c:v>
                </c:pt>
                <c:pt idx="27">
                  <c:v>-1.4435284970666671</c:v>
                </c:pt>
                <c:pt idx="28">
                  <c:v>-1.3890769465999999</c:v>
                </c:pt>
                <c:pt idx="29">
                  <c:v>-4.1075320000397148E-4</c:v>
                </c:pt>
                <c:pt idx="30">
                  <c:v>4.1575259999948599E-4</c:v>
                </c:pt>
                <c:pt idx="31">
                  <c:v>-1.165936000036005E-4</c:v>
                </c:pt>
                <c:pt idx="32">
                  <c:v>-3.5089533333187978E-4</c:v>
                </c:pt>
                <c:pt idx="33">
                  <c:v>-1.7763646666590921E-4</c:v>
                </c:pt>
                <c:pt idx="34">
                  <c:v>2.856696666670433E-4</c:v>
                </c:pt>
                <c:pt idx="35">
                  <c:v>-1.096439333330701E-4</c:v>
                </c:pt>
                <c:pt idx="36">
                  <c:v>-3.1713399999999577E-4</c:v>
                </c:pt>
                <c:pt idx="37">
                  <c:v>2.903036666669565E-4</c:v>
                </c:pt>
                <c:pt idx="38">
                  <c:v>-7.2007199999599147E-5</c:v>
                </c:pt>
                <c:pt idx="39">
                  <c:v>4.9669246666694811E-4</c:v>
                </c:pt>
                <c:pt idx="40">
                  <c:v>-2.0055480000036319E-4</c:v>
                </c:pt>
                <c:pt idx="41">
                  <c:v>-3.8500000000002421E-4</c:v>
                </c:pt>
                <c:pt idx="42">
                  <c:v>-3.416666666669621E-4</c:v>
                </c:pt>
                <c:pt idx="43">
                  <c:v>-8.33333333330466E-5</c:v>
                </c:pt>
                <c:pt idx="44">
                  <c:v>2.9266666666599722E-4</c:v>
                </c:pt>
                <c:pt idx="45">
                  <c:v>-3.5600000000002302E-4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C9D-4772-82F2-7A6AA9D4D7DF}"/>
            </c:ext>
          </c:extLst>
        </c:ser>
        <c:ser>
          <c:idx val="47"/>
          <c:order val="47"/>
          <c:tx>
            <c:v>BES_TR3_two229_A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Net_kW!$AX$2:$AX$49</c:f>
              <c:numCache>
                <c:formatCode>#,##0.000</c:formatCode>
                <c:ptCount val="48"/>
                <c:pt idx="0">
                  <c:v>4.7333333332982841E-5</c:v>
                </c:pt>
                <c:pt idx="1">
                  <c:v>-4.0433333333300681E-4</c:v>
                </c:pt>
                <c:pt idx="2">
                  <c:v>-4.906666666670001E-4</c:v>
                </c:pt>
                <c:pt idx="3">
                  <c:v>-1.18000000000007E-4</c:v>
                </c:pt>
                <c:pt idx="4">
                  <c:v>-5.2666666667006152E-5</c:v>
                </c:pt>
                <c:pt idx="5">
                  <c:v>3.913333333329938E-4</c:v>
                </c:pt>
                <c:pt idx="6">
                  <c:v>0</c:v>
                </c:pt>
                <c:pt idx="7">
                  <c:v>-4.2430129999998512E-4</c:v>
                </c:pt>
                <c:pt idx="8">
                  <c:v>-1.7776803333294231E-4</c:v>
                </c:pt>
                <c:pt idx="9">
                  <c:v>2.179160500000131E-4</c:v>
                </c:pt>
                <c:pt idx="10">
                  <c:v>-4.8827476666751449E-4</c:v>
                </c:pt>
                <c:pt idx="11">
                  <c:v>1.2625880000050049E-4</c:v>
                </c:pt>
                <c:pt idx="12">
                  <c:v>9.8861083332679733E-5</c:v>
                </c:pt>
                <c:pt idx="13">
                  <c:v>1.7239543333352761E-4</c:v>
                </c:pt>
                <c:pt idx="14">
                  <c:v>2.7953778333300589E-4</c:v>
                </c:pt>
                <c:pt idx="15">
                  <c:v>1.3721625000007179E-4</c:v>
                </c:pt>
                <c:pt idx="16">
                  <c:v>2.1467564999944069E-4</c:v>
                </c:pt>
                <c:pt idx="17">
                  <c:v>-1.4883343333282889E-4</c:v>
                </c:pt>
                <c:pt idx="18">
                  <c:v>4.1957233333300698E-4</c:v>
                </c:pt>
                <c:pt idx="19">
                  <c:v>-3.4364396666597408E-4</c:v>
                </c:pt>
                <c:pt idx="20">
                  <c:v>3.4831301666704562E-4</c:v>
                </c:pt>
                <c:pt idx="21">
                  <c:v>-0.36361475378333319</c:v>
                </c:pt>
                <c:pt idx="22">
                  <c:v>-1.1245187217499999</c:v>
                </c:pt>
                <c:pt idx="23">
                  <c:v>-1.0844105157999999</c:v>
                </c:pt>
                <c:pt idx="24">
                  <c:v>-0.86886283173333401</c:v>
                </c:pt>
                <c:pt idx="25">
                  <c:v>-0.49204062700000001</c:v>
                </c:pt>
                <c:pt idx="26">
                  <c:v>-1.0716477640833331</c:v>
                </c:pt>
                <c:pt idx="27">
                  <c:v>-0.88060770613333306</c:v>
                </c:pt>
                <c:pt idx="28">
                  <c:v>-1.0582123932833329</c:v>
                </c:pt>
                <c:pt idx="29">
                  <c:v>-0.2154707815666661</c:v>
                </c:pt>
                <c:pt idx="30">
                  <c:v>-0.51068151888333291</c:v>
                </c:pt>
                <c:pt idx="31">
                  <c:v>-0.67761334520000038</c:v>
                </c:pt>
                <c:pt idx="32">
                  <c:v>-0.4937832881666665</c:v>
                </c:pt>
                <c:pt idx="33">
                  <c:v>-0.6420760940166661</c:v>
                </c:pt>
                <c:pt idx="34">
                  <c:v>-0.44044039774999938</c:v>
                </c:pt>
                <c:pt idx="35">
                  <c:v>-0.17212910795000011</c:v>
                </c:pt>
                <c:pt idx="36">
                  <c:v>-0.18803885050000049</c:v>
                </c:pt>
                <c:pt idx="37">
                  <c:v>-8.1522249999910201E-5</c:v>
                </c:pt>
                <c:pt idx="38">
                  <c:v>2.305293333304537E-5</c:v>
                </c:pt>
                <c:pt idx="39">
                  <c:v>-3.4831398333298741E-4</c:v>
                </c:pt>
                <c:pt idx="40">
                  <c:v>-1.3141610000000359E-4</c:v>
                </c:pt>
                <c:pt idx="41">
                  <c:v>4.2199999999997789E-4</c:v>
                </c:pt>
                <c:pt idx="42">
                  <c:v>-4.1000000000002151E-4</c:v>
                </c:pt>
                <c:pt idx="43">
                  <c:v>4.1666666666939627E-5</c:v>
                </c:pt>
                <c:pt idx="44">
                  <c:v>3.7366666666982518E-4</c:v>
                </c:pt>
                <c:pt idx="45">
                  <c:v>2.5300000000005868E-4</c:v>
                </c:pt>
                <c:pt idx="46">
                  <c:v>0</c:v>
                </c:pt>
                <c:pt idx="47">
                  <c:v>2.7033333333329612E-4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9C9D-4772-82F2-7A6AA9D4D7DF}"/>
            </c:ext>
          </c:extLst>
        </c:ser>
        <c:ser>
          <c:idx val="48"/>
          <c:order val="48"/>
          <c:tx>
            <c:v>BES_TR3_two242_B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Net_kW!$AY$2:$AY$49</c:f>
              <c:numCache>
                <c:formatCode>#,##0.000</c:formatCode>
                <c:ptCount val="48"/>
                <c:pt idx="0">
                  <c:v>-3.9666666666704492E-4</c:v>
                </c:pt>
                <c:pt idx="1">
                  <c:v>4.8799999999998839E-4</c:v>
                </c:pt>
                <c:pt idx="2">
                  <c:v>1.9866666666701341E-4</c:v>
                </c:pt>
                <c:pt idx="3">
                  <c:v>4.8799999999998839E-4</c:v>
                </c:pt>
                <c:pt idx="4">
                  <c:v>0</c:v>
                </c:pt>
                <c:pt idx="5">
                  <c:v>4.8799999999998839E-4</c:v>
                </c:pt>
                <c:pt idx="6">
                  <c:v>1.18E-4</c:v>
                </c:pt>
                <c:pt idx="7">
                  <c:v>3.6026493333368709E-4</c:v>
                </c:pt>
                <c:pt idx="8">
                  <c:v>-3.7657959999991281E-4</c:v>
                </c:pt>
                <c:pt idx="9">
                  <c:v>-2.0877859999998691E-4</c:v>
                </c:pt>
                <c:pt idx="10">
                  <c:v>4.4785586666590271E-4</c:v>
                </c:pt>
                <c:pt idx="11">
                  <c:v>-4.409882666659426E-4</c:v>
                </c:pt>
                <c:pt idx="12">
                  <c:v>2.3937033333293331E-4</c:v>
                </c:pt>
                <c:pt idx="13">
                  <c:v>-3.7458386666600058E-4</c:v>
                </c:pt>
                <c:pt idx="14">
                  <c:v>4.6560593333300199E-4</c:v>
                </c:pt>
                <c:pt idx="15">
                  <c:v>4.3228833333341932E-4</c:v>
                </c:pt>
                <c:pt idx="16">
                  <c:v>-2.0469913333409639E-4</c:v>
                </c:pt>
                <c:pt idx="17">
                  <c:v>3.2053320000002827E-4</c:v>
                </c:pt>
                <c:pt idx="18">
                  <c:v>2.0298533333273919E-4</c:v>
                </c:pt>
                <c:pt idx="19">
                  <c:v>-0.150231703066666</c:v>
                </c:pt>
                <c:pt idx="20">
                  <c:v>-1.418779138200001</c:v>
                </c:pt>
                <c:pt idx="21">
                  <c:v>-1.516427227266667</c:v>
                </c:pt>
                <c:pt idx="22">
                  <c:v>-1.5590169623333341</c:v>
                </c:pt>
                <c:pt idx="23">
                  <c:v>-1.5801860210666669</c:v>
                </c:pt>
                <c:pt idx="24">
                  <c:v>-1.4997926645333339</c:v>
                </c:pt>
                <c:pt idx="25">
                  <c:v>-1.376720169333334</c:v>
                </c:pt>
                <c:pt idx="26">
                  <c:v>-1.249288574333334</c:v>
                </c:pt>
                <c:pt idx="27">
                  <c:v>-1.4720611637333341</c:v>
                </c:pt>
                <c:pt idx="28">
                  <c:v>-1.4997539466000001</c:v>
                </c:pt>
                <c:pt idx="29">
                  <c:v>-1.3511777532000011</c:v>
                </c:pt>
                <c:pt idx="30">
                  <c:v>-0.96055891406666705</c:v>
                </c:pt>
                <c:pt idx="31">
                  <c:v>-1.1583532602666671</c:v>
                </c:pt>
                <c:pt idx="32">
                  <c:v>-0.85621669533333289</c:v>
                </c:pt>
                <c:pt idx="33">
                  <c:v>-0.41055230313333302</c:v>
                </c:pt>
                <c:pt idx="34">
                  <c:v>-0.50102319699999898</c:v>
                </c:pt>
                <c:pt idx="35">
                  <c:v>-0.32766081060000002</c:v>
                </c:pt>
                <c:pt idx="36">
                  <c:v>-0.36283180066666743</c:v>
                </c:pt>
                <c:pt idx="37">
                  <c:v>-0.25384202966666669</c:v>
                </c:pt>
                <c:pt idx="38">
                  <c:v>-2.6370720000062908E-4</c:v>
                </c:pt>
                <c:pt idx="39">
                  <c:v>-4.5497420000018002E-4</c:v>
                </c:pt>
                <c:pt idx="40">
                  <c:v>3.6711186666660289E-4</c:v>
                </c:pt>
                <c:pt idx="41">
                  <c:v>-2.1499999999996519E-4</c:v>
                </c:pt>
                <c:pt idx="42">
                  <c:v>2.20999999999999E-4</c:v>
                </c:pt>
                <c:pt idx="43">
                  <c:v>2.6866666666697242E-4</c:v>
                </c:pt>
                <c:pt idx="44">
                  <c:v>1.5333333333306109E-4</c:v>
                </c:pt>
                <c:pt idx="45">
                  <c:v>2.9366666666696961E-4</c:v>
                </c:pt>
                <c:pt idx="46">
                  <c:v>9.6666666666966883E-5</c:v>
                </c:pt>
                <c:pt idx="47">
                  <c:v>-3.3333333329943482E-6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C9D-4772-82F2-7A6AA9D4D7DF}"/>
            </c:ext>
          </c:extLst>
        </c:ser>
        <c:ser>
          <c:idx val="49"/>
          <c:order val="49"/>
          <c:tx>
            <c:v>net zero target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9C9D-4772-82F2-7A6AA9D4D7DF}"/>
            </c:ext>
          </c:extLst>
        </c:ser>
        <c:ser>
          <c:idx val="50"/>
          <c:order val="50"/>
          <c:tx>
            <c:v>fleet average</c:v>
          </c:tx>
          <c:spPr>
            <a:ln w="30480">
              <a:solidFill>
                <a:srgbClr val="4B3FA8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ChartData!$AC$2:$AC$49</c:f>
              <c:numCache>
                <c:formatCode>#,##0.000</c:formatCode>
                <c:ptCount val="48"/>
                <c:pt idx="0">
                  <c:v>-4.744217687074892E-5</c:v>
                </c:pt>
                <c:pt idx="1">
                  <c:v>-4.2225850340055215E-5</c:v>
                </c:pt>
                <c:pt idx="2">
                  <c:v>-2.6394557823550269E-6</c:v>
                </c:pt>
                <c:pt idx="3">
                  <c:v>5.6721904761904973E-3</c:v>
                </c:pt>
                <c:pt idx="4">
                  <c:v>1.5929727891156473E-2</c:v>
                </c:pt>
                <c:pt idx="5">
                  <c:v>1.5588448979591746E-2</c:v>
                </c:pt>
                <c:pt idx="6">
                  <c:v>6.0494217687074997E-3</c:v>
                </c:pt>
                <c:pt idx="7">
                  <c:v>9.6880052802720551E-3</c:v>
                </c:pt>
                <c:pt idx="8">
                  <c:v>8.562575020408289E-3</c:v>
                </c:pt>
                <c:pt idx="9">
                  <c:v>3.1093104238094603E-3</c:v>
                </c:pt>
                <c:pt idx="10">
                  <c:v>1.7295663904753171E-3</c:v>
                </c:pt>
                <c:pt idx="11">
                  <c:v>4.9684952392325954E-6</c:v>
                </c:pt>
                <c:pt idx="12">
                  <c:v>2.7639772107616867E-5</c:v>
                </c:pt>
                <c:pt idx="13">
                  <c:v>7.7431605458588848E-6</c:v>
                </c:pt>
                <c:pt idx="14">
                  <c:v>2.5328236053306918E-5</c:v>
                </c:pt>
                <c:pt idx="15">
                  <c:v>-0.18853992382653018</c:v>
                </c:pt>
                <c:pt idx="16">
                  <c:v>-0.91579288801428682</c:v>
                </c:pt>
                <c:pt idx="17">
                  <c:v>-1.4173968818544216</c:v>
                </c:pt>
                <c:pt idx="18">
                  <c:v>-1.6417698971836752</c:v>
                </c:pt>
                <c:pt idx="19">
                  <c:v>-1.9389246680258492</c:v>
                </c:pt>
                <c:pt idx="20">
                  <c:v>-2.2113494271421765</c:v>
                </c:pt>
                <c:pt idx="21">
                  <c:v>-2.4026933494333349</c:v>
                </c:pt>
                <c:pt idx="22">
                  <c:v>-2.3733778203435394</c:v>
                </c:pt>
                <c:pt idx="23">
                  <c:v>-2.3966696996653059</c:v>
                </c:pt>
                <c:pt idx="24">
                  <c:v>-2.609117452914286</c:v>
                </c:pt>
                <c:pt idx="25">
                  <c:v>-2.5825668585170072</c:v>
                </c:pt>
                <c:pt idx="26">
                  <c:v>-2.4212795607108863</c:v>
                </c:pt>
                <c:pt idx="27">
                  <c:v>-2.3031033546448989</c:v>
                </c:pt>
                <c:pt idx="28">
                  <c:v>-2.2640886492768697</c:v>
                </c:pt>
                <c:pt idx="29">
                  <c:v>-2.071345287465308</c:v>
                </c:pt>
                <c:pt idx="30">
                  <c:v>-1.8829313972061215</c:v>
                </c:pt>
                <c:pt idx="31">
                  <c:v>-1.7281592349333335</c:v>
                </c:pt>
                <c:pt idx="32">
                  <c:v>-1.4361548218299309</c:v>
                </c:pt>
                <c:pt idx="33">
                  <c:v>-1.198773881061904</c:v>
                </c:pt>
                <c:pt idx="34">
                  <c:v>-0.93350806167686873</c:v>
                </c:pt>
                <c:pt idx="35">
                  <c:v>-0.70591397273265333</c:v>
                </c:pt>
                <c:pt idx="36">
                  <c:v>-0.48589656029251782</c:v>
                </c:pt>
                <c:pt idx="37">
                  <c:v>-0.25354485410544231</c:v>
                </c:pt>
                <c:pt idx="38">
                  <c:v>-8.8027561975510149E-2</c:v>
                </c:pt>
                <c:pt idx="39">
                  <c:v>-2.8995305571427599E-3</c:v>
                </c:pt>
                <c:pt idx="40">
                  <c:v>2.0749329251945614E-5</c:v>
                </c:pt>
                <c:pt idx="41">
                  <c:v>-2.2074829931884032E-5</c:v>
                </c:pt>
                <c:pt idx="42">
                  <c:v>-6.6340136054443555E-5</c:v>
                </c:pt>
                <c:pt idx="43">
                  <c:v>1.6939074829931677E-2</c:v>
                </c:pt>
                <c:pt idx="44">
                  <c:v>3.2034108843537745E-2</c:v>
                </c:pt>
                <c:pt idx="45">
                  <c:v>8.2071666666666598E-2</c:v>
                </c:pt>
                <c:pt idx="46">
                  <c:v>5.6731884353741657E-2</c:v>
                </c:pt>
                <c:pt idx="47">
                  <c:v>2.8596330612244758E-2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C9D-4772-82F2-7A6AA9D4D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"/>
          <c:min val="-5.5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Net grid exchange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Demand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BES_TR3_one195_C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Demand_kW!$C$2:$C$49</c:f>
              <c:numCache>
                <c:formatCode>#,##0.000</c:formatCode>
                <c:ptCount val="48"/>
                <c:pt idx="0">
                  <c:v>0.189654666666667</c:v>
                </c:pt>
                <c:pt idx="1">
                  <c:v>0.26113199999999998</c:v>
                </c:pt>
                <c:pt idx="2">
                  <c:v>7.9125333333333395E-2</c:v>
                </c:pt>
                <c:pt idx="3">
                  <c:v>0.25947266666666702</c:v>
                </c:pt>
                <c:pt idx="4">
                  <c:v>0.17019166666666699</c:v>
                </c:pt>
                <c:pt idx="5">
                  <c:v>0.154289333333333</c:v>
                </c:pt>
                <c:pt idx="6">
                  <c:v>0.204339666666667</c:v>
                </c:pt>
                <c:pt idx="7">
                  <c:v>0.181849333333333</c:v>
                </c:pt>
                <c:pt idx="8">
                  <c:v>0.14250133333333301</c:v>
                </c:pt>
                <c:pt idx="9">
                  <c:v>0.11471466666666701</c:v>
                </c:pt>
                <c:pt idx="10">
                  <c:v>0.28486400000000001</c:v>
                </c:pt>
                <c:pt idx="11">
                  <c:v>0.109212</c:v>
                </c:pt>
                <c:pt idx="12">
                  <c:v>0.21563033333333301</c:v>
                </c:pt>
                <c:pt idx="13">
                  <c:v>0.17541599999999999</c:v>
                </c:pt>
                <c:pt idx="14">
                  <c:v>0.117747333333333</c:v>
                </c:pt>
                <c:pt idx="15">
                  <c:v>0.25230999999999998</c:v>
                </c:pt>
                <c:pt idx="16">
                  <c:v>3.50855466666667</c:v>
                </c:pt>
                <c:pt idx="17">
                  <c:v>1.20147266666667</c:v>
                </c:pt>
                <c:pt idx="18">
                  <c:v>0.95247266666666597</c:v>
                </c:pt>
                <c:pt idx="19">
                  <c:v>0.31595473333333302</c:v>
                </c:pt>
                <c:pt idx="20">
                  <c:v>1.4873666666666701</c:v>
                </c:pt>
                <c:pt idx="21">
                  <c:v>1.420884</c:v>
                </c:pt>
                <c:pt idx="22">
                  <c:v>1.08392933333333</c:v>
                </c:pt>
                <c:pt idx="23">
                  <c:v>0.413843666666667</c:v>
                </c:pt>
                <c:pt idx="24">
                  <c:v>0.26122099999999998</c:v>
                </c:pt>
                <c:pt idx="25">
                  <c:v>9.9270566666666699E-2</c:v>
                </c:pt>
                <c:pt idx="26">
                  <c:v>0.46846386666666701</c:v>
                </c:pt>
                <c:pt idx="27">
                  <c:v>0.1098392</c:v>
                </c:pt>
                <c:pt idx="28">
                  <c:v>0.264907</c:v>
                </c:pt>
                <c:pt idx="29">
                  <c:v>0.195691333333333</c:v>
                </c:pt>
                <c:pt idx="30">
                  <c:v>0.40006066666666701</c:v>
                </c:pt>
                <c:pt idx="31">
                  <c:v>0.28378666666666702</c:v>
                </c:pt>
                <c:pt idx="32">
                  <c:v>0.16247466666666699</c:v>
                </c:pt>
                <c:pt idx="33">
                  <c:v>0.29809400000000003</c:v>
                </c:pt>
                <c:pt idx="34">
                  <c:v>0.22658766666666699</c:v>
                </c:pt>
                <c:pt idx="35">
                  <c:v>0.35718533333333302</c:v>
                </c:pt>
                <c:pt idx="36">
                  <c:v>0.26947599999999999</c:v>
                </c:pt>
                <c:pt idx="37">
                  <c:v>0.41705033333333302</c:v>
                </c:pt>
                <c:pt idx="38">
                  <c:v>0.35572666666666702</c:v>
                </c:pt>
                <c:pt idx="39">
                  <c:v>0.68525199999999997</c:v>
                </c:pt>
                <c:pt idx="40">
                  <c:v>0.78385066666666603</c:v>
                </c:pt>
                <c:pt idx="41">
                  <c:v>0.63678100000000004</c:v>
                </c:pt>
                <c:pt idx="42">
                  <c:v>0.96902600000000005</c:v>
                </c:pt>
                <c:pt idx="43">
                  <c:v>0.69504266666666703</c:v>
                </c:pt>
                <c:pt idx="44">
                  <c:v>1.1143926666666699</c:v>
                </c:pt>
                <c:pt idx="45">
                  <c:v>0.98021633333333402</c:v>
                </c:pt>
                <c:pt idx="46">
                  <c:v>0.18009566666666699</c:v>
                </c:pt>
                <c:pt idx="47">
                  <c:v>0.93791933333333299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E-4970-B620-7A2E89924229}"/>
            </c:ext>
          </c:extLst>
        </c:ser>
        <c:ser>
          <c:idx val="1"/>
          <c:order val="1"/>
          <c:tx>
            <c:v>BES_TR3_one235_A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Demand_kW!$D$2:$D$49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0.107152</c:v>
                </c:pt>
                <c:pt idx="2">
                  <c:v>0.19076399999999999</c:v>
                </c:pt>
                <c:pt idx="3">
                  <c:v>7.2517999999999999E-2</c:v>
                </c:pt>
                <c:pt idx="4">
                  <c:v>0.19888</c:v>
                </c:pt>
                <c:pt idx="5">
                  <c:v>4.5999999999999999E-2</c:v>
                </c:pt>
                <c:pt idx="6">
                  <c:v>0.243076666666667</c:v>
                </c:pt>
                <c:pt idx="7">
                  <c:v>8.1357333333333295E-2</c:v>
                </c:pt>
                <c:pt idx="8">
                  <c:v>8.5777000000000006E-2</c:v>
                </c:pt>
                <c:pt idx="9">
                  <c:v>0.23865700000000001</c:v>
                </c:pt>
                <c:pt idx="10">
                  <c:v>6.8098333333333302E-2</c:v>
                </c:pt>
                <c:pt idx="11">
                  <c:v>0.25633566666666702</c:v>
                </c:pt>
                <c:pt idx="12">
                  <c:v>4.5999999999999999E-2</c:v>
                </c:pt>
                <c:pt idx="13">
                  <c:v>0.11229500000000001</c:v>
                </c:pt>
                <c:pt idx="14">
                  <c:v>0.21213899999999999</c:v>
                </c:pt>
                <c:pt idx="15">
                  <c:v>4.5999999999999999E-2</c:v>
                </c:pt>
                <c:pt idx="16">
                  <c:v>0.195966</c:v>
                </c:pt>
                <c:pt idx="17">
                  <c:v>0.15339659999999999</c:v>
                </c:pt>
                <c:pt idx="18">
                  <c:v>8.9785599999999993E-2</c:v>
                </c:pt>
                <c:pt idx="19">
                  <c:v>0.99103166666666598</c:v>
                </c:pt>
                <c:pt idx="20">
                  <c:v>0.561774</c:v>
                </c:pt>
                <c:pt idx="21">
                  <c:v>0.39959466666666699</c:v>
                </c:pt>
                <c:pt idx="22">
                  <c:v>0.13506689999999999</c:v>
                </c:pt>
                <c:pt idx="23">
                  <c:v>0.25803243333333298</c:v>
                </c:pt>
                <c:pt idx="24">
                  <c:v>0.17918933333333301</c:v>
                </c:pt>
                <c:pt idx="25">
                  <c:v>0.102957333333333</c:v>
                </c:pt>
                <c:pt idx="26">
                  <c:v>0.57256433333333401</c:v>
                </c:pt>
                <c:pt idx="27">
                  <c:v>5.3643999999999997E-2</c:v>
                </c:pt>
                <c:pt idx="28">
                  <c:v>0.145372</c:v>
                </c:pt>
                <c:pt idx="29">
                  <c:v>9.9507999999999902E-2</c:v>
                </c:pt>
                <c:pt idx="30">
                  <c:v>4.5999999999999999E-2</c:v>
                </c:pt>
                <c:pt idx="31">
                  <c:v>0.125554</c:v>
                </c:pt>
                <c:pt idx="32">
                  <c:v>8.1256666666666699E-2</c:v>
                </c:pt>
                <c:pt idx="33">
                  <c:v>1.13410266666667</c:v>
                </c:pt>
                <c:pt idx="34">
                  <c:v>3.1861666666666699</c:v>
                </c:pt>
                <c:pt idx="35">
                  <c:v>2.1117676666666698</c:v>
                </c:pt>
                <c:pt idx="36">
                  <c:v>0.17594799999999999</c:v>
                </c:pt>
                <c:pt idx="37">
                  <c:v>0.13648733333333299</c:v>
                </c:pt>
                <c:pt idx="38">
                  <c:v>0.123738</c:v>
                </c:pt>
                <c:pt idx="39">
                  <c:v>0.21020966666666699</c:v>
                </c:pt>
                <c:pt idx="40">
                  <c:v>0.24415999999999999</c:v>
                </c:pt>
                <c:pt idx="41">
                  <c:v>0.40088400000000002</c:v>
                </c:pt>
                <c:pt idx="42">
                  <c:v>0.529179333333334</c:v>
                </c:pt>
                <c:pt idx="43">
                  <c:v>0.336476</c:v>
                </c:pt>
                <c:pt idx="44">
                  <c:v>0.32027600000000001</c:v>
                </c:pt>
                <c:pt idx="45">
                  <c:v>0.666306333333334</c:v>
                </c:pt>
                <c:pt idx="46">
                  <c:v>4.5999999999999999E-2</c:v>
                </c:pt>
                <c:pt idx="47">
                  <c:v>0.17594799999999999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E-4970-B620-7A2E89924229}"/>
            </c:ext>
          </c:extLst>
        </c:ser>
        <c:ser>
          <c:idx val="2"/>
          <c:order val="2"/>
          <c:tx>
            <c:v>BES_TR3_one242_B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Demand_kW!$E$2:$E$49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0.309798666666667</c:v>
                </c:pt>
                <c:pt idx="2">
                  <c:v>5.7270666666666699E-2</c:v>
                </c:pt>
                <c:pt idx="3">
                  <c:v>0.117800666666667</c:v>
                </c:pt>
                <c:pt idx="4">
                  <c:v>0.16138266666666701</c:v>
                </c:pt>
                <c:pt idx="5">
                  <c:v>6.2906000000000004E-2</c:v>
                </c:pt>
                <c:pt idx="6">
                  <c:v>0.23599400000000001</c:v>
                </c:pt>
                <c:pt idx="7">
                  <c:v>0.13107533333333299</c:v>
                </c:pt>
                <c:pt idx="8">
                  <c:v>0.47996933333333303</c:v>
                </c:pt>
                <c:pt idx="9">
                  <c:v>0.28781000000000001</c:v>
                </c:pt>
                <c:pt idx="10">
                  <c:v>0.21311333333333299</c:v>
                </c:pt>
                <c:pt idx="11">
                  <c:v>0.27591266666666697</c:v>
                </c:pt>
                <c:pt idx="12">
                  <c:v>0.14515666666666699</c:v>
                </c:pt>
                <c:pt idx="13">
                  <c:v>4.5999999999999999E-2</c:v>
                </c:pt>
                <c:pt idx="14">
                  <c:v>0.208362666666667</c:v>
                </c:pt>
                <c:pt idx="15">
                  <c:v>4.5999999999999999E-2</c:v>
                </c:pt>
                <c:pt idx="16">
                  <c:v>0.18075933333333299</c:v>
                </c:pt>
                <c:pt idx="17">
                  <c:v>0.18631</c:v>
                </c:pt>
                <c:pt idx="18">
                  <c:v>0.85711999999999999</c:v>
                </c:pt>
                <c:pt idx="19">
                  <c:v>0.76375933333333401</c:v>
                </c:pt>
                <c:pt idx="20">
                  <c:v>0.25769500000000001</c:v>
                </c:pt>
                <c:pt idx="21">
                  <c:v>0.23161499999999999</c:v>
                </c:pt>
                <c:pt idx="22">
                  <c:v>0.18543433333333301</c:v>
                </c:pt>
                <c:pt idx="23">
                  <c:v>8.6905999999999997E-2</c:v>
                </c:pt>
                <c:pt idx="24">
                  <c:v>0.15485533333333301</c:v>
                </c:pt>
                <c:pt idx="25">
                  <c:v>0.191414</c:v>
                </c:pt>
                <c:pt idx="26">
                  <c:v>0.20968000000000001</c:v>
                </c:pt>
                <c:pt idx="27">
                  <c:v>0.181332666666667</c:v>
                </c:pt>
                <c:pt idx="28">
                  <c:v>0.14628933333333299</c:v>
                </c:pt>
                <c:pt idx="29">
                  <c:v>0.113624</c:v>
                </c:pt>
                <c:pt idx="30">
                  <c:v>4.5999999999999999E-2</c:v>
                </c:pt>
                <c:pt idx="31">
                  <c:v>0.29346133333333302</c:v>
                </c:pt>
                <c:pt idx="32">
                  <c:v>0.155148333333333</c:v>
                </c:pt>
                <c:pt idx="33">
                  <c:v>7.4176666666666696E-2</c:v>
                </c:pt>
                <c:pt idx="34">
                  <c:v>0.23115866666666701</c:v>
                </c:pt>
                <c:pt idx="35">
                  <c:v>0.107734</c:v>
                </c:pt>
                <c:pt idx="36">
                  <c:v>0.158706666666667</c:v>
                </c:pt>
                <c:pt idx="37">
                  <c:v>0.14538266666666699</c:v>
                </c:pt>
                <c:pt idx="38">
                  <c:v>0.31997599999999998</c:v>
                </c:pt>
                <c:pt idx="39">
                  <c:v>0.360298333333333</c:v>
                </c:pt>
                <c:pt idx="40">
                  <c:v>0.44198666666666703</c:v>
                </c:pt>
                <c:pt idx="41">
                  <c:v>0.51710166666666701</c:v>
                </c:pt>
                <c:pt idx="42">
                  <c:v>0.57573733333333299</c:v>
                </c:pt>
                <c:pt idx="43">
                  <c:v>0.35511466666666602</c:v>
                </c:pt>
                <c:pt idx="44">
                  <c:v>0.27598666666666699</c:v>
                </c:pt>
                <c:pt idx="45">
                  <c:v>7.4176666666666696E-2</c:v>
                </c:pt>
                <c:pt idx="46">
                  <c:v>0.16316666666666699</c:v>
                </c:pt>
                <c:pt idx="47">
                  <c:v>0.17572599999999999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BE-4970-B620-7A2E89924229}"/>
            </c:ext>
          </c:extLst>
        </c:ser>
        <c:ser>
          <c:idx val="3"/>
          <c:order val="3"/>
          <c:tx>
            <c:v>BES_TR3_one252_C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Demand_kW!$F$2:$F$49</c:f>
              <c:numCache>
                <c:formatCode>#,##0.000</c:formatCode>
                <c:ptCount val="48"/>
                <c:pt idx="0">
                  <c:v>0.38045800000000002</c:v>
                </c:pt>
                <c:pt idx="1">
                  <c:v>0.124726</c:v>
                </c:pt>
                <c:pt idx="2">
                  <c:v>4.8000000000000001E-2</c:v>
                </c:pt>
                <c:pt idx="3">
                  <c:v>0.16603999999999999</c:v>
                </c:pt>
                <c:pt idx="4">
                  <c:v>4.8000000000000001E-2</c:v>
                </c:pt>
                <c:pt idx="5">
                  <c:v>0.16603999999999999</c:v>
                </c:pt>
                <c:pt idx="6">
                  <c:v>4.8000000000000001E-2</c:v>
                </c:pt>
                <c:pt idx="7">
                  <c:v>7.1608000000000005E-2</c:v>
                </c:pt>
                <c:pt idx="8">
                  <c:v>0.142432</c:v>
                </c:pt>
                <c:pt idx="9">
                  <c:v>4.8000000000000001E-2</c:v>
                </c:pt>
                <c:pt idx="10">
                  <c:v>0.16603999999999999</c:v>
                </c:pt>
                <c:pt idx="11">
                  <c:v>4.8000000000000001E-2</c:v>
                </c:pt>
                <c:pt idx="12">
                  <c:v>0.16603999999999999</c:v>
                </c:pt>
                <c:pt idx="13">
                  <c:v>4.8000000000000001E-2</c:v>
                </c:pt>
                <c:pt idx="14">
                  <c:v>1.5799066666666699</c:v>
                </c:pt>
                <c:pt idx="15">
                  <c:v>7.1608000000000005E-2</c:v>
                </c:pt>
                <c:pt idx="16">
                  <c:v>0.13653000000000001</c:v>
                </c:pt>
                <c:pt idx="17">
                  <c:v>0.607570733333334</c:v>
                </c:pt>
                <c:pt idx="18">
                  <c:v>0.644044333333333</c:v>
                </c:pt>
                <c:pt idx="19">
                  <c:v>1.87389466666667</c:v>
                </c:pt>
                <c:pt idx="20">
                  <c:v>5.5976999999999999E-2</c:v>
                </c:pt>
                <c:pt idx="21">
                  <c:v>7.6522999999999994E-2</c:v>
                </c:pt>
                <c:pt idx="22">
                  <c:v>0.23552799999999999</c:v>
                </c:pt>
                <c:pt idx="23">
                  <c:v>0.19378999999999999</c:v>
                </c:pt>
                <c:pt idx="24">
                  <c:v>0.19378999999999999</c:v>
                </c:pt>
                <c:pt idx="25">
                  <c:v>0.14225966666666701</c:v>
                </c:pt>
                <c:pt idx="26">
                  <c:v>1.33637566666667</c:v>
                </c:pt>
                <c:pt idx="27">
                  <c:v>0.84875999999999896</c:v>
                </c:pt>
                <c:pt idx="28">
                  <c:v>0.22365406666666701</c:v>
                </c:pt>
                <c:pt idx="29">
                  <c:v>0.135534133333333</c:v>
                </c:pt>
                <c:pt idx="30">
                  <c:v>0.16338293333333301</c:v>
                </c:pt>
                <c:pt idx="31">
                  <c:v>0.395662666666667</c:v>
                </c:pt>
                <c:pt idx="32">
                  <c:v>8.2077333333333405E-2</c:v>
                </c:pt>
                <c:pt idx="33">
                  <c:v>0.101118</c:v>
                </c:pt>
                <c:pt idx="34">
                  <c:v>0.11292199999999999</c:v>
                </c:pt>
                <c:pt idx="35">
                  <c:v>0.29354999999999998</c:v>
                </c:pt>
                <c:pt idx="36">
                  <c:v>2.66052</c:v>
                </c:pt>
                <c:pt idx="37">
                  <c:v>2.2719833333333299</c:v>
                </c:pt>
                <c:pt idx="38">
                  <c:v>0.15423600000000001</c:v>
                </c:pt>
                <c:pt idx="39">
                  <c:v>5.9804000000000003E-2</c:v>
                </c:pt>
                <c:pt idx="40">
                  <c:v>4.8000000000000001E-2</c:v>
                </c:pt>
                <c:pt idx="41">
                  <c:v>0.233356333333333</c:v>
                </c:pt>
                <c:pt idx="42">
                  <c:v>0.12687933333333301</c:v>
                </c:pt>
                <c:pt idx="43">
                  <c:v>0.40616466666666701</c:v>
                </c:pt>
                <c:pt idx="44">
                  <c:v>0.38712299999999999</c:v>
                </c:pt>
                <c:pt idx="45">
                  <c:v>0.48966533333333301</c:v>
                </c:pt>
                <c:pt idx="46">
                  <c:v>0.24976999999999999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BE-4970-B620-7A2E89924229}"/>
            </c:ext>
          </c:extLst>
        </c:ser>
        <c:ser>
          <c:idx val="4"/>
          <c:order val="4"/>
          <c:tx>
            <c:v>BES_TR3_one260_C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Demand_kW!$G$2:$G$49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0.20954793333333299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7.1841333333333396E-2</c:v>
                </c:pt>
                <c:pt idx="5">
                  <c:v>0.14336533333333301</c:v>
                </c:pt>
                <c:pt idx="6">
                  <c:v>4.8000000000000001E-2</c:v>
                </c:pt>
                <c:pt idx="7">
                  <c:v>4.8000000000000001E-2</c:v>
                </c:pt>
                <c:pt idx="8">
                  <c:v>4.8000000000000001E-2</c:v>
                </c:pt>
                <c:pt idx="9">
                  <c:v>0.167206666666667</c:v>
                </c:pt>
                <c:pt idx="10">
                  <c:v>4.8000000000000001E-2</c:v>
                </c:pt>
                <c:pt idx="11">
                  <c:v>0.11356366666666701</c:v>
                </c:pt>
                <c:pt idx="12">
                  <c:v>0.101643</c:v>
                </c:pt>
                <c:pt idx="13">
                  <c:v>4.8000000000000001E-2</c:v>
                </c:pt>
                <c:pt idx="14">
                  <c:v>9.5682666666666694E-2</c:v>
                </c:pt>
                <c:pt idx="15">
                  <c:v>0.11952400000000001</c:v>
                </c:pt>
                <c:pt idx="16">
                  <c:v>4.8000000000000001E-2</c:v>
                </c:pt>
                <c:pt idx="17">
                  <c:v>0.167206666666667</c:v>
                </c:pt>
                <c:pt idx="18">
                  <c:v>9.5992066666666695E-2</c:v>
                </c:pt>
                <c:pt idx="19">
                  <c:v>0.167206666666667</c:v>
                </c:pt>
                <c:pt idx="20">
                  <c:v>9.2874333333333406E-2</c:v>
                </c:pt>
                <c:pt idx="21">
                  <c:v>5.8110000000000002E-2</c:v>
                </c:pt>
                <c:pt idx="22">
                  <c:v>0.171019333333333</c:v>
                </c:pt>
                <c:pt idx="23">
                  <c:v>0.92634366666666601</c:v>
                </c:pt>
                <c:pt idx="24">
                  <c:v>4.8000000000000001E-2</c:v>
                </c:pt>
                <c:pt idx="25">
                  <c:v>0.35159800000000002</c:v>
                </c:pt>
                <c:pt idx="26">
                  <c:v>0.14799999999999999</c:v>
                </c:pt>
                <c:pt idx="27">
                  <c:v>0.26720666666666698</c:v>
                </c:pt>
                <c:pt idx="28">
                  <c:v>6.1214666666666702E-2</c:v>
                </c:pt>
                <c:pt idx="29">
                  <c:v>0.102308333333333</c:v>
                </c:pt>
                <c:pt idx="30">
                  <c:v>0.32935666666666702</c:v>
                </c:pt>
                <c:pt idx="31">
                  <c:v>0.234782666666667</c:v>
                </c:pt>
                <c:pt idx="32">
                  <c:v>0.37271266666666703</c:v>
                </c:pt>
                <c:pt idx="33">
                  <c:v>0.23827633333333301</c:v>
                </c:pt>
                <c:pt idx="34">
                  <c:v>9.3121266666666702E-2</c:v>
                </c:pt>
                <c:pt idx="35">
                  <c:v>0.31958266666666701</c:v>
                </c:pt>
                <c:pt idx="36">
                  <c:v>0.37164766666666699</c:v>
                </c:pt>
                <c:pt idx="37">
                  <c:v>0.45019599999999999</c:v>
                </c:pt>
                <c:pt idx="38">
                  <c:v>0.56568766666666703</c:v>
                </c:pt>
                <c:pt idx="39">
                  <c:v>0.29757766666666702</c:v>
                </c:pt>
                <c:pt idx="40">
                  <c:v>0.19869999999999999</c:v>
                </c:pt>
                <c:pt idx="41">
                  <c:v>0.94202600000000003</c:v>
                </c:pt>
                <c:pt idx="42">
                  <c:v>1.132099</c:v>
                </c:pt>
                <c:pt idx="43">
                  <c:v>0.48005700000000001</c:v>
                </c:pt>
                <c:pt idx="44">
                  <c:v>0.465220666666667</c:v>
                </c:pt>
                <c:pt idx="45">
                  <c:v>0.34950833333333298</c:v>
                </c:pt>
                <c:pt idx="46">
                  <c:v>4.8000000000000001E-2</c:v>
                </c:pt>
                <c:pt idx="47">
                  <c:v>0.167206666666667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BE-4970-B620-7A2E89924229}"/>
            </c:ext>
          </c:extLst>
        </c:ser>
        <c:ser>
          <c:idx val="5"/>
          <c:order val="5"/>
          <c:tx>
            <c:v>BES_TR3_one299_B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Demand_kW!$H$2:$H$49</c:f>
              <c:numCache>
                <c:formatCode>#,##0.000</c:formatCode>
                <c:ptCount val="48"/>
                <c:pt idx="0">
                  <c:v>0.103571</c:v>
                </c:pt>
                <c:pt idx="1">
                  <c:v>0.170627</c:v>
                </c:pt>
                <c:pt idx="2">
                  <c:v>9.758E-2</c:v>
                </c:pt>
                <c:pt idx="3">
                  <c:v>5.8618999999999997E-2</c:v>
                </c:pt>
                <c:pt idx="4">
                  <c:v>0.26015899999999997</c:v>
                </c:pt>
                <c:pt idx="5">
                  <c:v>5.2999999999999999E-2</c:v>
                </c:pt>
                <c:pt idx="6">
                  <c:v>0.132253333333333</c:v>
                </c:pt>
                <c:pt idx="7">
                  <c:v>0.18652466666666701</c:v>
                </c:pt>
                <c:pt idx="8">
                  <c:v>5.2999999999999999E-2</c:v>
                </c:pt>
                <c:pt idx="9">
                  <c:v>0.17395533333333299</c:v>
                </c:pt>
                <c:pt idx="10">
                  <c:v>0.14482266666666699</c:v>
                </c:pt>
                <c:pt idx="11">
                  <c:v>5.2999999999999999E-2</c:v>
                </c:pt>
                <c:pt idx="12">
                  <c:v>0.12234666666666701</c:v>
                </c:pt>
                <c:pt idx="13">
                  <c:v>0.58700866666666696</c:v>
                </c:pt>
                <c:pt idx="14">
                  <c:v>1.4668113333333299</c:v>
                </c:pt>
                <c:pt idx="15">
                  <c:v>0.2019</c:v>
                </c:pt>
                <c:pt idx="16">
                  <c:v>1.55134866666667</c:v>
                </c:pt>
                <c:pt idx="17">
                  <c:v>0.68965833333333404</c:v>
                </c:pt>
                <c:pt idx="18">
                  <c:v>0.30127700000000002</c:v>
                </c:pt>
                <c:pt idx="19">
                  <c:v>0.36673600000000001</c:v>
                </c:pt>
                <c:pt idx="20">
                  <c:v>0.20054966666666699</c:v>
                </c:pt>
                <c:pt idx="21">
                  <c:v>0.11816776666666701</c:v>
                </c:pt>
                <c:pt idx="22">
                  <c:v>0.36661566666666701</c:v>
                </c:pt>
                <c:pt idx="23">
                  <c:v>0.35762233333333299</c:v>
                </c:pt>
                <c:pt idx="24">
                  <c:v>0.14216000000000001</c:v>
                </c:pt>
                <c:pt idx="25">
                  <c:v>0.176618</c:v>
                </c:pt>
                <c:pt idx="26">
                  <c:v>5.2999999999999999E-2</c:v>
                </c:pt>
                <c:pt idx="27">
                  <c:v>0.14216000000000001</c:v>
                </c:pt>
                <c:pt idx="28">
                  <c:v>0.176618</c:v>
                </c:pt>
                <c:pt idx="29">
                  <c:v>0.14216000000000001</c:v>
                </c:pt>
                <c:pt idx="30">
                  <c:v>5.2999999999999999E-2</c:v>
                </c:pt>
                <c:pt idx="31">
                  <c:v>0.26577800000000001</c:v>
                </c:pt>
                <c:pt idx="32">
                  <c:v>5.2999999999999999E-2</c:v>
                </c:pt>
                <c:pt idx="33">
                  <c:v>0.13728499999999999</c:v>
                </c:pt>
                <c:pt idx="34">
                  <c:v>0.17158633333333301</c:v>
                </c:pt>
                <c:pt idx="35">
                  <c:v>0.24854799999999999</c:v>
                </c:pt>
                <c:pt idx="36">
                  <c:v>0.41582533333333299</c:v>
                </c:pt>
                <c:pt idx="37">
                  <c:v>0.37524666666666601</c:v>
                </c:pt>
                <c:pt idx="38">
                  <c:v>0.355870666666667</c:v>
                </c:pt>
                <c:pt idx="39">
                  <c:v>0.44717166666666702</c:v>
                </c:pt>
                <c:pt idx="40">
                  <c:v>0.42327599999999999</c:v>
                </c:pt>
                <c:pt idx="41">
                  <c:v>0.59424033333333404</c:v>
                </c:pt>
                <c:pt idx="42">
                  <c:v>0.44203666666666702</c:v>
                </c:pt>
                <c:pt idx="43">
                  <c:v>1.4197883333333301</c:v>
                </c:pt>
                <c:pt idx="44">
                  <c:v>1.67927166666667</c:v>
                </c:pt>
                <c:pt idx="45">
                  <c:v>0.41027233333333302</c:v>
                </c:pt>
                <c:pt idx="46">
                  <c:v>0.24110400000000001</c:v>
                </c:pt>
                <c:pt idx="47">
                  <c:v>0.17099900000000001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BE-4970-B620-7A2E89924229}"/>
            </c:ext>
          </c:extLst>
        </c:ser>
        <c:ser>
          <c:idx val="6"/>
          <c:order val="6"/>
          <c:tx>
            <c:v>BES_TR3_one313_A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Demand_kW!$I$2:$I$49</c:f>
              <c:numCache>
                <c:formatCode>#,##0.000</c:formatCode>
                <c:ptCount val="48"/>
                <c:pt idx="0">
                  <c:v>0.33975266666666698</c:v>
                </c:pt>
                <c:pt idx="1">
                  <c:v>5.2999999999999999E-2</c:v>
                </c:pt>
                <c:pt idx="2">
                  <c:v>0.16172466666666699</c:v>
                </c:pt>
                <c:pt idx="3">
                  <c:v>0.242873333333333</c:v>
                </c:pt>
                <c:pt idx="4">
                  <c:v>8.6633000000000002E-2</c:v>
                </c:pt>
                <c:pt idx="5">
                  <c:v>8.6633000000000002E-2</c:v>
                </c:pt>
                <c:pt idx="6">
                  <c:v>0.195140333333333</c:v>
                </c:pt>
                <c:pt idx="7">
                  <c:v>0.156153666666667</c:v>
                </c:pt>
                <c:pt idx="8">
                  <c:v>0.17702733333333301</c:v>
                </c:pt>
                <c:pt idx="9">
                  <c:v>9.0784000000000004E-2</c:v>
                </c:pt>
                <c:pt idx="10">
                  <c:v>0.207554666666667</c:v>
                </c:pt>
                <c:pt idx="11">
                  <c:v>0.16431100000000001</c:v>
                </c:pt>
                <c:pt idx="12">
                  <c:v>0.16456100000000001</c:v>
                </c:pt>
                <c:pt idx="13">
                  <c:v>0.215268866666667</c:v>
                </c:pt>
                <c:pt idx="14">
                  <c:v>0.55267253333333299</c:v>
                </c:pt>
                <c:pt idx="15">
                  <c:v>0.63064779999999998</c:v>
                </c:pt>
                <c:pt idx="16">
                  <c:v>0.41161799999999998</c:v>
                </c:pt>
                <c:pt idx="17">
                  <c:v>0.23196366666666701</c:v>
                </c:pt>
                <c:pt idx="18">
                  <c:v>0.171801333333333</c:v>
                </c:pt>
                <c:pt idx="19">
                  <c:v>0.101581</c:v>
                </c:pt>
                <c:pt idx="20">
                  <c:v>0.20198366666666701</c:v>
                </c:pt>
                <c:pt idx="21">
                  <c:v>0.20741066666666699</c:v>
                </c:pt>
                <c:pt idx="22">
                  <c:v>0.11731800000000001</c:v>
                </c:pt>
                <c:pt idx="23">
                  <c:v>0.24290066666666699</c:v>
                </c:pt>
                <c:pt idx="24">
                  <c:v>0.1727445</c:v>
                </c:pt>
                <c:pt idx="25">
                  <c:v>0.196247</c:v>
                </c:pt>
                <c:pt idx="26">
                  <c:v>0.33575700000000003</c:v>
                </c:pt>
                <c:pt idx="27">
                  <c:v>0.147237333333333</c:v>
                </c:pt>
                <c:pt idx="28">
                  <c:v>0.45798800000000001</c:v>
                </c:pt>
                <c:pt idx="29">
                  <c:v>1.28566</c:v>
                </c:pt>
                <c:pt idx="30">
                  <c:v>0.27488233333333301</c:v>
                </c:pt>
                <c:pt idx="31">
                  <c:v>0.43391133333333298</c:v>
                </c:pt>
                <c:pt idx="32">
                  <c:v>1.0596823333333301</c:v>
                </c:pt>
                <c:pt idx="33">
                  <c:v>0.85246</c:v>
                </c:pt>
                <c:pt idx="34">
                  <c:v>0.459681333333333</c:v>
                </c:pt>
                <c:pt idx="35">
                  <c:v>0.50323799999999996</c:v>
                </c:pt>
                <c:pt idx="36">
                  <c:v>0.30174746666666702</c:v>
                </c:pt>
                <c:pt idx="37">
                  <c:v>0.1285936</c:v>
                </c:pt>
                <c:pt idx="38">
                  <c:v>0.231299</c:v>
                </c:pt>
                <c:pt idx="39">
                  <c:v>0.502840333333333</c:v>
                </c:pt>
                <c:pt idx="40">
                  <c:v>0.58576533333333303</c:v>
                </c:pt>
                <c:pt idx="41">
                  <c:v>0.76089966666666697</c:v>
                </c:pt>
                <c:pt idx="42">
                  <c:v>0.63874299999999995</c:v>
                </c:pt>
                <c:pt idx="43">
                  <c:v>0.77564466666666598</c:v>
                </c:pt>
                <c:pt idx="44">
                  <c:v>0.63672233333333295</c:v>
                </c:pt>
                <c:pt idx="45">
                  <c:v>0.67741600000000002</c:v>
                </c:pt>
                <c:pt idx="46">
                  <c:v>0.66683866666666702</c:v>
                </c:pt>
                <c:pt idx="47">
                  <c:v>0.13382666666666701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BE-4970-B620-7A2E89924229}"/>
            </c:ext>
          </c:extLst>
        </c:ser>
        <c:ser>
          <c:idx val="7"/>
          <c:order val="7"/>
          <c:tx>
            <c:v>BES_TR3_one42_B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Demand_kW!$J$2:$J$49</c:f>
              <c:numCache>
                <c:formatCode>#,##0.000</c:formatCode>
                <c:ptCount val="48"/>
                <c:pt idx="0">
                  <c:v>3.3000000000000002E-2</c:v>
                </c:pt>
                <c:pt idx="1">
                  <c:v>3.3000000000000002E-2</c:v>
                </c:pt>
                <c:pt idx="2">
                  <c:v>3.3000000000000002E-2</c:v>
                </c:pt>
                <c:pt idx="3">
                  <c:v>6.8936999999999998E-2</c:v>
                </c:pt>
                <c:pt idx="4">
                  <c:v>6.8936999999999998E-2</c:v>
                </c:pt>
                <c:pt idx="5">
                  <c:v>3.3000000000000002E-2</c:v>
                </c:pt>
                <c:pt idx="6">
                  <c:v>3.3000000000000002E-2</c:v>
                </c:pt>
                <c:pt idx="7">
                  <c:v>3.3000000000000002E-2</c:v>
                </c:pt>
                <c:pt idx="8">
                  <c:v>9.6888000000000002E-2</c:v>
                </c:pt>
                <c:pt idx="9">
                  <c:v>4.0986000000000002E-2</c:v>
                </c:pt>
                <c:pt idx="10">
                  <c:v>6.0950999999999998E-2</c:v>
                </c:pt>
                <c:pt idx="11">
                  <c:v>7.6923000000000005E-2</c:v>
                </c:pt>
                <c:pt idx="12">
                  <c:v>8.0916000000000002E-2</c:v>
                </c:pt>
                <c:pt idx="13">
                  <c:v>5.6957999999999898E-2</c:v>
                </c:pt>
                <c:pt idx="14">
                  <c:v>3.3000000000000002E-2</c:v>
                </c:pt>
                <c:pt idx="15">
                  <c:v>5.6958000000000002E-2</c:v>
                </c:pt>
                <c:pt idx="16">
                  <c:v>0.27210236666666698</c:v>
                </c:pt>
                <c:pt idx="17">
                  <c:v>0.13809660000000001</c:v>
                </c:pt>
                <c:pt idx="18">
                  <c:v>0.20998259999999999</c:v>
                </c:pt>
                <c:pt idx="19">
                  <c:v>7.2811600000000004E-2</c:v>
                </c:pt>
                <c:pt idx="20">
                  <c:v>0.13242863333333299</c:v>
                </c:pt>
                <c:pt idx="21">
                  <c:v>8.8999999999999996E-2</c:v>
                </c:pt>
                <c:pt idx="22">
                  <c:v>3.1100430000000001</c:v>
                </c:pt>
                <c:pt idx="23">
                  <c:v>2.23206666666667</c:v>
                </c:pt>
                <c:pt idx="24">
                  <c:v>0.63647786666666695</c:v>
                </c:pt>
                <c:pt idx="25">
                  <c:v>0.102482066666667</c:v>
                </c:pt>
                <c:pt idx="26">
                  <c:v>0.11659600000000001</c:v>
                </c:pt>
                <c:pt idx="27">
                  <c:v>5.6658666666666697E-2</c:v>
                </c:pt>
                <c:pt idx="28">
                  <c:v>0.118598</c:v>
                </c:pt>
                <c:pt idx="29">
                  <c:v>5.8046E-2</c:v>
                </c:pt>
                <c:pt idx="30">
                  <c:v>5.2999999999999999E-2</c:v>
                </c:pt>
                <c:pt idx="31">
                  <c:v>0.134966</c:v>
                </c:pt>
                <c:pt idx="32">
                  <c:v>0.24143000000000001</c:v>
                </c:pt>
                <c:pt idx="33">
                  <c:v>6.8972000000000006E-2</c:v>
                </c:pt>
                <c:pt idx="34">
                  <c:v>8.8901999999999995E-2</c:v>
                </c:pt>
                <c:pt idx="35">
                  <c:v>3.3000000000000002E-2</c:v>
                </c:pt>
                <c:pt idx="36">
                  <c:v>3.3000000000000002E-2</c:v>
                </c:pt>
                <c:pt idx="37">
                  <c:v>0.10973266666666701</c:v>
                </c:pt>
                <c:pt idx="38">
                  <c:v>8.14626666666666E-2</c:v>
                </c:pt>
                <c:pt idx="39">
                  <c:v>4.2000000000000003E-2</c:v>
                </c:pt>
                <c:pt idx="40">
                  <c:v>6.2128999999999997E-2</c:v>
                </c:pt>
                <c:pt idx="41">
                  <c:v>0.100881</c:v>
                </c:pt>
                <c:pt idx="42">
                  <c:v>3.3000000000000002E-2</c:v>
                </c:pt>
                <c:pt idx="43">
                  <c:v>4.0986000000000002E-2</c:v>
                </c:pt>
                <c:pt idx="44">
                  <c:v>9.6888000000000002E-2</c:v>
                </c:pt>
                <c:pt idx="45">
                  <c:v>3.3000000000000002E-2</c:v>
                </c:pt>
                <c:pt idx="46">
                  <c:v>0.104874</c:v>
                </c:pt>
                <c:pt idx="47">
                  <c:v>3.3000000000000002E-2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1BE-4970-B620-7A2E89924229}"/>
            </c:ext>
          </c:extLst>
        </c:ser>
        <c:ser>
          <c:idx val="8"/>
          <c:order val="8"/>
          <c:tx>
            <c:v>BES_TR3_one320_B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Demand_kW!$K$2:$K$49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0.199406</c:v>
                </c:pt>
                <c:pt idx="2">
                  <c:v>4.5999999999999999E-2</c:v>
                </c:pt>
                <c:pt idx="3">
                  <c:v>0.15756800000000001</c:v>
                </c:pt>
                <c:pt idx="4">
                  <c:v>8.7837999999999902E-2</c:v>
                </c:pt>
                <c:pt idx="5">
                  <c:v>4.5999999999999999E-2</c:v>
                </c:pt>
                <c:pt idx="6">
                  <c:v>0.199406</c:v>
                </c:pt>
                <c:pt idx="7">
                  <c:v>4.5999999999999999E-2</c:v>
                </c:pt>
                <c:pt idx="8">
                  <c:v>0.13664899999999999</c:v>
                </c:pt>
                <c:pt idx="9">
                  <c:v>0.10875700000000001</c:v>
                </c:pt>
                <c:pt idx="10">
                  <c:v>4.5999999999999999E-2</c:v>
                </c:pt>
                <c:pt idx="11">
                  <c:v>4.5999999999999999E-2</c:v>
                </c:pt>
                <c:pt idx="12">
                  <c:v>0.199406</c:v>
                </c:pt>
                <c:pt idx="13">
                  <c:v>4.5999999999999999E-2</c:v>
                </c:pt>
                <c:pt idx="14">
                  <c:v>0.13922000000000001</c:v>
                </c:pt>
                <c:pt idx="15">
                  <c:v>0.31140299999999999</c:v>
                </c:pt>
                <c:pt idx="16">
                  <c:v>0.178609666666667</c:v>
                </c:pt>
                <c:pt idx="17">
                  <c:v>1.5453843333333299</c:v>
                </c:pt>
                <c:pt idx="18">
                  <c:v>1.29375333333333</c:v>
                </c:pt>
                <c:pt idx="19">
                  <c:v>0.69643333333333302</c:v>
                </c:pt>
                <c:pt idx="20">
                  <c:v>0.16454099999999999</c:v>
                </c:pt>
                <c:pt idx="21">
                  <c:v>8.0865000000000006E-2</c:v>
                </c:pt>
                <c:pt idx="22">
                  <c:v>4.5999999999999999E-2</c:v>
                </c:pt>
                <c:pt idx="23">
                  <c:v>0.199406</c:v>
                </c:pt>
                <c:pt idx="24">
                  <c:v>0.16806399999999999</c:v>
                </c:pt>
                <c:pt idx="25">
                  <c:v>0.82408199999999998</c:v>
                </c:pt>
                <c:pt idx="26">
                  <c:v>0.49772966666666701</c:v>
                </c:pt>
                <c:pt idx="27">
                  <c:v>0.37594566666666601</c:v>
                </c:pt>
                <c:pt idx="28">
                  <c:v>5.0204333333333399E-2</c:v>
                </c:pt>
                <c:pt idx="29">
                  <c:v>0.10598753333333299</c:v>
                </c:pt>
                <c:pt idx="30">
                  <c:v>0.15706693333333299</c:v>
                </c:pt>
                <c:pt idx="31">
                  <c:v>5.4408666666666702E-2</c:v>
                </c:pt>
                <c:pt idx="32">
                  <c:v>0.21130299999999999</c:v>
                </c:pt>
                <c:pt idx="33">
                  <c:v>0.16497000000000001</c:v>
                </c:pt>
                <c:pt idx="34">
                  <c:v>0.12736233333333299</c:v>
                </c:pt>
                <c:pt idx="35">
                  <c:v>0.20546</c:v>
                </c:pt>
                <c:pt idx="36">
                  <c:v>7.5333333333333294E-2</c:v>
                </c:pt>
                <c:pt idx="37">
                  <c:v>0.19243299999999999</c:v>
                </c:pt>
                <c:pt idx="38">
                  <c:v>7.4642666666666704E-2</c:v>
                </c:pt>
                <c:pt idx="39">
                  <c:v>0.28837166666666703</c:v>
                </c:pt>
                <c:pt idx="40">
                  <c:v>0.140218866666667</c:v>
                </c:pt>
                <c:pt idx="41">
                  <c:v>0.22442366666666699</c:v>
                </c:pt>
                <c:pt idx="42">
                  <c:v>0.374155666666667</c:v>
                </c:pt>
                <c:pt idx="43">
                  <c:v>0.25828499999999999</c:v>
                </c:pt>
                <c:pt idx="44">
                  <c:v>0.37839266666666699</c:v>
                </c:pt>
                <c:pt idx="45">
                  <c:v>0.21070700000000001</c:v>
                </c:pt>
                <c:pt idx="46">
                  <c:v>1.2443596666666701</c:v>
                </c:pt>
                <c:pt idx="47">
                  <c:v>0.224103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1BE-4970-B620-7A2E89924229}"/>
            </c:ext>
          </c:extLst>
        </c:ser>
        <c:ser>
          <c:idx val="9"/>
          <c:order val="9"/>
          <c:tx>
            <c:v>BES_TR3_one346_C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Demand_kW!$L$2:$L$49</c:f>
              <c:numCache>
                <c:formatCode>#,##0.000</c:formatCode>
                <c:ptCount val="48"/>
                <c:pt idx="0">
                  <c:v>9.7584000000000101E-2</c:v>
                </c:pt>
                <c:pt idx="1">
                  <c:v>7.8173999999999993E-2</c:v>
                </c:pt>
                <c:pt idx="2">
                  <c:v>9.3702000000000105E-2</c:v>
                </c:pt>
                <c:pt idx="3">
                  <c:v>5.0999999999999997E-2</c:v>
                </c:pt>
                <c:pt idx="4">
                  <c:v>5.0999999999999997E-2</c:v>
                </c:pt>
                <c:pt idx="5">
                  <c:v>5.0999999999999997E-2</c:v>
                </c:pt>
                <c:pt idx="6">
                  <c:v>0.120876</c:v>
                </c:pt>
                <c:pt idx="7">
                  <c:v>5.0999999999999997E-2</c:v>
                </c:pt>
                <c:pt idx="8">
                  <c:v>5.0999999999999997E-2</c:v>
                </c:pt>
                <c:pt idx="9">
                  <c:v>5.0999999999999997E-2</c:v>
                </c:pt>
                <c:pt idx="10">
                  <c:v>9.3701999999999994E-2</c:v>
                </c:pt>
                <c:pt idx="11">
                  <c:v>7.8173999999999993E-2</c:v>
                </c:pt>
                <c:pt idx="12">
                  <c:v>5.0999999999999997E-2</c:v>
                </c:pt>
                <c:pt idx="13">
                  <c:v>0.120876</c:v>
                </c:pt>
                <c:pt idx="14">
                  <c:v>5.0999999999999997E-2</c:v>
                </c:pt>
                <c:pt idx="15">
                  <c:v>7.7402400000000093E-2</c:v>
                </c:pt>
                <c:pt idx="16">
                  <c:v>9.9365333333333306E-2</c:v>
                </c:pt>
                <c:pt idx="17">
                  <c:v>9.3876299999999996E-2</c:v>
                </c:pt>
                <c:pt idx="18">
                  <c:v>0.98493836666666601</c:v>
                </c:pt>
                <c:pt idx="19">
                  <c:v>5.5187466666666699E-2</c:v>
                </c:pt>
                <c:pt idx="20">
                  <c:v>6.6702999999999998E-2</c:v>
                </c:pt>
                <c:pt idx="21">
                  <c:v>0.36351139999999998</c:v>
                </c:pt>
                <c:pt idx="22">
                  <c:v>1.4396762999999999</c:v>
                </c:pt>
                <c:pt idx="23">
                  <c:v>0.23151666666666701</c:v>
                </c:pt>
                <c:pt idx="24">
                  <c:v>0.45092933333333302</c:v>
                </c:pt>
                <c:pt idx="25">
                  <c:v>1.8620049999999999</c:v>
                </c:pt>
                <c:pt idx="26">
                  <c:v>0.96102000000000098</c:v>
                </c:pt>
                <c:pt idx="27">
                  <c:v>0.44974866666666702</c:v>
                </c:pt>
                <c:pt idx="28">
                  <c:v>0.40211133333333299</c:v>
                </c:pt>
                <c:pt idx="29">
                  <c:v>0.51845533333333305</c:v>
                </c:pt>
                <c:pt idx="30">
                  <c:v>0.62613466666666695</c:v>
                </c:pt>
                <c:pt idx="31">
                  <c:v>0.314632666666667</c:v>
                </c:pt>
                <c:pt idx="32">
                  <c:v>0.27961200000000003</c:v>
                </c:pt>
                <c:pt idx="33">
                  <c:v>0.34267833333333297</c:v>
                </c:pt>
                <c:pt idx="34">
                  <c:v>0.43897566666666699</c:v>
                </c:pt>
                <c:pt idx="35">
                  <c:v>0.90748566666666697</c:v>
                </c:pt>
                <c:pt idx="36">
                  <c:v>0.53249433333333296</c:v>
                </c:pt>
                <c:pt idx="37">
                  <c:v>0.57048266666666703</c:v>
                </c:pt>
                <c:pt idx="38">
                  <c:v>0.18382899999999999</c:v>
                </c:pt>
                <c:pt idx="39">
                  <c:v>0.56755999999999995</c:v>
                </c:pt>
                <c:pt idx="40">
                  <c:v>0.43546000000000001</c:v>
                </c:pt>
                <c:pt idx="41">
                  <c:v>0.685195</c:v>
                </c:pt>
                <c:pt idx="42">
                  <c:v>0.70198766666666701</c:v>
                </c:pt>
                <c:pt idx="43">
                  <c:v>0.62033466666666703</c:v>
                </c:pt>
                <c:pt idx="44">
                  <c:v>0.74486966666666699</c:v>
                </c:pt>
                <c:pt idx="45">
                  <c:v>0.469098666666667</c:v>
                </c:pt>
                <c:pt idx="46">
                  <c:v>0.56684066666666699</c:v>
                </c:pt>
                <c:pt idx="47">
                  <c:v>0.182122333333333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1BE-4970-B620-7A2E89924229}"/>
            </c:ext>
          </c:extLst>
        </c:ser>
        <c:ser>
          <c:idx val="10"/>
          <c:order val="10"/>
          <c:tx>
            <c:v>BES_TR3_one363_C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Demand_kW!$M$2:$M$49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0.171895666666667</c:v>
                </c:pt>
                <c:pt idx="2">
                  <c:v>7.8632999999999995E-2</c:v>
                </c:pt>
                <c:pt idx="3">
                  <c:v>8.2152000000000003E-2</c:v>
                </c:pt>
                <c:pt idx="4">
                  <c:v>8.9189999999999894E-2</c:v>
                </c:pt>
                <c:pt idx="5">
                  <c:v>5.3999999999999999E-2</c:v>
                </c:pt>
                <c:pt idx="6">
                  <c:v>5.3999999999999999E-2</c:v>
                </c:pt>
                <c:pt idx="7">
                  <c:v>0.117342</c:v>
                </c:pt>
                <c:pt idx="8">
                  <c:v>5.3999999999999999E-2</c:v>
                </c:pt>
                <c:pt idx="9">
                  <c:v>5.3999999999999999E-2</c:v>
                </c:pt>
                <c:pt idx="10">
                  <c:v>0.117342</c:v>
                </c:pt>
                <c:pt idx="11">
                  <c:v>5.3999999999999999E-2</c:v>
                </c:pt>
                <c:pt idx="12">
                  <c:v>8.5670999999999997E-2</c:v>
                </c:pt>
                <c:pt idx="13">
                  <c:v>8.5670999999999997E-2</c:v>
                </c:pt>
                <c:pt idx="14">
                  <c:v>5.3999999999999999E-2</c:v>
                </c:pt>
                <c:pt idx="15">
                  <c:v>0.117342</c:v>
                </c:pt>
                <c:pt idx="16">
                  <c:v>0.30579600000000001</c:v>
                </c:pt>
                <c:pt idx="17">
                  <c:v>0.30282506666666698</c:v>
                </c:pt>
                <c:pt idx="18">
                  <c:v>6.6886000000000001E-2</c:v>
                </c:pt>
                <c:pt idx="19">
                  <c:v>0.33468033333333302</c:v>
                </c:pt>
                <c:pt idx="20">
                  <c:v>0.20397000000000001</c:v>
                </c:pt>
                <c:pt idx="21">
                  <c:v>5.3999999999999999E-2</c:v>
                </c:pt>
                <c:pt idx="22">
                  <c:v>5.3999999999999999E-2</c:v>
                </c:pt>
                <c:pt idx="23">
                  <c:v>0.11382299999999999</c:v>
                </c:pt>
                <c:pt idx="24">
                  <c:v>5.7519000000000001E-2</c:v>
                </c:pt>
                <c:pt idx="25">
                  <c:v>5.3999999999999999E-2</c:v>
                </c:pt>
                <c:pt idx="26">
                  <c:v>9.9747000000000002E-2</c:v>
                </c:pt>
                <c:pt idx="27">
                  <c:v>7.1595000000000006E-2</c:v>
                </c:pt>
                <c:pt idx="28">
                  <c:v>0.103266</c:v>
                </c:pt>
                <c:pt idx="29">
                  <c:v>6.8075999999999998E-2</c:v>
                </c:pt>
                <c:pt idx="30">
                  <c:v>0.117342</c:v>
                </c:pt>
                <c:pt idx="31">
                  <c:v>0.119275333333333</c:v>
                </c:pt>
                <c:pt idx="32">
                  <c:v>0.23970566666666701</c:v>
                </c:pt>
                <c:pt idx="33">
                  <c:v>2.8576860000000002</c:v>
                </c:pt>
                <c:pt idx="34">
                  <c:v>0.43402600000000002</c:v>
                </c:pt>
                <c:pt idx="35">
                  <c:v>0.20381199999999999</c:v>
                </c:pt>
                <c:pt idx="36">
                  <c:v>0.27237800000000001</c:v>
                </c:pt>
                <c:pt idx="37">
                  <c:v>0.278569333333333</c:v>
                </c:pt>
                <c:pt idx="38">
                  <c:v>0.447732666666667</c:v>
                </c:pt>
                <c:pt idx="39">
                  <c:v>0.41328733333333301</c:v>
                </c:pt>
                <c:pt idx="40">
                  <c:v>0.47166133333333299</c:v>
                </c:pt>
                <c:pt idx="41">
                  <c:v>0.90949999999999998</c:v>
                </c:pt>
                <c:pt idx="42">
                  <c:v>1.2032879999999999</c:v>
                </c:pt>
                <c:pt idx="43">
                  <c:v>0.43266266666666697</c:v>
                </c:pt>
                <c:pt idx="44">
                  <c:v>0.44166466666666698</c:v>
                </c:pt>
                <c:pt idx="45">
                  <c:v>0.34764666666666699</c:v>
                </c:pt>
                <c:pt idx="46">
                  <c:v>8.2152000000000003E-2</c:v>
                </c:pt>
                <c:pt idx="47">
                  <c:v>8.9189999999999894E-2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1BE-4970-B620-7A2E89924229}"/>
            </c:ext>
          </c:extLst>
        </c:ser>
        <c:ser>
          <c:idx val="11"/>
          <c:order val="11"/>
          <c:tx>
            <c:v>BES_TR3_one366_B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Demand_kW!$N$2:$N$49</c:f>
              <c:numCache>
                <c:formatCode>#,##0.000</c:formatCode>
                <c:ptCount val="48"/>
                <c:pt idx="0">
                  <c:v>0.59939466666666696</c:v>
                </c:pt>
                <c:pt idx="1">
                  <c:v>0.54421533333333405</c:v>
                </c:pt>
                <c:pt idx="2">
                  <c:v>0.54750900000000002</c:v>
                </c:pt>
                <c:pt idx="3">
                  <c:v>0.65628366666666704</c:v>
                </c:pt>
                <c:pt idx="4">
                  <c:v>0.33393733333333298</c:v>
                </c:pt>
                <c:pt idx="5">
                  <c:v>9.5999999999999905E-2</c:v>
                </c:pt>
                <c:pt idx="6">
                  <c:v>4.4999999999999998E-2</c:v>
                </c:pt>
                <c:pt idx="7">
                  <c:v>0.18665799999999999</c:v>
                </c:pt>
                <c:pt idx="8">
                  <c:v>0.131304</c:v>
                </c:pt>
                <c:pt idx="9">
                  <c:v>0.16734099999999999</c:v>
                </c:pt>
                <c:pt idx="10">
                  <c:v>6.4316999999999999E-2</c:v>
                </c:pt>
                <c:pt idx="11">
                  <c:v>5.7877999999999999E-2</c:v>
                </c:pt>
                <c:pt idx="12">
                  <c:v>0.17377999999999999</c:v>
                </c:pt>
                <c:pt idx="13">
                  <c:v>9.7741333333333305E-2</c:v>
                </c:pt>
                <c:pt idx="14">
                  <c:v>0.22022066666666701</c:v>
                </c:pt>
                <c:pt idx="15">
                  <c:v>9.2946666666666705E-2</c:v>
                </c:pt>
                <c:pt idx="16">
                  <c:v>0.16062533333333301</c:v>
                </c:pt>
                <c:pt idx="17">
                  <c:v>0.10939</c:v>
                </c:pt>
                <c:pt idx="18">
                  <c:v>8.2845333333333299E-2</c:v>
                </c:pt>
                <c:pt idx="19">
                  <c:v>0.32483933333333298</c:v>
                </c:pt>
                <c:pt idx="20">
                  <c:v>0.12870699999999999</c:v>
                </c:pt>
                <c:pt idx="21">
                  <c:v>4.4999999999999998E-2</c:v>
                </c:pt>
                <c:pt idx="22">
                  <c:v>6.1666666666666703E-2</c:v>
                </c:pt>
                <c:pt idx="23">
                  <c:v>1.07185666666667</c:v>
                </c:pt>
                <c:pt idx="24">
                  <c:v>0.20452626666666701</c:v>
                </c:pt>
                <c:pt idx="25">
                  <c:v>0.16105613333333299</c:v>
                </c:pt>
                <c:pt idx="26">
                  <c:v>0.15176000000000001</c:v>
                </c:pt>
                <c:pt idx="27">
                  <c:v>0.27994200000000002</c:v>
                </c:pt>
                <c:pt idx="28">
                  <c:v>5.5466000000000001E-2</c:v>
                </c:pt>
                <c:pt idx="29">
                  <c:v>0.28704600000000002</c:v>
                </c:pt>
                <c:pt idx="30">
                  <c:v>0.1088876</c:v>
                </c:pt>
                <c:pt idx="31">
                  <c:v>0.178597533333333</c:v>
                </c:pt>
                <c:pt idx="32">
                  <c:v>0.52398266666666704</c:v>
                </c:pt>
                <c:pt idx="33">
                  <c:v>0.126509333333333</c:v>
                </c:pt>
                <c:pt idx="34">
                  <c:v>0.18665799999999999</c:v>
                </c:pt>
                <c:pt idx="35">
                  <c:v>0.13930400000000001</c:v>
                </c:pt>
                <c:pt idx="36">
                  <c:v>0.105526666666667</c:v>
                </c:pt>
                <c:pt idx="37">
                  <c:v>0.17130400000000001</c:v>
                </c:pt>
                <c:pt idx="38">
                  <c:v>0.194918333333333</c:v>
                </c:pt>
                <c:pt idx="39">
                  <c:v>1.2712396666666701</c:v>
                </c:pt>
                <c:pt idx="40">
                  <c:v>0.32409933333333302</c:v>
                </c:pt>
                <c:pt idx="41">
                  <c:v>0.45270033333333298</c:v>
                </c:pt>
                <c:pt idx="42">
                  <c:v>0.55150066666666697</c:v>
                </c:pt>
                <c:pt idx="43">
                  <c:v>0.54932300000000001</c:v>
                </c:pt>
                <c:pt idx="44">
                  <c:v>0.364806666666667</c:v>
                </c:pt>
                <c:pt idx="45">
                  <c:v>0.36057733333333303</c:v>
                </c:pt>
                <c:pt idx="46">
                  <c:v>0.102536</c:v>
                </c:pt>
                <c:pt idx="47">
                  <c:v>7.3768E-2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1BE-4970-B620-7A2E89924229}"/>
            </c:ext>
          </c:extLst>
        </c:ser>
        <c:ser>
          <c:idx val="12"/>
          <c:order val="12"/>
          <c:tx>
            <c:v>BES_TR3_one371_C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Demand_kW!$O$2:$O$49</c:f>
              <c:numCache>
                <c:formatCode>#,##0.000</c:formatCode>
                <c:ptCount val="48"/>
                <c:pt idx="0">
                  <c:v>7.1858666666666696E-2</c:v>
                </c:pt>
                <c:pt idx="1">
                  <c:v>4.2000000000000003E-2</c:v>
                </c:pt>
                <c:pt idx="2">
                  <c:v>4.2000000000000003E-2</c:v>
                </c:pt>
                <c:pt idx="3">
                  <c:v>0.206222666666667</c:v>
                </c:pt>
                <c:pt idx="4">
                  <c:v>4.2000000000000003E-2</c:v>
                </c:pt>
                <c:pt idx="5">
                  <c:v>8.6788000000000004E-2</c:v>
                </c:pt>
                <c:pt idx="6">
                  <c:v>0.161434666666667</c:v>
                </c:pt>
                <c:pt idx="7">
                  <c:v>4.2000000000000003E-2</c:v>
                </c:pt>
                <c:pt idx="8">
                  <c:v>4.2000000000000003E-2</c:v>
                </c:pt>
                <c:pt idx="9">
                  <c:v>0.206222666666667</c:v>
                </c:pt>
                <c:pt idx="10">
                  <c:v>4.2000000000000003E-2</c:v>
                </c:pt>
                <c:pt idx="11">
                  <c:v>7.9323333333333398E-2</c:v>
                </c:pt>
                <c:pt idx="12">
                  <c:v>0.16889933333333301</c:v>
                </c:pt>
                <c:pt idx="13">
                  <c:v>4.2000000000000003E-2</c:v>
                </c:pt>
                <c:pt idx="14">
                  <c:v>4.2000000000000003E-2</c:v>
                </c:pt>
                <c:pt idx="15">
                  <c:v>0.1211632</c:v>
                </c:pt>
                <c:pt idx="16">
                  <c:v>0.217182133333333</c:v>
                </c:pt>
                <c:pt idx="17">
                  <c:v>4.4052666666666698E-2</c:v>
                </c:pt>
                <c:pt idx="18">
                  <c:v>0.92843520000000102</c:v>
                </c:pt>
                <c:pt idx="19">
                  <c:v>0.29931600000000003</c:v>
                </c:pt>
                <c:pt idx="20">
                  <c:v>1.5256483999999999</c:v>
                </c:pt>
                <c:pt idx="21">
                  <c:v>2.13180096666667</c:v>
                </c:pt>
                <c:pt idx="22">
                  <c:v>2.61323666666667</c:v>
                </c:pt>
                <c:pt idx="23">
                  <c:v>0.73261900000000002</c:v>
                </c:pt>
                <c:pt idx="24">
                  <c:v>0.23945066666666701</c:v>
                </c:pt>
                <c:pt idx="25">
                  <c:v>0.53313033333333304</c:v>
                </c:pt>
                <c:pt idx="26">
                  <c:v>4.1265200000000002</c:v>
                </c:pt>
                <c:pt idx="27">
                  <c:v>2.5311926666666702</c:v>
                </c:pt>
                <c:pt idx="28">
                  <c:v>0.37272266666666698</c:v>
                </c:pt>
                <c:pt idx="29">
                  <c:v>0.38854633333333299</c:v>
                </c:pt>
                <c:pt idx="30">
                  <c:v>3.9086919999999998</c:v>
                </c:pt>
                <c:pt idx="31">
                  <c:v>2.8208466666666698</c:v>
                </c:pt>
                <c:pt idx="32">
                  <c:v>0.555047333333333</c:v>
                </c:pt>
                <c:pt idx="33">
                  <c:v>0.55040800000000001</c:v>
                </c:pt>
                <c:pt idx="34">
                  <c:v>1.3130836666666701</c:v>
                </c:pt>
                <c:pt idx="35">
                  <c:v>0.61759500000000001</c:v>
                </c:pt>
                <c:pt idx="36">
                  <c:v>0.101000666666667</c:v>
                </c:pt>
                <c:pt idx="37">
                  <c:v>0.206222666666667</c:v>
                </c:pt>
                <c:pt idx="38">
                  <c:v>0.100725066666667</c:v>
                </c:pt>
                <c:pt idx="39">
                  <c:v>0.38962400000000003</c:v>
                </c:pt>
                <c:pt idx="40">
                  <c:v>0.36716666666666697</c:v>
                </c:pt>
                <c:pt idx="41">
                  <c:v>0.36292166666666698</c:v>
                </c:pt>
                <c:pt idx="42">
                  <c:v>0.161526</c:v>
                </c:pt>
                <c:pt idx="43">
                  <c:v>0.40357300000000002</c:v>
                </c:pt>
                <c:pt idx="44">
                  <c:v>0.369076666666667</c:v>
                </c:pt>
                <c:pt idx="45">
                  <c:v>0.30120000000000002</c:v>
                </c:pt>
                <c:pt idx="46">
                  <c:v>0.458060666666667</c:v>
                </c:pt>
                <c:pt idx="47">
                  <c:v>0.109182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1BE-4970-B620-7A2E89924229}"/>
            </c:ext>
          </c:extLst>
        </c:ser>
        <c:ser>
          <c:idx val="13"/>
          <c:order val="13"/>
          <c:tx>
            <c:v>BES_TR3_one375_C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Demand_kW!$P$2:$P$49</c:f>
              <c:numCache>
                <c:formatCode>#,##0.000</c:formatCode>
                <c:ptCount val="48"/>
                <c:pt idx="0">
                  <c:v>0.14442866666666701</c:v>
                </c:pt>
                <c:pt idx="1">
                  <c:v>0.22984733333333299</c:v>
                </c:pt>
                <c:pt idx="2">
                  <c:v>0.16108033333333299</c:v>
                </c:pt>
                <c:pt idx="3">
                  <c:v>0.15299033333333301</c:v>
                </c:pt>
                <c:pt idx="4">
                  <c:v>9.6337999999999993E-2</c:v>
                </c:pt>
                <c:pt idx="5">
                  <c:v>0.30364333333333299</c:v>
                </c:pt>
                <c:pt idx="6">
                  <c:v>9.3984666666666605E-2</c:v>
                </c:pt>
                <c:pt idx="7">
                  <c:v>0.18300666666666701</c:v>
                </c:pt>
                <c:pt idx="8">
                  <c:v>0.19059933333333301</c:v>
                </c:pt>
                <c:pt idx="9">
                  <c:v>0.24723066666666699</c:v>
                </c:pt>
                <c:pt idx="10">
                  <c:v>0.18416299999999999</c:v>
                </c:pt>
                <c:pt idx="11">
                  <c:v>0.19336400000000001</c:v>
                </c:pt>
                <c:pt idx="12">
                  <c:v>0.15148900000000001</c:v>
                </c:pt>
                <c:pt idx="13">
                  <c:v>0.21263733333333301</c:v>
                </c:pt>
                <c:pt idx="14">
                  <c:v>0.30536566666666698</c:v>
                </c:pt>
                <c:pt idx="15">
                  <c:v>0.234235466666667</c:v>
                </c:pt>
                <c:pt idx="16">
                  <c:v>0.36479600000000001</c:v>
                </c:pt>
                <c:pt idx="17">
                  <c:v>8.4163199999999994E-2</c:v>
                </c:pt>
                <c:pt idx="18">
                  <c:v>9.5815999999999998E-2</c:v>
                </c:pt>
                <c:pt idx="19">
                  <c:v>0.22236800000000001</c:v>
                </c:pt>
                <c:pt idx="20">
                  <c:v>0.21546199999999999</c:v>
                </c:pt>
                <c:pt idx="21">
                  <c:v>0.147644</c:v>
                </c:pt>
                <c:pt idx="22">
                  <c:v>0.290186</c:v>
                </c:pt>
                <c:pt idx="23">
                  <c:v>7.0407999999999998E-2</c:v>
                </c:pt>
                <c:pt idx="24">
                  <c:v>0.131549</c:v>
                </c:pt>
                <c:pt idx="25">
                  <c:v>0.25301433333333301</c:v>
                </c:pt>
                <c:pt idx="26">
                  <c:v>0.156459666666667</c:v>
                </c:pt>
                <c:pt idx="27">
                  <c:v>0.90931266666666699</c:v>
                </c:pt>
                <c:pt idx="28">
                  <c:v>0.41483999999999999</c:v>
                </c:pt>
                <c:pt idx="29">
                  <c:v>0.71244066666666594</c:v>
                </c:pt>
                <c:pt idx="30">
                  <c:v>0.17738606666666701</c:v>
                </c:pt>
                <c:pt idx="31">
                  <c:v>0.16692460000000001</c:v>
                </c:pt>
                <c:pt idx="32">
                  <c:v>0.62998953333333296</c:v>
                </c:pt>
                <c:pt idx="33">
                  <c:v>0.16317860000000001</c:v>
                </c:pt>
                <c:pt idx="34">
                  <c:v>0.33548753333333298</c:v>
                </c:pt>
                <c:pt idx="35">
                  <c:v>0.55558366666666703</c:v>
                </c:pt>
                <c:pt idx="36">
                  <c:v>0.124</c:v>
                </c:pt>
                <c:pt idx="37">
                  <c:v>0.25951966666666698</c:v>
                </c:pt>
                <c:pt idx="38">
                  <c:v>0.28493033333333301</c:v>
                </c:pt>
                <c:pt idx="39">
                  <c:v>0.43305833333333299</c:v>
                </c:pt>
                <c:pt idx="40">
                  <c:v>0.52905766666666698</c:v>
                </c:pt>
                <c:pt idx="41">
                  <c:v>0.420951666666667</c:v>
                </c:pt>
                <c:pt idx="42">
                  <c:v>0.45358900000000002</c:v>
                </c:pt>
                <c:pt idx="43">
                  <c:v>0.41900733333333301</c:v>
                </c:pt>
                <c:pt idx="44">
                  <c:v>0.43810866666666698</c:v>
                </c:pt>
                <c:pt idx="45">
                  <c:v>0.27537566666666702</c:v>
                </c:pt>
                <c:pt idx="46">
                  <c:v>0.201303333333333</c:v>
                </c:pt>
                <c:pt idx="47">
                  <c:v>0.14942233333333299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1BE-4970-B620-7A2E89924229}"/>
            </c:ext>
          </c:extLst>
        </c:ser>
        <c:ser>
          <c:idx val="14"/>
          <c:order val="14"/>
          <c:tx>
            <c:v>BES_TR3_one410_B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Demand_kW!$Q$2:$Q$49</c:f>
              <c:numCache>
                <c:formatCode>#,##0.000</c:formatCode>
                <c:ptCount val="48"/>
                <c:pt idx="0">
                  <c:v>0.165051</c:v>
                </c:pt>
                <c:pt idx="1">
                  <c:v>4.7E-2</c:v>
                </c:pt>
                <c:pt idx="2">
                  <c:v>0.22065000000000001</c:v>
                </c:pt>
                <c:pt idx="3">
                  <c:v>0.12153600000000001</c:v>
                </c:pt>
                <c:pt idx="4">
                  <c:v>8.2456000000000002E-2</c:v>
                </c:pt>
                <c:pt idx="5">
                  <c:v>9.1320000000000096E-2</c:v>
                </c:pt>
                <c:pt idx="6">
                  <c:v>0.192445</c:v>
                </c:pt>
                <c:pt idx="7">
                  <c:v>8.3261000000000002E-2</c:v>
                </c:pt>
                <c:pt idx="8">
                  <c:v>0.20533999999999999</c:v>
                </c:pt>
                <c:pt idx="9">
                  <c:v>0.12354999999999999</c:v>
                </c:pt>
                <c:pt idx="10">
                  <c:v>0.126776</c:v>
                </c:pt>
                <c:pt idx="11">
                  <c:v>0.21984200000000001</c:v>
                </c:pt>
                <c:pt idx="12">
                  <c:v>0.12234399999999999</c:v>
                </c:pt>
                <c:pt idx="13">
                  <c:v>0.10058499999999999</c:v>
                </c:pt>
                <c:pt idx="14">
                  <c:v>0.29829</c:v>
                </c:pt>
                <c:pt idx="15">
                  <c:v>0.18346999999999999</c:v>
                </c:pt>
                <c:pt idx="16">
                  <c:v>0.84758733333333303</c:v>
                </c:pt>
                <c:pt idx="17">
                  <c:v>0.13797999999999999</c:v>
                </c:pt>
                <c:pt idx="18">
                  <c:v>0.126776</c:v>
                </c:pt>
                <c:pt idx="19">
                  <c:v>4.7E-2</c:v>
                </c:pt>
                <c:pt idx="20">
                  <c:v>0.59345099999999995</c:v>
                </c:pt>
                <c:pt idx="21">
                  <c:v>0.22658066666666701</c:v>
                </c:pt>
                <c:pt idx="22">
                  <c:v>0.28526200000000002</c:v>
                </c:pt>
                <c:pt idx="23">
                  <c:v>0.176858666666667</c:v>
                </c:pt>
                <c:pt idx="24">
                  <c:v>0.126776</c:v>
                </c:pt>
                <c:pt idx="25">
                  <c:v>0.21540999999999999</c:v>
                </c:pt>
                <c:pt idx="26">
                  <c:v>8.2456000000000002E-2</c:v>
                </c:pt>
                <c:pt idx="27">
                  <c:v>9.1320000000000096E-2</c:v>
                </c:pt>
                <c:pt idx="28">
                  <c:v>0.21540999999999999</c:v>
                </c:pt>
                <c:pt idx="29">
                  <c:v>0.126776</c:v>
                </c:pt>
                <c:pt idx="30">
                  <c:v>4.7E-2</c:v>
                </c:pt>
                <c:pt idx="31">
                  <c:v>4.7E-2</c:v>
                </c:pt>
                <c:pt idx="32">
                  <c:v>0.27302599999999999</c:v>
                </c:pt>
                <c:pt idx="33">
                  <c:v>6.9159999999999999E-2</c:v>
                </c:pt>
                <c:pt idx="34">
                  <c:v>0.18962599999999999</c:v>
                </c:pt>
                <c:pt idx="35">
                  <c:v>0.15256</c:v>
                </c:pt>
                <c:pt idx="36">
                  <c:v>4.7E-2</c:v>
                </c:pt>
                <c:pt idx="37">
                  <c:v>0.126776</c:v>
                </c:pt>
                <c:pt idx="38">
                  <c:v>0.16947999999999999</c:v>
                </c:pt>
                <c:pt idx="39">
                  <c:v>0.138042533333333</c:v>
                </c:pt>
                <c:pt idx="40">
                  <c:v>0.109557933333333</c:v>
                </c:pt>
                <c:pt idx="41">
                  <c:v>0.369398333333333</c:v>
                </c:pt>
                <c:pt idx="42">
                  <c:v>0.21273666666666699</c:v>
                </c:pt>
                <c:pt idx="43">
                  <c:v>0.36905700000000002</c:v>
                </c:pt>
                <c:pt idx="44">
                  <c:v>5.9200000000000003E-2</c:v>
                </c:pt>
                <c:pt idx="45">
                  <c:v>0.18172766666666701</c:v>
                </c:pt>
                <c:pt idx="46">
                  <c:v>1.538249</c:v>
                </c:pt>
                <c:pt idx="47">
                  <c:v>1.4054943333333301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1BE-4970-B620-7A2E89924229}"/>
            </c:ext>
          </c:extLst>
        </c:ser>
        <c:ser>
          <c:idx val="15"/>
          <c:order val="15"/>
          <c:tx>
            <c:v>BES_TR3_one50_A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Demand_kW!$R$2:$R$49</c:f>
              <c:numCache>
                <c:formatCode>#,##0.000</c:formatCode>
                <c:ptCount val="48"/>
                <c:pt idx="0">
                  <c:v>0.160399666666667</c:v>
                </c:pt>
                <c:pt idx="1">
                  <c:v>5.5E-2</c:v>
                </c:pt>
                <c:pt idx="2">
                  <c:v>5.5E-2</c:v>
                </c:pt>
                <c:pt idx="3">
                  <c:v>0.111753666666667</c:v>
                </c:pt>
                <c:pt idx="4">
                  <c:v>0.17661499999999999</c:v>
                </c:pt>
                <c:pt idx="5">
                  <c:v>5.5E-2</c:v>
                </c:pt>
                <c:pt idx="6">
                  <c:v>0.233368666666667</c:v>
                </c:pt>
                <c:pt idx="7">
                  <c:v>5.5E-2</c:v>
                </c:pt>
                <c:pt idx="8">
                  <c:v>0.65634366666666699</c:v>
                </c:pt>
                <c:pt idx="9">
                  <c:v>0.91473666666666698</c:v>
                </c:pt>
                <c:pt idx="10">
                  <c:v>0.47217866666666702</c:v>
                </c:pt>
                <c:pt idx="11">
                  <c:v>5.5E-2</c:v>
                </c:pt>
                <c:pt idx="12">
                  <c:v>0.18472266666666701</c:v>
                </c:pt>
                <c:pt idx="13">
                  <c:v>0.235254666666666</c:v>
                </c:pt>
                <c:pt idx="14">
                  <c:v>5.5E-2</c:v>
                </c:pt>
                <c:pt idx="15">
                  <c:v>0.233368666666667</c:v>
                </c:pt>
                <c:pt idx="16">
                  <c:v>5.5E-2</c:v>
                </c:pt>
                <c:pt idx="17">
                  <c:v>0.103646</c:v>
                </c:pt>
                <c:pt idx="18">
                  <c:v>0.51087466666666703</c:v>
                </c:pt>
                <c:pt idx="19">
                  <c:v>1.486596</c:v>
                </c:pt>
                <c:pt idx="20">
                  <c:v>1.7703</c:v>
                </c:pt>
                <c:pt idx="21">
                  <c:v>2.1891183333333299</c:v>
                </c:pt>
                <c:pt idx="22">
                  <c:v>2.5585300000000002</c:v>
                </c:pt>
                <c:pt idx="23">
                  <c:v>1.9796879999999999</c:v>
                </c:pt>
                <c:pt idx="24">
                  <c:v>0.13607666666666701</c:v>
                </c:pt>
                <c:pt idx="25">
                  <c:v>5.5E-2</c:v>
                </c:pt>
                <c:pt idx="26">
                  <c:v>5.5E-2</c:v>
                </c:pt>
                <c:pt idx="27">
                  <c:v>0.16801833333333299</c:v>
                </c:pt>
                <c:pt idx="28">
                  <c:v>0.81553133333333305</c:v>
                </c:pt>
                <c:pt idx="29">
                  <c:v>5.5E-2</c:v>
                </c:pt>
                <c:pt idx="30">
                  <c:v>0.119861333333333</c:v>
                </c:pt>
                <c:pt idx="31">
                  <c:v>1.66875333333333</c:v>
                </c:pt>
                <c:pt idx="32">
                  <c:v>0.49484033333333299</c:v>
                </c:pt>
                <c:pt idx="33">
                  <c:v>0.72745713333333295</c:v>
                </c:pt>
                <c:pt idx="34">
                  <c:v>0.27647389999999999</c:v>
                </c:pt>
                <c:pt idx="35">
                  <c:v>0.22526099999999999</c:v>
                </c:pt>
                <c:pt idx="36">
                  <c:v>7.1684333333333294E-2</c:v>
                </c:pt>
                <c:pt idx="37">
                  <c:v>0.41068833333333299</c:v>
                </c:pt>
                <c:pt idx="38">
                  <c:v>0.64919733333333296</c:v>
                </c:pt>
                <c:pt idx="39">
                  <c:v>0.86263199999999995</c:v>
                </c:pt>
                <c:pt idx="40">
                  <c:v>0.92679800000000001</c:v>
                </c:pt>
                <c:pt idx="41">
                  <c:v>2.4162426666666699</c:v>
                </c:pt>
                <c:pt idx="42">
                  <c:v>2.2718986666666701</c:v>
                </c:pt>
                <c:pt idx="43">
                  <c:v>1.169259</c:v>
                </c:pt>
                <c:pt idx="44">
                  <c:v>0.956094</c:v>
                </c:pt>
                <c:pt idx="45">
                  <c:v>1.03280533333333</c:v>
                </c:pt>
                <c:pt idx="46">
                  <c:v>0.160399666666667</c:v>
                </c:pt>
                <c:pt idx="47">
                  <c:v>0.127969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1BE-4970-B620-7A2E89924229}"/>
            </c:ext>
          </c:extLst>
        </c:ser>
        <c:ser>
          <c:idx val="16"/>
          <c:order val="16"/>
          <c:tx>
            <c:v>BES_TR3_one423_B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Demand_kW!$S$2:$S$49</c:f>
              <c:numCache>
                <c:formatCode>#,##0.000</c:formatCode>
                <c:ptCount val="48"/>
                <c:pt idx="0">
                  <c:v>0.13142000000000001</c:v>
                </c:pt>
                <c:pt idx="1">
                  <c:v>5.5E-2</c:v>
                </c:pt>
                <c:pt idx="2">
                  <c:v>8.6841666666666706E-2</c:v>
                </c:pt>
                <c:pt idx="3">
                  <c:v>0.163261666666667</c:v>
                </c:pt>
                <c:pt idx="4">
                  <c:v>5.5E-2</c:v>
                </c:pt>
                <c:pt idx="5">
                  <c:v>5.5E-2</c:v>
                </c:pt>
                <c:pt idx="6">
                  <c:v>0.19510333333333299</c:v>
                </c:pt>
                <c:pt idx="7">
                  <c:v>5.5E-2</c:v>
                </c:pt>
                <c:pt idx="8">
                  <c:v>0.118683333333333</c:v>
                </c:pt>
                <c:pt idx="9">
                  <c:v>0.13142000000000001</c:v>
                </c:pt>
                <c:pt idx="10">
                  <c:v>6.7736666666666695E-2</c:v>
                </c:pt>
                <c:pt idx="11">
                  <c:v>0.18236666666666701</c:v>
                </c:pt>
                <c:pt idx="12">
                  <c:v>5.5E-2</c:v>
                </c:pt>
                <c:pt idx="13">
                  <c:v>0.23945166666666701</c:v>
                </c:pt>
                <c:pt idx="14">
                  <c:v>1.92247866666667</c:v>
                </c:pt>
                <c:pt idx="15">
                  <c:v>0.97540733333333396</c:v>
                </c:pt>
                <c:pt idx="16">
                  <c:v>1.32325166666667</c:v>
                </c:pt>
                <c:pt idx="17">
                  <c:v>1.8482350000000001</c:v>
                </c:pt>
                <c:pt idx="18">
                  <c:v>1.2958133333333299</c:v>
                </c:pt>
                <c:pt idx="19">
                  <c:v>0.26311800000000002</c:v>
                </c:pt>
                <c:pt idx="20">
                  <c:v>0.27528999999999998</c:v>
                </c:pt>
                <c:pt idx="21">
                  <c:v>0.40256166666666598</c:v>
                </c:pt>
                <c:pt idx="22">
                  <c:v>0.148356666666667</c:v>
                </c:pt>
                <c:pt idx="23">
                  <c:v>0.20688100000000001</c:v>
                </c:pt>
                <c:pt idx="24">
                  <c:v>0.53727266666666695</c:v>
                </c:pt>
                <c:pt idx="25">
                  <c:v>0.56773733333333298</c:v>
                </c:pt>
                <c:pt idx="26">
                  <c:v>0.54005999999999998</c:v>
                </c:pt>
                <c:pt idx="27">
                  <c:v>0.29863666666666699</c:v>
                </c:pt>
                <c:pt idx="28">
                  <c:v>0.45859</c:v>
                </c:pt>
                <c:pt idx="29">
                  <c:v>0.29528333333333301</c:v>
                </c:pt>
                <c:pt idx="30">
                  <c:v>0.30232866666666702</c:v>
                </c:pt>
                <c:pt idx="31">
                  <c:v>0.450056333333333</c:v>
                </c:pt>
                <c:pt idx="32">
                  <c:v>0.22020999999999999</c:v>
                </c:pt>
                <c:pt idx="33">
                  <c:v>0.35555700000000001</c:v>
                </c:pt>
                <c:pt idx="34">
                  <c:v>1.3428819999999999</c:v>
                </c:pt>
                <c:pt idx="35">
                  <c:v>0.15352866666666701</c:v>
                </c:pt>
                <c:pt idx="36">
                  <c:v>0.20671933333333301</c:v>
                </c:pt>
                <c:pt idx="37">
                  <c:v>9.6823166666666599E-2</c:v>
                </c:pt>
                <c:pt idx="38">
                  <c:v>0.208486266666667</c:v>
                </c:pt>
                <c:pt idx="39">
                  <c:v>0.221738666666667</c:v>
                </c:pt>
                <c:pt idx="40">
                  <c:v>0.34761666666666702</c:v>
                </c:pt>
                <c:pt idx="41">
                  <c:v>0.528036333333333</c:v>
                </c:pt>
                <c:pt idx="42">
                  <c:v>0.36656766666666701</c:v>
                </c:pt>
                <c:pt idx="43">
                  <c:v>0.39737166666666701</c:v>
                </c:pt>
                <c:pt idx="44">
                  <c:v>1.0337086666666699</c:v>
                </c:pt>
                <c:pt idx="45">
                  <c:v>0.30525200000000002</c:v>
                </c:pt>
                <c:pt idx="46">
                  <c:v>0.50582533333333302</c:v>
                </c:pt>
                <c:pt idx="47">
                  <c:v>0.171029666666667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1BE-4970-B620-7A2E89924229}"/>
            </c:ext>
          </c:extLst>
        </c:ser>
        <c:ser>
          <c:idx val="17"/>
          <c:order val="17"/>
          <c:tx>
            <c:v>BES_TR3_one446_B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Demand_kW!$T$2:$T$49</c:f>
              <c:numCache>
                <c:formatCode>#,##0.000</c:formatCode>
                <c:ptCount val="48"/>
                <c:pt idx="0">
                  <c:v>0.14851066666666701</c:v>
                </c:pt>
                <c:pt idx="1">
                  <c:v>0.17041066666666699</c:v>
                </c:pt>
                <c:pt idx="2">
                  <c:v>0.22045799999999999</c:v>
                </c:pt>
                <c:pt idx="3">
                  <c:v>0.176853333333333</c:v>
                </c:pt>
                <c:pt idx="4">
                  <c:v>4.8000000000000001E-2</c:v>
                </c:pt>
                <c:pt idx="5">
                  <c:v>0.22045799999999999</c:v>
                </c:pt>
                <c:pt idx="6">
                  <c:v>0.176853333333333</c:v>
                </c:pt>
                <c:pt idx="7">
                  <c:v>0.13422899999999999</c:v>
                </c:pt>
                <c:pt idx="8">
                  <c:v>0.250197</c:v>
                </c:pt>
                <c:pt idx="9">
                  <c:v>6.0885333333333402E-2</c:v>
                </c:pt>
                <c:pt idx="10">
                  <c:v>0.22045799999999999</c:v>
                </c:pt>
                <c:pt idx="11">
                  <c:v>0.10598399999999999</c:v>
                </c:pt>
                <c:pt idx="12">
                  <c:v>0.244293333333333</c:v>
                </c:pt>
                <c:pt idx="13">
                  <c:v>9.5033999999999993E-2</c:v>
                </c:pt>
                <c:pt idx="14">
                  <c:v>0.176853333333333</c:v>
                </c:pt>
                <c:pt idx="15">
                  <c:v>0.22045799999999999</c:v>
                </c:pt>
                <c:pt idx="16">
                  <c:v>0.44029933333333399</c:v>
                </c:pt>
                <c:pt idx="17">
                  <c:v>0.25158700000000001</c:v>
                </c:pt>
                <c:pt idx="18">
                  <c:v>0.24740633333333301</c:v>
                </c:pt>
                <c:pt idx="19">
                  <c:v>4.8000000000000001E-2</c:v>
                </c:pt>
                <c:pt idx="20">
                  <c:v>0.176853333333333</c:v>
                </c:pt>
                <c:pt idx="21">
                  <c:v>0.22045799999999999</c:v>
                </c:pt>
                <c:pt idx="22">
                  <c:v>0.176853333333333</c:v>
                </c:pt>
                <c:pt idx="23">
                  <c:v>9.5033999999999993E-2</c:v>
                </c:pt>
                <c:pt idx="24">
                  <c:v>0.17342399999999999</c:v>
                </c:pt>
                <c:pt idx="25">
                  <c:v>5.4442666666666702E-2</c:v>
                </c:pt>
                <c:pt idx="26">
                  <c:v>0.24096166666666699</c:v>
                </c:pt>
                <c:pt idx="27">
                  <c:v>0.14990700000000001</c:v>
                </c:pt>
                <c:pt idx="28">
                  <c:v>0.13819733333333301</c:v>
                </c:pt>
                <c:pt idx="29">
                  <c:v>0.219919</c:v>
                </c:pt>
                <c:pt idx="30">
                  <c:v>0.170949666666667</c:v>
                </c:pt>
                <c:pt idx="31">
                  <c:v>0.179327666666667</c:v>
                </c:pt>
                <c:pt idx="32">
                  <c:v>0.37050666666666698</c:v>
                </c:pt>
                <c:pt idx="33">
                  <c:v>0.14099</c:v>
                </c:pt>
                <c:pt idx="34">
                  <c:v>0.41366966666666699</c:v>
                </c:pt>
                <c:pt idx="35">
                  <c:v>0.42052333333333303</c:v>
                </c:pt>
                <c:pt idx="36">
                  <c:v>0.43508233333333302</c:v>
                </c:pt>
                <c:pt idx="37">
                  <c:v>0.39880100000000002</c:v>
                </c:pt>
                <c:pt idx="38">
                  <c:v>0.54460666666666702</c:v>
                </c:pt>
                <c:pt idx="39">
                  <c:v>0.59900200000000003</c:v>
                </c:pt>
                <c:pt idx="40">
                  <c:v>0.583125</c:v>
                </c:pt>
                <c:pt idx="41">
                  <c:v>0.80450066666666697</c:v>
                </c:pt>
                <c:pt idx="42">
                  <c:v>0.62229266666666705</c:v>
                </c:pt>
                <c:pt idx="43">
                  <c:v>0.80152833333333295</c:v>
                </c:pt>
                <c:pt idx="44">
                  <c:v>0.90005633333333401</c:v>
                </c:pt>
                <c:pt idx="45">
                  <c:v>0.76176666666666704</c:v>
                </c:pt>
                <c:pt idx="46">
                  <c:v>0.57998666666666698</c:v>
                </c:pt>
                <c:pt idx="47">
                  <c:v>0.99138266666666597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1BE-4970-B620-7A2E89924229}"/>
            </c:ext>
          </c:extLst>
        </c:ser>
        <c:ser>
          <c:idx val="18"/>
          <c:order val="18"/>
          <c:tx>
            <c:v>BES_TR3_one469_A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Demand_kW!$U$2:$U$49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9.1037999999999994E-2</c:v>
                </c:pt>
                <c:pt idx="2">
                  <c:v>0.162768</c:v>
                </c:pt>
                <c:pt idx="3">
                  <c:v>0.125886</c:v>
                </c:pt>
                <c:pt idx="4">
                  <c:v>0.20580599999999999</c:v>
                </c:pt>
                <c:pt idx="5">
                  <c:v>0.125886</c:v>
                </c:pt>
                <c:pt idx="6">
                  <c:v>4.8000000000000001E-2</c:v>
                </c:pt>
                <c:pt idx="7">
                  <c:v>0.26638400000000001</c:v>
                </c:pt>
                <c:pt idx="8">
                  <c:v>6.5308000000000005E-2</c:v>
                </c:pt>
                <c:pt idx="9">
                  <c:v>0.15457799999999999</c:v>
                </c:pt>
                <c:pt idx="10">
                  <c:v>0.17711399999999999</c:v>
                </c:pt>
                <c:pt idx="11">
                  <c:v>0.125886</c:v>
                </c:pt>
                <c:pt idx="12">
                  <c:v>0.20580599999999999</c:v>
                </c:pt>
                <c:pt idx="13">
                  <c:v>0.125886</c:v>
                </c:pt>
                <c:pt idx="14">
                  <c:v>0.11973</c:v>
                </c:pt>
                <c:pt idx="15">
                  <c:v>0.16835803333333299</c:v>
                </c:pt>
                <c:pt idx="16">
                  <c:v>0.10757510000000001</c:v>
                </c:pt>
                <c:pt idx="17">
                  <c:v>0.109825266666667</c:v>
                </c:pt>
                <c:pt idx="18">
                  <c:v>0.21469199999999999</c:v>
                </c:pt>
                <c:pt idx="19">
                  <c:v>0.16708366666666699</c:v>
                </c:pt>
                <c:pt idx="20">
                  <c:v>0.22026799999999999</c:v>
                </c:pt>
                <c:pt idx="21">
                  <c:v>0.111424</c:v>
                </c:pt>
                <c:pt idx="22">
                  <c:v>9.1270000000000004E-2</c:v>
                </c:pt>
                <c:pt idx="23">
                  <c:v>8.2615999999999995E-2</c:v>
                </c:pt>
                <c:pt idx="24">
                  <c:v>0.27071099999999998</c:v>
                </c:pt>
                <c:pt idx="25">
                  <c:v>6.0981E-2</c:v>
                </c:pt>
                <c:pt idx="26">
                  <c:v>0.125886</c:v>
                </c:pt>
                <c:pt idx="27">
                  <c:v>0.20580599999999999</c:v>
                </c:pt>
                <c:pt idx="28">
                  <c:v>0.236526666666667</c:v>
                </c:pt>
                <c:pt idx="29">
                  <c:v>0.37920300000000001</c:v>
                </c:pt>
                <c:pt idx="30">
                  <c:v>0.330249666666667</c:v>
                </c:pt>
                <c:pt idx="31">
                  <c:v>5.6654000000000003E-2</c:v>
                </c:pt>
                <c:pt idx="32">
                  <c:v>0.338552666666667</c:v>
                </c:pt>
                <c:pt idx="33">
                  <c:v>0.20150199999999999</c:v>
                </c:pt>
                <c:pt idx="34">
                  <c:v>0.257085333333333</c:v>
                </c:pt>
                <c:pt idx="35">
                  <c:v>0.18479000000000001</c:v>
                </c:pt>
                <c:pt idx="36">
                  <c:v>0.365246666666667</c:v>
                </c:pt>
                <c:pt idx="37">
                  <c:v>0.241629333333333</c:v>
                </c:pt>
                <c:pt idx="38">
                  <c:v>0.152079666666667</c:v>
                </c:pt>
                <c:pt idx="39">
                  <c:v>0.54600199999999999</c:v>
                </c:pt>
                <c:pt idx="40">
                  <c:v>0.32291266666666701</c:v>
                </c:pt>
                <c:pt idx="41">
                  <c:v>4.8000000000000001E-2</c:v>
                </c:pt>
                <c:pt idx="42">
                  <c:v>0.283692</c:v>
                </c:pt>
                <c:pt idx="43">
                  <c:v>4.8000000000000001E-2</c:v>
                </c:pt>
                <c:pt idx="44">
                  <c:v>9.5597000000000001E-2</c:v>
                </c:pt>
                <c:pt idx="45">
                  <c:v>0.236095</c:v>
                </c:pt>
                <c:pt idx="46">
                  <c:v>4.8000000000000001E-2</c:v>
                </c:pt>
                <c:pt idx="47">
                  <c:v>0.23336499999999999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1BE-4970-B620-7A2E89924229}"/>
            </c:ext>
          </c:extLst>
        </c:ser>
        <c:ser>
          <c:idx val="19"/>
          <c:order val="19"/>
          <c:tx>
            <c:v>BES_TR3_one477_A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Demand_kW!$V$2:$V$49</c:f>
              <c:numCache>
                <c:formatCode>#,##0.000</c:formatCode>
                <c:ptCount val="48"/>
                <c:pt idx="0">
                  <c:v>0.14905333333333301</c:v>
                </c:pt>
                <c:pt idx="1">
                  <c:v>0.13905999999999999</c:v>
                </c:pt>
                <c:pt idx="2">
                  <c:v>8.3027999999999894E-2</c:v>
                </c:pt>
                <c:pt idx="3">
                  <c:v>3.4000000000000002E-2</c:v>
                </c:pt>
                <c:pt idx="4">
                  <c:v>0.19107733333333299</c:v>
                </c:pt>
                <c:pt idx="5">
                  <c:v>0.146064</c:v>
                </c:pt>
                <c:pt idx="6">
                  <c:v>3.4000000000000002E-2</c:v>
                </c:pt>
                <c:pt idx="7">
                  <c:v>0.18808800000000001</c:v>
                </c:pt>
                <c:pt idx="8">
                  <c:v>0.103032</c:v>
                </c:pt>
                <c:pt idx="9">
                  <c:v>8.0021333333333305E-2</c:v>
                </c:pt>
                <c:pt idx="10">
                  <c:v>0.18808800000000001</c:v>
                </c:pt>
                <c:pt idx="11">
                  <c:v>0.14905333333333301</c:v>
                </c:pt>
                <c:pt idx="12">
                  <c:v>9.7035999999999997E-2</c:v>
                </c:pt>
                <c:pt idx="13">
                  <c:v>0.125052</c:v>
                </c:pt>
                <c:pt idx="14">
                  <c:v>0.299422666666667</c:v>
                </c:pt>
                <c:pt idx="15">
                  <c:v>0.47372266666666701</c:v>
                </c:pt>
                <c:pt idx="16">
                  <c:v>0.23829666666666699</c:v>
                </c:pt>
                <c:pt idx="17">
                  <c:v>0.59744833333333403</c:v>
                </c:pt>
                <c:pt idx="18">
                  <c:v>4.1003999999999999E-2</c:v>
                </c:pt>
                <c:pt idx="19">
                  <c:v>7.4268666666666705E-2</c:v>
                </c:pt>
                <c:pt idx="20">
                  <c:v>0.20684066666666701</c:v>
                </c:pt>
                <c:pt idx="21">
                  <c:v>9.0031999999999904E-2</c:v>
                </c:pt>
                <c:pt idx="22">
                  <c:v>6.0764666666666703E-2</c:v>
                </c:pt>
                <c:pt idx="23">
                  <c:v>0.27637666666666699</c:v>
                </c:pt>
                <c:pt idx="24">
                  <c:v>3.4000000000000002E-2</c:v>
                </c:pt>
                <c:pt idx="25">
                  <c:v>0.14905333333333301</c:v>
                </c:pt>
                <c:pt idx="26">
                  <c:v>0.17058000000000001</c:v>
                </c:pt>
                <c:pt idx="27">
                  <c:v>0.53755133333333305</c:v>
                </c:pt>
                <c:pt idx="28">
                  <c:v>0.45659333333333302</c:v>
                </c:pt>
                <c:pt idx="29">
                  <c:v>0.349144333333333</c:v>
                </c:pt>
                <c:pt idx="30">
                  <c:v>0.36228300000000002</c:v>
                </c:pt>
                <c:pt idx="31">
                  <c:v>0.35899799999999998</c:v>
                </c:pt>
                <c:pt idx="32">
                  <c:v>0.43368400000000001</c:v>
                </c:pt>
                <c:pt idx="33">
                  <c:v>0.18781666666666699</c:v>
                </c:pt>
                <c:pt idx="34">
                  <c:v>0.88195800000000002</c:v>
                </c:pt>
                <c:pt idx="35">
                  <c:v>1.9298613333333301</c:v>
                </c:pt>
                <c:pt idx="36">
                  <c:v>0.46142366666666601</c:v>
                </c:pt>
                <c:pt idx="37">
                  <c:v>0.23410566666666699</c:v>
                </c:pt>
                <c:pt idx="38">
                  <c:v>1.17702533333333</c:v>
                </c:pt>
                <c:pt idx="39">
                  <c:v>0.76081833333333304</c:v>
                </c:pt>
                <c:pt idx="40">
                  <c:v>0.68087966666666699</c:v>
                </c:pt>
                <c:pt idx="41">
                  <c:v>0.77679200000000004</c:v>
                </c:pt>
                <c:pt idx="42">
                  <c:v>0.98045599999999999</c:v>
                </c:pt>
                <c:pt idx="43">
                  <c:v>0.70123866666666701</c:v>
                </c:pt>
                <c:pt idx="44">
                  <c:v>0.76027666666666605</c:v>
                </c:pt>
                <c:pt idx="45">
                  <c:v>0.89271033333333405</c:v>
                </c:pt>
                <c:pt idx="46">
                  <c:v>0.98620533333333305</c:v>
                </c:pt>
                <c:pt idx="47">
                  <c:v>0.67667100000000002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1BE-4970-B620-7A2E89924229}"/>
            </c:ext>
          </c:extLst>
        </c:ser>
        <c:ser>
          <c:idx val="20"/>
          <c:order val="20"/>
          <c:tx>
            <c:v>BES_TR3_one480_A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Demand_kW!$W$2:$W$49</c:f>
              <c:numCache>
                <c:formatCode>#,##0.000</c:formatCode>
                <c:ptCount val="48"/>
                <c:pt idx="0">
                  <c:v>0.14990666666666699</c:v>
                </c:pt>
                <c:pt idx="1">
                  <c:v>0.05</c:v>
                </c:pt>
                <c:pt idx="2">
                  <c:v>0.05</c:v>
                </c:pt>
                <c:pt idx="3">
                  <c:v>0.104948666666667</c:v>
                </c:pt>
                <c:pt idx="4">
                  <c:v>9.4957999999999904E-2</c:v>
                </c:pt>
                <c:pt idx="5">
                  <c:v>0.05</c:v>
                </c:pt>
                <c:pt idx="6">
                  <c:v>0.13492066666666699</c:v>
                </c:pt>
                <c:pt idx="7">
                  <c:v>6.4986000000000002E-2</c:v>
                </c:pt>
                <c:pt idx="8">
                  <c:v>0.05</c:v>
                </c:pt>
                <c:pt idx="9">
                  <c:v>0.05</c:v>
                </c:pt>
                <c:pt idx="10">
                  <c:v>5.4995333333333403E-2</c:v>
                </c:pt>
                <c:pt idx="11">
                  <c:v>0.144911333333333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6.1573999999999997E-2</c:v>
                </c:pt>
                <c:pt idx="16">
                  <c:v>8.6751866666666705E-2</c:v>
                </c:pt>
                <c:pt idx="17">
                  <c:v>0.109555</c:v>
                </c:pt>
                <c:pt idx="18">
                  <c:v>0.15950900000000001</c:v>
                </c:pt>
                <c:pt idx="19">
                  <c:v>6.36385333333334E-2</c:v>
                </c:pt>
                <c:pt idx="20">
                  <c:v>0.14990666666666699</c:v>
                </c:pt>
                <c:pt idx="21">
                  <c:v>0.05</c:v>
                </c:pt>
                <c:pt idx="22">
                  <c:v>0.14990666666666699</c:v>
                </c:pt>
                <c:pt idx="23">
                  <c:v>0.05</c:v>
                </c:pt>
                <c:pt idx="24">
                  <c:v>9.4958000000000001E-2</c:v>
                </c:pt>
                <c:pt idx="25">
                  <c:v>0.104948666666667</c:v>
                </c:pt>
                <c:pt idx="26">
                  <c:v>0.05</c:v>
                </c:pt>
                <c:pt idx="27">
                  <c:v>0.199063666666667</c:v>
                </c:pt>
                <c:pt idx="28">
                  <c:v>0.125028</c:v>
                </c:pt>
                <c:pt idx="29">
                  <c:v>0.22592300000000001</c:v>
                </c:pt>
                <c:pt idx="30">
                  <c:v>0.32796720000000001</c:v>
                </c:pt>
                <c:pt idx="31">
                  <c:v>0.15933086666666699</c:v>
                </c:pt>
                <c:pt idx="32">
                  <c:v>0.210687333333333</c:v>
                </c:pt>
                <c:pt idx="33">
                  <c:v>0.27456293333333298</c:v>
                </c:pt>
                <c:pt idx="34">
                  <c:v>0.15885913333333301</c:v>
                </c:pt>
                <c:pt idx="35">
                  <c:v>0.13651160000000001</c:v>
                </c:pt>
                <c:pt idx="36">
                  <c:v>0.19034733333333301</c:v>
                </c:pt>
                <c:pt idx="37">
                  <c:v>0.274892566666667</c:v>
                </c:pt>
                <c:pt idx="38">
                  <c:v>0.23071</c:v>
                </c:pt>
                <c:pt idx="39">
                  <c:v>1.6831199999999999</c:v>
                </c:pt>
                <c:pt idx="40">
                  <c:v>0.29093933333333299</c:v>
                </c:pt>
                <c:pt idx="41">
                  <c:v>0.30660066666666702</c:v>
                </c:pt>
                <c:pt idx="42">
                  <c:v>0.28217666666666702</c:v>
                </c:pt>
                <c:pt idx="43">
                  <c:v>0.37044700000000003</c:v>
                </c:pt>
                <c:pt idx="44">
                  <c:v>0.30818333333333298</c:v>
                </c:pt>
                <c:pt idx="45">
                  <c:v>0.94883399999999996</c:v>
                </c:pt>
                <c:pt idx="46">
                  <c:v>0.816757333333333</c:v>
                </c:pt>
                <c:pt idx="47">
                  <c:v>0.23891733333333301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1BE-4970-B620-7A2E89924229}"/>
            </c:ext>
          </c:extLst>
        </c:ser>
        <c:ser>
          <c:idx val="21"/>
          <c:order val="21"/>
          <c:tx>
            <c:v>BES_TR3_one482_B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Demand_kW!$X$2:$X$49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5.2999999999999999E-2</c:v>
                </c:pt>
                <c:pt idx="2">
                  <c:v>0.160594666666667</c:v>
                </c:pt>
                <c:pt idx="3">
                  <c:v>5.2999999999999999E-2</c:v>
                </c:pt>
                <c:pt idx="4">
                  <c:v>0.14522399999999999</c:v>
                </c:pt>
                <c:pt idx="5">
                  <c:v>6.8370666666666594E-2</c:v>
                </c:pt>
                <c:pt idx="6">
                  <c:v>5.2999999999999999E-2</c:v>
                </c:pt>
                <c:pt idx="7">
                  <c:v>0.15290933333333301</c:v>
                </c:pt>
                <c:pt idx="8">
                  <c:v>6.0685333333333299E-2</c:v>
                </c:pt>
                <c:pt idx="9">
                  <c:v>5.2999999999999999E-2</c:v>
                </c:pt>
                <c:pt idx="10">
                  <c:v>0.160594666666667</c:v>
                </c:pt>
                <c:pt idx="11">
                  <c:v>5.2999999999999999E-2</c:v>
                </c:pt>
                <c:pt idx="12">
                  <c:v>9.9112000000000006E-2</c:v>
                </c:pt>
                <c:pt idx="13">
                  <c:v>0.114482666666667</c:v>
                </c:pt>
                <c:pt idx="14">
                  <c:v>5.2999999999999999E-2</c:v>
                </c:pt>
                <c:pt idx="15">
                  <c:v>0.160594666666667</c:v>
                </c:pt>
                <c:pt idx="16">
                  <c:v>5.2999999999999999E-2</c:v>
                </c:pt>
                <c:pt idx="17">
                  <c:v>5.3747866666666699E-2</c:v>
                </c:pt>
                <c:pt idx="18">
                  <c:v>0.163400666666667</c:v>
                </c:pt>
                <c:pt idx="19">
                  <c:v>0.23016</c:v>
                </c:pt>
                <c:pt idx="20">
                  <c:v>0.30626320000000001</c:v>
                </c:pt>
                <c:pt idx="21">
                  <c:v>0.17361436666666699</c:v>
                </c:pt>
                <c:pt idx="22">
                  <c:v>0.56290770000000001</c:v>
                </c:pt>
                <c:pt idx="23">
                  <c:v>0.9979017</c:v>
                </c:pt>
                <c:pt idx="24">
                  <c:v>6.7516433333333306E-2</c:v>
                </c:pt>
                <c:pt idx="25">
                  <c:v>0.105738833333333</c:v>
                </c:pt>
                <c:pt idx="26">
                  <c:v>0.140716333333333</c:v>
                </c:pt>
                <c:pt idx="27">
                  <c:v>8.7757933333333302E-2</c:v>
                </c:pt>
                <c:pt idx="28">
                  <c:v>0.97199206666666704</c:v>
                </c:pt>
                <c:pt idx="29">
                  <c:v>0.12648533333333301</c:v>
                </c:pt>
                <c:pt idx="30">
                  <c:v>0.14786666666666701</c:v>
                </c:pt>
                <c:pt idx="31">
                  <c:v>7.6055999999999999E-2</c:v>
                </c:pt>
                <c:pt idx="32">
                  <c:v>0.137538666666667</c:v>
                </c:pt>
                <c:pt idx="33">
                  <c:v>5.2999999999999999E-2</c:v>
                </c:pt>
                <c:pt idx="34">
                  <c:v>5.2999999999999999E-2</c:v>
                </c:pt>
                <c:pt idx="35">
                  <c:v>0.187939666666667</c:v>
                </c:pt>
                <c:pt idx="36">
                  <c:v>0.34991646666666698</c:v>
                </c:pt>
                <c:pt idx="37">
                  <c:v>1.12878266666667</c:v>
                </c:pt>
                <c:pt idx="38">
                  <c:v>0.598102666666667</c:v>
                </c:pt>
                <c:pt idx="39">
                  <c:v>0.24016000000000001</c:v>
                </c:pt>
                <c:pt idx="40">
                  <c:v>5.2999999999999999E-2</c:v>
                </c:pt>
                <c:pt idx="41">
                  <c:v>5.2999999999999999E-2</c:v>
                </c:pt>
                <c:pt idx="42">
                  <c:v>0.160594666666667</c:v>
                </c:pt>
                <c:pt idx="43">
                  <c:v>5.2999999999999999E-2</c:v>
                </c:pt>
                <c:pt idx="44">
                  <c:v>0.160594666666667</c:v>
                </c:pt>
                <c:pt idx="45">
                  <c:v>5.2999999999999999E-2</c:v>
                </c:pt>
                <c:pt idx="46">
                  <c:v>6.0685333333333299E-2</c:v>
                </c:pt>
                <c:pt idx="47">
                  <c:v>0.15290933333333301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1BE-4970-B620-7A2E89924229}"/>
            </c:ext>
          </c:extLst>
        </c:ser>
        <c:ser>
          <c:idx val="22"/>
          <c:order val="22"/>
          <c:tx>
            <c:v>BES_TR3_one521_C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Demand_kW!$Y$2:$Y$49</c:f>
              <c:numCache>
                <c:formatCode>#,##0.000</c:formatCode>
                <c:ptCount val="48"/>
                <c:pt idx="0">
                  <c:v>0.147818</c:v>
                </c:pt>
                <c:pt idx="1">
                  <c:v>0.105896</c:v>
                </c:pt>
                <c:pt idx="2">
                  <c:v>0.05</c:v>
                </c:pt>
                <c:pt idx="3">
                  <c:v>0.05</c:v>
                </c:pt>
                <c:pt idx="4">
                  <c:v>0.20371400000000001</c:v>
                </c:pt>
                <c:pt idx="5">
                  <c:v>0.05</c:v>
                </c:pt>
                <c:pt idx="6">
                  <c:v>0.126857</c:v>
                </c:pt>
                <c:pt idx="7">
                  <c:v>0.126857</c:v>
                </c:pt>
                <c:pt idx="8">
                  <c:v>0.05</c:v>
                </c:pt>
                <c:pt idx="9">
                  <c:v>0.20371400000000001</c:v>
                </c:pt>
                <c:pt idx="10">
                  <c:v>0.05</c:v>
                </c:pt>
                <c:pt idx="11">
                  <c:v>0.20371400000000001</c:v>
                </c:pt>
                <c:pt idx="12">
                  <c:v>0.05</c:v>
                </c:pt>
                <c:pt idx="13">
                  <c:v>0.11987</c:v>
                </c:pt>
                <c:pt idx="14">
                  <c:v>0.13384399999999999</c:v>
                </c:pt>
                <c:pt idx="15">
                  <c:v>5.4318666666666703E-2</c:v>
                </c:pt>
                <c:pt idx="16">
                  <c:v>0.24429300000000001</c:v>
                </c:pt>
                <c:pt idx="17">
                  <c:v>0.161378666666667</c:v>
                </c:pt>
                <c:pt idx="18">
                  <c:v>0.22303799999999999</c:v>
                </c:pt>
                <c:pt idx="19">
                  <c:v>0.32085599999999997</c:v>
                </c:pt>
                <c:pt idx="20">
                  <c:v>0.19509000000000001</c:v>
                </c:pt>
                <c:pt idx="21">
                  <c:v>0.338227</c:v>
                </c:pt>
                <c:pt idx="22">
                  <c:v>0.22903100000000001</c:v>
                </c:pt>
                <c:pt idx="23">
                  <c:v>1.36191966666667</c:v>
                </c:pt>
                <c:pt idx="24">
                  <c:v>0.26504733333333302</c:v>
                </c:pt>
                <c:pt idx="25">
                  <c:v>0.151466666666667</c:v>
                </c:pt>
                <c:pt idx="26">
                  <c:v>0.20371400000000001</c:v>
                </c:pt>
                <c:pt idx="27">
                  <c:v>0.05</c:v>
                </c:pt>
                <c:pt idx="28">
                  <c:v>0.146726666666667</c:v>
                </c:pt>
                <c:pt idx="29">
                  <c:v>0.30942766666666699</c:v>
                </c:pt>
                <c:pt idx="30">
                  <c:v>1.25896266666667</c:v>
                </c:pt>
                <c:pt idx="31">
                  <c:v>0.22868933333333399</c:v>
                </c:pt>
                <c:pt idx="32">
                  <c:v>9.8363333333333205E-2</c:v>
                </c:pt>
                <c:pt idx="33">
                  <c:v>0.16771766666666699</c:v>
                </c:pt>
                <c:pt idx="34">
                  <c:v>0.24863499999999999</c:v>
                </c:pt>
                <c:pt idx="35">
                  <c:v>0.16558066666666699</c:v>
                </c:pt>
                <c:pt idx="36">
                  <c:v>0.238145</c:v>
                </c:pt>
                <c:pt idx="37">
                  <c:v>0.14877000000000001</c:v>
                </c:pt>
                <c:pt idx="38">
                  <c:v>0.16197</c:v>
                </c:pt>
                <c:pt idx="39">
                  <c:v>0.35437600000000002</c:v>
                </c:pt>
                <c:pt idx="40">
                  <c:v>1.210159</c:v>
                </c:pt>
                <c:pt idx="41">
                  <c:v>0.235353333333333</c:v>
                </c:pt>
                <c:pt idx="42">
                  <c:v>0.70158200000000004</c:v>
                </c:pt>
                <c:pt idx="43">
                  <c:v>0.44294800000000001</c:v>
                </c:pt>
                <c:pt idx="44">
                  <c:v>0.321126666666667</c:v>
                </c:pt>
                <c:pt idx="45">
                  <c:v>0.19870433333333301</c:v>
                </c:pt>
                <c:pt idx="46">
                  <c:v>0.222275</c:v>
                </c:pt>
                <c:pt idx="47">
                  <c:v>0.572359333333333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1BE-4970-B620-7A2E89924229}"/>
            </c:ext>
          </c:extLst>
        </c:ser>
        <c:ser>
          <c:idx val="23"/>
          <c:order val="23"/>
          <c:tx>
            <c:v>BES_TR3_one528_C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Demand_kW!$Z$2:$Z$49</c:f>
              <c:numCache>
                <c:formatCode>#,##0.000</c:formatCode>
                <c:ptCount val="48"/>
                <c:pt idx="0">
                  <c:v>0.109567333333333</c:v>
                </c:pt>
                <c:pt idx="1">
                  <c:v>5.1982333333333401E-2</c:v>
                </c:pt>
                <c:pt idx="2">
                  <c:v>0.16804966666666701</c:v>
                </c:pt>
                <c:pt idx="3">
                  <c:v>0.11082</c:v>
                </c:pt>
                <c:pt idx="4">
                  <c:v>9.5787999999999998E-2</c:v>
                </c:pt>
                <c:pt idx="5">
                  <c:v>0.13994899999999999</c:v>
                </c:pt>
                <c:pt idx="6">
                  <c:v>9.5115000000000005E-2</c:v>
                </c:pt>
                <c:pt idx="7">
                  <c:v>0.119682</c:v>
                </c:pt>
                <c:pt idx="8">
                  <c:v>4.8000000000000001E-2</c:v>
                </c:pt>
                <c:pt idx="9">
                  <c:v>0.119682</c:v>
                </c:pt>
                <c:pt idx="10">
                  <c:v>0.183081666666667</c:v>
                </c:pt>
                <c:pt idx="11">
                  <c:v>9.9770333333333405E-2</c:v>
                </c:pt>
                <c:pt idx="12">
                  <c:v>0.17386433333333301</c:v>
                </c:pt>
                <c:pt idx="13">
                  <c:v>0.108987666666667</c:v>
                </c:pt>
                <c:pt idx="14">
                  <c:v>4.8000000000000001E-2</c:v>
                </c:pt>
                <c:pt idx="15">
                  <c:v>0.23485200000000001</c:v>
                </c:pt>
                <c:pt idx="16">
                  <c:v>4.8000000000000001E-2</c:v>
                </c:pt>
                <c:pt idx="17">
                  <c:v>0.12129</c:v>
                </c:pt>
                <c:pt idx="18">
                  <c:v>0.16156200000000001</c:v>
                </c:pt>
                <c:pt idx="19">
                  <c:v>4.8000000000000001E-2</c:v>
                </c:pt>
                <c:pt idx="20">
                  <c:v>0.15632699999999999</c:v>
                </c:pt>
                <c:pt idx="21">
                  <c:v>0.126525</c:v>
                </c:pt>
                <c:pt idx="22">
                  <c:v>0.107735</c:v>
                </c:pt>
                <c:pt idx="23">
                  <c:v>0.159412</c:v>
                </c:pt>
                <c:pt idx="24">
                  <c:v>6.3704999999999998E-2</c:v>
                </c:pt>
                <c:pt idx="25">
                  <c:v>0.11605500000000001</c:v>
                </c:pt>
                <c:pt idx="26">
                  <c:v>9.5115000000000005E-2</c:v>
                </c:pt>
                <c:pt idx="27">
                  <c:v>0.11569966666666701</c:v>
                </c:pt>
                <c:pt idx="28">
                  <c:v>0.22340833333333299</c:v>
                </c:pt>
                <c:pt idx="29">
                  <c:v>0.17203199999999999</c:v>
                </c:pt>
                <c:pt idx="30">
                  <c:v>4.8000000000000001E-2</c:v>
                </c:pt>
                <c:pt idx="31">
                  <c:v>0.16317000000000001</c:v>
                </c:pt>
                <c:pt idx="32">
                  <c:v>0.119682</c:v>
                </c:pt>
                <c:pt idx="33">
                  <c:v>0.1527</c:v>
                </c:pt>
                <c:pt idx="34">
                  <c:v>0.32953900000000003</c:v>
                </c:pt>
                <c:pt idx="35">
                  <c:v>0.233863666666667</c:v>
                </c:pt>
                <c:pt idx="36">
                  <c:v>0.45422366666666703</c:v>
                </c:pt>
                <c:pt idx="37">
                  <c:v>0.50802533333333399</c:v>
                </c:pt>
                <c:pt idx="38">
                  <c:v>0.34077033333333301</c:v>
                </c:pt>
                <c:pt idx="39">
                  <c:v>0.54248333333333298</c:v>
                </c:pt>
                <c:pt idx="40">
                  <c:v>0.57852333333333295</c:v>
                </c:pt>
                <c:pt idx="41">
                  <c:v>0.50603666666666702</c:v>
                </c:pt>
                <c:pt idx="42">
                  <c:v>0.13175999999999999</c:v>
                </c:pt>
                <c:pt idx="43">
                  <c:v>7.5876333333333407E-2</c:v>
                </c:pt>
                <c:pt idx="44">
                  <c:v>0.29647566666666703</c:v>
                </c:pt>
                <c:pt idx="45">
                  <c:v>0.34186733333333302</c:v>
                </c:pt>
                <c:pt idx="46">
                  <c:v>0.394164666666667</c:v>
                </c:pt>
                <c:pt idx="47">
                  <c:v>0.17933379999999999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1BE-4970-B620-7A2E89924229}"/>
            </c:ext>
          </c:extLst>
        </c:ser>
        <c:ser>
          <c:idx val="24"/>
          <c:order val="24"/>
          <c:tx>
            <c:v>BES_TR3_one61_A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Demand_kW!$AA$2:$AA$49</c:f>
              <c:numCache>
                <c:formatCode>#,##0.000</c:formatCode>
                <c:ptCount val="48"/>
                <c:pt idx="0">
                  <c:v>8.1002666666666695E-2</c:v>
                </c:pt>
                <c:pt idx="1">
                  <c:v>0.27957399999999999</c:v>
                </c:pt>
                <c:pt idx="2">
                  <c:v>4.9000000000000002E-2</c:v>
                </c:pt>
                <c:pt idx="3">
                  <c:v>0.20263</c:v>
                </c:pt>
                <c:pt idx="4">
                  <c:v>0.15794666666666701</c:v>
                </c:pt>
                <c:pt idx="5">
                  <c:v>4.9000000000000002E-2</c:v>
                </c:pt>
                <c:pt idx="6">
                  <c:v>0.13556199999999999</c:v>
                </c:pt>
                <c:pt idx="7">
                  <c:v>0.20101266666666701</c:v>
                </c:pt>
                <c:pt idx="8">
                  <c:v>7.3001999999999997E-2</c:v>
                </c:pt>
                <c:pt idx="9">
                  <c:v>0.19794999999999999</c:v>
                </c:pt>
                <c:pt idx="10">
                  <c:v>0.162626666666667</c:v>
                </c:pt>
                <c:pt idx="11">
                  <c:v>0.13232733333333299</c:v>
                </c:pt>
                <c:pt idx="12">
                  <c:v>0.228249333333333</c:v>
                </c:pt>
                <c:pt idx="13">
                  <c:v>4.9000000000000002E-2</c:v>
                </c:pt>
                <c:pt idx="14">
                  <c:v>0.225014666666667</c:v>
                </c:pt>
                <c:pt idx="15">
                  <c:v>4.9000000000000002E-2</c:v>
                </c:pt>
                <c:pt idx="16">
                  <c:v>4.9000000000000002E-2</c:v>
                </c:pt>
                <c:pt idx="17">
                  <c:v>0.228335333333333</c:v>
                </c:pt>
                <c:pt idx="18">
                  <c:v>0.13224133333333299</c:v>
                </c:pt>
                <c:pt idx="19">
                  <c:v>4.9000000000000002E-2</c:v>
                </c:pt>
                <c:pt idx="20">
                  <c:v>0.125944</c:v>
                </c:pt>
                <c:pt idx="21">
                  <c:v>0.23463266666666699</c:v>
                </c:pt>
                <c:pt idx="22">
                  <c:v>4.9000000000000002E-2</c:v>
                </c:pt>
                <c:pt idx="23">
                  <c:v>0.24914566666666699</c:v>
                </c:pt>
                <c:pt idx="24">
                  <c:v>0.111431</c:v>
                </c:pt>
                <c:pt idx="25">
                  <c:v>0.16271266666666701</c:v>
                </c:pt>
                <c:pt idx="26">
                  <c:v>0.19786400000000001</c:v>
                </c:pt>
                <c:pt idx="27">
                  <c:v>4.9000000000000002E-2</c:v>
                </c:pt>
                <c:pt idx="28">
                  <c:v>0.277913666666667</c:v>
                </c:pt>
                <c:pt idx="29">
                  <c:v>8.2663E-2</c:v>
                </c:pt>
                <c:pt idx="30">
                  <c:v>0.13075300000000001</c:v>
                </c:pt>
                <c:pt idx="31">
                  <c:v>0.22982366666666701</c:v>
                </c:pt>
                <c:pt idx="32">
                  <c:v>4.9000000000000002E-2</c:v>
                </c:pt>
                <c:pt idx="33">
                  <c:v>4.9000000000000002E-2</c:v>
                </c:pt>
                <c:pt idx="34">
                  <c:v>0.13075300000000001</c:v>
                </c:pt>
                <c:pt idx="35">
                  <c:v>0.22982366666666701</c:v>
                </c:pt>
                <c:pt idx="36">
                  <c:v>0.152099333333333</c:v>
                </c:pt>
                <c:pt idx="37">
                  <c:v>0.209013333333333</c:v>
                </c:pt>
                <c:pt idx="38">
                  <c:v>6.50013333333333E-2</c:v>
                </c:pt>
                <c:pt idx="39">
                  <c:v>9.0620666666666697E-2</c:v>
                </c:pt>
                <c:pt idx="40">
                  <c:v>0.26995599999999997</c:v>
                </c:pt>
                <c:pt idx="41">
                  <c:v>4.9000000000000002E-2</c:v>
                </c:pt>
                <c:pt idx="42">
                  <c:v>0.311576666666667</c:v>
                </c:pt>
                <c:pt idx="43">
                  <c:v>4.9000000000000002E-2</c:v>
                </c:pt>
                <c:pt idx="44">
                  <c:v>0.17701066666666701</c:v>
                </c:pt>
                <c:pt idx="45">
                  <c:v>9.7004000000000007E-2</c:v>
                </c:pt>
                <c:pt idx="46">
                  <c:v>8.1002666666666695E-2</c:v>
                </c:pt>
                <c:pt idx="47">
                  <c:v>0.19301199999999999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1BE-4970-B620-7A2E89924229}"/>
            </c:ext>
          </c:extLst>
        </c:ser>
        <c:ser>
          <c:idx val="25"/>
          <c:order val="25"/>
          <c:tx>
            <c:v>BES_TR3_one544_A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Demand_kW!$AB$2:$AB$49</c:f>
              <c:numCache>
                <c:formatCode>#,##0.000</c:formatCode>
                <c:ptCount val="48"/>
                <c:pt idx="0">
                  <c:v>0.33479833333333298</c:v>
                </c:pt>
                <c:pt idx="1">
                  <c:v>1.29862266666667</c:v>
                </c:pt>
                <c:pt idx="2">
                  <c:v>0.42435666666666699</c:v>
                </c:pt>
                <c:pt idx="3">
                  <c:v>0.10761999999999999</c:v>
                </c:pt>
                <c:pt idx="4">
                  <c:v>0.12892833333333301</c:v>
                </c:pt>
                <c:pt idx="5">
                  <c:v>0.19354833333333299</c:v>
                </c:pt>
                <c:pt idx="6">
                  <c:v>4.2999999999999997E-2</c:v>
                </c:pt>
                <c:pt idx="7">
                  <c:v>0.18361</c:v>
                </c:pt>
                <c:pt idx="8">
                  <c:v>0.12091666666666701</c:v>
                </c:pt>
                <c:pt idx="9">
                  <c:v>6.8761666666666596E-2</c:v>
                </c:pt>
                <c:pt idx="10">
                  <c:v>0.20704500000000001</c:v>
                </c:pt>
                <c:pt idx="11">
                  <c:v>0.10761999999999999</c:v>
                </c:pt>
                <c:pt idx="12">
                  <c:v>0.214856666666667</c:v>
                </c:pt>
                <c:pt idx="13">
                  <c:v>4.2999999999999997E-2</c:v>
                </c:pt>
                <c:pt idx="14">
                  <c:v>0.10736</c:v>
                </c:pt>
                <c:pt idx="15">
                  <c:v>0.33600466666666701</c:v>
                </c:pt>
                <c:pt idx="16">
                  <c:v>0.13311066666666699</c:v>
                </c:pt>
                <c:pt idx="17">
                  <c:v>0.33421766666666702</c:v>
                </c:pt>
                <c:pt idx="18">
                  <c:v>0.21442166666666701</c:v>
                </c:pt>
                <c:pt idx="19">
                  <c:v>0.13258200000000001</c:v>
                </c:pt>
                <c:pt idx="20">
                  <c:v>0.10761999999999999</c:v>
                </c:pt>
                <c:pt idx="21">
                  <c:v>0.10549333333333299</c:v>
                </c:pt>
                <c:pt idx="22">
                  <c:v>0.155953333333333</c:v>
                </c:pt>
                <c:pt idx="23">
                  <c:v>0.1159256</c:v>
                </c:pt>
                <c:pt idx="24">
                  <c:v>0.40962166666666699</c:v>
                </c:pt>
                <c:pt idx="25">
                  <c:v>0.14707000000000001</c:v>
                </c:pt>
                <c:pt idx="26">
                  <c:v>5.969E-2</c:v>
                </c:pt>
                <c:pt idx="27">
                  <c:v>0.19700000000000001</c:v>
                </c:pt>
                <c:pt idx="28">
                  <c:v>0.20851466666666699</c:v>
                </c:pt>
                <c:pt idx="29">
                  <c:v>0.27273433333333302</c:v>
                </c:pt>
                <c:pt idx="30">
                  <c:v>8.2058333333333303E-2</c:v>
                </c:pt>
                <c:pt idx="31">
                  <c:v>0.10761999999999999</c:v>
                </c:pt>
                <c:pt idx="32">
                  <c:v>0.121116666666667</c:v>
                </c:pt>
                <c:pt idx="33">
                  <c:v>0.13674</c:v>
                </c:pt>
                <c:pt idx="34">
                  <c:v>0.10761999999999999</c:v>
                </c:pt>
                <c:pt idx="35">
                  <c:v>0.214856666666667</c:v>
                </c:pt>
                <c:pt idx="36">
                  <c:v>5.7360000000000001E-2</c:v>
                </c:pt>
                <c:pt idx="37">
                  <c:v>0.265116666666667</c:v>
                </c:pt>
                <c:pt idx="38">
                  <c:v>0.10154666666666699</c:v>
                </c:pt>
                <c:pt idx="39">
                  <c:v>0.31814166666666699</c:v>
                </c:pt>
                <c:pt idx="40">
                  <c:v>0.50593366666666695</c:v>
                </c:pt>
                <c:pt idx="41">
                  <c:v>0.42986999999999997</c:v>
                </c:pt>
                <c:pt idx="42">
                  <c:v>0.48754966666666699</c:v>
                </c:pt>
                <c:pt idx="43">
                  <c:v>0.32070700000000002</c:v>
                </c:pt>
                <c:pt idx="44">
                  <c:v>0.63209666666666597</c:v>
                </c:pt>
                <c:pt idx="45">
                  <c:v>0.45023999999999997</c:v>
                </c:pt>
                <c:pt idx="46">
                  <c:v>0.462835</c:v>
                </c:pt>
                <c:pt idx="47">
                  <c:v>0.283335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1BE-4970-B620-7A2E89924229}"/>
            </c:ext>
          </c:extLst>
        </c:ser>
        <c:ser>
          <c:idx val="26"/>
          <c:order val="26"/>
          <c:tx>
            <c:v>BES_TR3_one552_B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Demand_kW!$AC$2:$AC$49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5.3999999999999999E-2</c:v>
                </c:pt>
                <c:pt idx="2">
                  <c:v>0.22922999999999999</c:v>
                </c:pt>
                <c:pt idx="3">
                  <c:v>5.3999999999999999E-2</c:v>
                </c:pt>
                <c:pt idx="4">
                  <c:v>0.20533499999999999</c:v>
                </c:pt>
                <c:pt idx="5">
                  <c:v>7.7895000000000006E-2</c:v>
                </c:pt>
                <c:pt idx="6">
                  <c:v>5.3999999999999999E-2</c:v>
                </c:pt>
                <c:pt idx="7">
                  <c:v>0.22922999999999999</c:v>
                </c:pt>
                <c:pt idx="8">
                  <c:v>5.3999999999999999E-2</c:v>
                </c:pt>
                <c:pt idx="9">
                  <c:v>0.17347499999999999</c:v>
                </c:pt>
                <c:pt idx="10">
                  <c:v>0.10975500000000001</c:v>
                </c:pt>
                <c:pt idx="11">
                  <c:v>5.3999999999999999E-2</c:v>
                </c:pt>
                <c:pt idx="12">
                  <c:v>0.22922999999999999</c:v>
                </c:pt>
                <c:pt idx="13">
                  <c:v>5.3999999999999999E-2</c:v>
                </c:pt>
                <c:pt idx="14">
                  <c:v>0.25561</c:v>
                </c:pt>
                <c:pt idx="15">
                  <c:v>0.342042333333334</c:v>
                </c:pt>
                <c:pt idx="16">
                  <c:v>0.21530533333333399</c:v>
                </c:pt>
                <c:pt idx="17">
                  <c:v>0.33096066666666701</c:v>
                </c:pt>
                <c:pt idx="18">
                  <c:v>0.29249399999999998</c:v>
                </c:pt>
                <c:pt idx="19">
                  <c:v>0.24249999999999999</c:v>
                </c:pt>
                <c:pt idx="20">
                  <c:v>0.398482</c:v>
                </c:pt>
                <c:pt idx="21">
                  <c:v>0.111744</c:v>
                </c:pt>
                <c:pt idx="22">
                  <c:v>0.16673650000000001</c:v>
                </c:pt>
                <c:pt idx="23">
                  <c:v>0.168641966666667</c:v>
                </c:pt>
                <c:pt idx="24">
                  <c:v>5.3999999999999999E-2</c:v>
                </c:pt>
                <c:pt idx="25">
                  <c:v>0.14161499999999999</c:v>
                </c:pt>
                <c:pt idx="26">
                  <c:v>0.14161499999999999</c:v>
                </c:pt>
                <c:pt idx="27">
                  <c:v>5.7513666666666699E-2</c:v>
                </c:pt>
                <c:pt idx="28">
                  <c:v>0.18940499999999999</c:v>
                </c:pt>
                <c:pt idx="29">
                  <c:v>9.3824999999999895E-2</c:v>
                </c:pt>
                <c:pt idx="30">
                  <c:v>9.4878633333333406E-2</c:v>
                </c:pt>
                <c:pt idx="31">
                  <c:v>0.30187266666666701</c:v>
                </c:pt>
                <c:pt idx="32">
                  <c:v>0.14702999999999999</c:v>
                </c:pt>
                <c:pt idx="33">
                  <c:v>0.29803800000000003</c:v>
                </c:pt>
                <c:pt idx="34">
                  <c:v>0.14042399999999999</c:v>
                </c:pt>
                <c:pt idx="35">
                  <c:v>0.1370305</c:v>
                </c:pt>
                <c:pt idx="36">
                  <c:v>0.29537886666666702</c:v>
                </c:pt>
                <c:pt idx="37">
                  <c:v>0.1160133</c:v>
                </c:pt>
                <c:pt idx="38">
                  <c:v>0.33848133333333302</c:v>
                </c:pt>
                <c:pt idx="39">
                  <c:v>0.35653166666666702</c:v>
                </c:pt>
                <c:pt idx="40">
                  <c:v>0.39899633333333301</c:v>
                </c:pt>
                <c:pt idx="41">
                  <c:v>0.582395</c:v>
                </c:pt>
                <c:pt idx="42">
                  <c:v>0.63959633333333299</c:v>
                </c:pt>
                <c:pt idx="43">
                  <c:v>0.53973733333333296</c:v>
                </c:pt>
                <c:pt idx="44">
                  <c:v>0.61287999999999998</c:v>
                </c:pt>
                <c:pt idx="45">
                  <c:v>0.39746399999999998</c:v>
                </c:pt>
                <c:pt idx="46">
                  <c:v>0.42857166666666602</c:v>
                </c:pt>
                <c:pt idx="47">
                  <c:v>9.3824999999999895E-2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1BE-4970-B620-7A2E89924229}"/>
            </c:ext>
          </c:extLst>
        </c:ser>
        <c:ser>
          <c:idx val="27"/>
          <c:order val="27"/>
          <c:tx>
            <c:v>BES_TR3_one559_C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Demand_kW!$AD$2:$AD$49</c:f>
              <c:numCache>
                <c:formatCode>#,##0.000</c:formatCode>
                <c:ptCount val="48"/>
                <c:pt idx="0">
                  <c:v>0.06</c:v>
                </c:pt>
                <c:pt idx="1">
                  <c:v>0.242765333333333</c:v>
                </c:pt>
                <c:pt idx="2">
                  <c:v>0.152036</c:v>
                </c:pt>
                <c:pt idx="3">
                  <c:v>0.190173333333333</c:v>
                </c:pt>
                <c:pt idx="4">
                  <c:v>0.18490599999999999</c:v>
                </c:pt>
                <c:pt idx="5">
                  <c:v>0.20989533333333299</c:v>
                </c:pt>
                <c:pt idx="6">
                  <c:v>0.06</c:v>
                </c:pt>
                <c:pt idx="7">
                  <c:v>0.33480133333333301</c:v>
                </c:pt>
                <c:pt idx="8">
                  <c:v>0.06</c:v>
                </c:pt>
                <c:pt idx="9">
                  <c:v>0.190434666666667</c:v>
                </c:pt>
                <c:pt idx="10">
                  <c:v>0.204366666666667</c:v>
                </c:pt>
                <c:pt idx="11">
                  <c:v>0.06</c:v>
                </c:pt>
                <c:pt idx="12">
                  <c:v>0.33480133333333301</c:v>
                </c:pt>
                <c:pt idx="13">
                  <c:v>0.06</c:v>
                </c:pt>
                <c:pt idx="14">
                  <c:v>0.288914</c:v>
                </c:pt>
                <c:pt idx="15">
                  <c:v>0.105887333333333</c:v>
                </c:pt>
                <c:pt idx="16">
                  <c:v>0.13862666666666701</c:v>
                </c:pt>
                <c:pt idx="17">
                  <c:v>0.256174666666666</c:v>
                </c:pt>
                <c:pt idx="18">
                  <c:v>0.06</c:v>
                </c:pt>
                <c:pt idx="19">
                  <c:v>8.6296000000000095E-2</c:v>
                </c:pt>
                <c:pt idx="20">
                  <c:v>0.27596199999999999</c:v>
                </c:pt>
                <c:pt idx="21">
                  <c:v>9.2543333333333394E-2</c:v>
                </c:pt>
                <c:pt idx="22">
                  <c:v>0.152036</c:v>
                </c:pt>
                <c:pt idx="23">
                  <c:v>0.112592</c:v>
                </c:pt>
                <c:pt idx="24">
                  <c:v>0.06</c:v>
                </c:pt>
                <c:pt idx="25">
                  <c:v>0.204628</c:v>
                </c:pt>
                <c:pt idx="26">
                  <c:v>0.190173333333333</c:v>
                </c:pt>
                <c:pt idx="27">
                  <c:v>0.41710066666666701</c:v>
                </c:pt>
                <c:pt idx="28">
                  <c:v>0.20761333333333301</c:v>
                </c:pt>
                <c:pt idx="29">
                  <c:v>0.23980626666666699</c:v>
                </c:pt>
                <c:pt idx="30">
                  <c:v>0.12573999999999999</c:v>
                </c:pt>
                <c:pt idx="31">
                  <c:v>0.118578</c:v>
                </c:pt>
                <c:pt idx="32">
                  <c:v>0.19076133333333301</c:v>
                </c:pt>
                <c:pt idx="33">
                  <c:v>0.17800533333333299</c:v>
                </c:pt>
                <c:pt idx="34">
                  <c:v>0.17735200000000001</c:v>
                </c:pt>
                <c:pt idx="35">
                  <c:v>0.29631400000000002</c:v>
                </c:pt>
                <c:pt idx="36">
                  <c:v>0.35152499999999998</c:v>
                </c:pt>
                <c:pt idx="37">
                  <c:v>0.20094566666666699</c:v>
                </c:pt>
                <c:pt idx="38">
                  <c:v>0.649399333333333</c:v>
                </c:pt>
                <c:pt idx="39">
                  <c:v>0.66871233333333302</c:v>
                </c:pt>
                <c:pt idx="40">
                  <c:v>1.3503369999999999</c:v>
                </c:pt>
                <c:pt idx="41">
                  <c:v>1.33823133333333</c:v>
                </c:pt>
                <c:pt idx="42">
                  <c:v>0.79736700000000005</c:v>
                </c:pt>
                <c:pt idx="43">
                  <c:v>1.001625</c:v>
                </c:pt>
                <c:pt idx="44">
                  <c:v>1.30094</c:v>
                </c:pt>
                <c:pt idx="45">
                  <c:v>1.022313</c:v>
                </c:pt>
                <c:pt idx="46">
                  <c:v>0.87497366666666698</c:v>
                </c:pt>
                <c:pt idx="47">
                  <c:v>0.52163599999999999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1BE-4970-B620-7A2E89924229}"/>
            </c:ext>
          </c:extLst>
        </c:ser>
        <c:ser>
          <c:idx val="28"/>
          <c:order val="28"/>
          <c:tx>
            <c:v>BES_TR3_one570_B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Demand_kW!$AE$2:$AE$49</c:f>
              <c:numCache>
                <c:formatCode>#,##0.000</c:formatCode>
                <c:ptCount val="48"/>
                <c:pt idx="0">
                  <c:v>4.1000000000000002E-2</c:v>
                </c:pt>
                <c:pt idx="1">
                  <c:v>0.111968</c:v>
                </c:pt>
                <c:pt idx="2">
                  <c:v>4.1000000000000002E-2</c:v>
                </c:pt>
                <c:pt idx="3">
                  <c:v>0.111968</c:v>
                </c:pt>
                <c:pt idx="4">
                  <c:v>4.1000000000000002E-2</c:v>
                </c:pt>
                <c:pt idx="5">
                  <c:v>0.111968</c:v>
                </c:pt>
                <c:pt idx="6">
                  <c:v>4.1000000000000002E-2</c:v>
                </c:pt>
                <c:pt idx="7">
                  <c:v>4.1000000000000002E-2</c:v>
                </c:pt>
                <c:pt idx="8">
                  <c:v>4.1000000000000002E-2</c:v>
                </c:pt>
                <c:pt idx="9">
                  <c:v>4.1000000000000002E-2</c:v>
                </c:pt>
                <c:pt idx="10">
                  <c:v>8.0426666666666702E-2</c:v>
                </c:pt>
                <c:pt idx="11">
                  <c:v>7.2541333333333305E-2</c:v>
                </c:pt>
                <c:pt idx="12">
                  <c:v>1.3922666666666701</c:v>
                </c:pt>
                <c:pt idx="13">
                  <c:v>0.28976000000000002</c:v>
                </c:pt>
                <c:pt idx="14">
                  <c:v>4.8333333333333298E-2</c:v>
                </c:pt>
                <c:pt idx="15">
                  <c:v>9.2254666666666693E-2</c:v>
                </c:pt>
                <c:pt idx="16">
                  <c:v>6.4780000000000004E-2</c:v>
                </c:pt>
                <c:pt idx="17">
                  <c:v>4.1000000000000002E-2</c:v>
                </c:pt>
                <c:pt idx="18">
                  <c:v>0.111968</c:v>
                </c:pt>
                <c:pt idx="19">
                  <c:v>4.1000000000000002E-2</c:v>
                </c:pt>
                <c:pt idx="20">
                  <c:v>4.1000000000000002E-2</c:v>
                </c:pt>
                <c:pt idx="21">
                  <c:v>0.111968</c:v>
                </c:pt>
                <c:pt idx="22">
                  <c:v>4.1000000000000002E-2</c:v>
                </c:pt>
                <c:pt idx="23">
                  <c:v>4.1000000000000002E-2</c:v>
                </c:pt>
                <c:pt idx="24">
                  <c:v>4.2000000000000003E-2</c:v>
                </c:pt>
                <c:pt idx="25">
                  <c:v>0.103356</c:v>
                </c:pt>
                <c:pt idx="26">
                  <c:v>0.21100666666666701</c:v>
                </c:pt>
                <c:pt idx="27">
                  <c:v>0.36423933333333303</c:v>
                </c:pt>
                <c:pt idx="28">
                  <c:v>0.24274799999999999</c:v>
                </c:pt>
                <c:pt idx="29">
                  <c:v>0.34845999999999999</c:v>
                </c:pt>
                <c:pt idx="30">
                  <c:v>0.26457399999999998</c:v>
                </c:pt>
                <c:pt idx="31">
                  <c:v>0.39243033333333299</c:v>
                </c:pt>
                <c:pt idx="32">
                  <c:v>0.41831766666666698</c:v>
                </c:pt>
                <c:pt idx="33">
                  <c:v>0.21810633333333301</c:v>
                </c:pt>
                <c:pt idx="34">
                  <c:v>0.27881266666666699</c:v>
                </c:pt>
                <c:pt idx="35">
                  <c:v>0.39011933333333398</c:v>
                </c:pt>
                <c:pt idx="36">
                  <c:v>1.32745133333333</c:v>
                </c:pt>
                <c:pt idx="37">
                  <c:v>1.84345433333333</c:v>
                </c:pt>
                <c:pt idx="38">
                  <c:v>0.73104133333333299</c:v>
                </c:pt>
                <c:pt idx="39">
                  <c:v>0.25256733333333298</c:v>
                </c:pt>
                <c:pt idx="40">
                  <c:v>0.37986566666666699</c:v>
                </c:pt>
                <c:pt idx="41">
                  <c:v>0.36996400000000002</c:v>
                </c:pt>
                <c:pt idx="42">
                  <c:v>0.32205266666666699</c:v>
                </c:pt>
                <c:pt idx="43">
                  <c:v>0.36141766666666703</c:v>
                </c:pt>
                <c:pt idx="44">
                  <c:v>0.193619333333333</c:v>
                </c:pt>
                <c:pt idx="45">
                  <c:v>4.1000000000000002E-2</c:v>
                </c:pt>
                <c:pt idx="46">
                  <c:v>0.111968</c:v>
                </c:pt>
                <c:pt idx="47">
                  <c:v>4.1000000000000002E-2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1BE-4970-B620-7A2E89924229}"/>
            </c:ext>
          </c:extLst>
        </c:ser>
        <c:ser>
          <c:idx val="29"/>
          <c:order val="29"/>
          <c:tx>
            <c:v>BES_TR3_one605_A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Demand_kW!$AF$2:$AF$49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5.5153333333333297E-2</c:v>
                </c:pt>
                <c:pt idx="12">
                  <c:v>0.128</c:v>
                </c:pt>
                <c:pt idx="13">
                  <c:v>0.17998546666666701</c:v>
                </c:pt>
                <c:pt idx="14">
                  <c:v>0.139856333333333</c:v>
                </c:pt>
                <c:pt idx="15">
                  <c:v>0.20180880000000001</c:v>
                </c:pt>
                <c:pt idx="16">
                  <c:v>0.15921306666666701</c:v>
                </c:pt>
                <c:pt idx="17">
                  <c:v>5.2999999999999999E-2</c:v>
                </c:pt>
                <c:pt idx="18">
                  <c:v>0.14954266666666699</c:v>
                </c:pt>
                <c:pt idx="19">
                  <c:v>0.236179</c:v>
                </c:pt>
                <c:pt idx="20">
                  <c:v>0.17114133333333301</c:v>
                </c:pt>
                <c:pt idx="21">
                  <c:v>9.2999999999999999E-2</c:v>
                </c:pt>
                <c:pt idx="22">
                  <c:v>1.3663000000000001</c:v>
                </c:pt>
                <c:pt idx="23">
                  <c:v>0.178536</c:v>
                </c:pt>
                <c:pt idx="24">
                  <c:v>0.24696833333333301</c:v>
                </c:pt>
                <c:pt idx="25">
                  <c:v>9.9791000000000005E-2</c:v>
                </c:pt>
                <c:pt idx="26">
                  <c:v>5.2999999999999999E-2</c:v>
                </c:pt>
                <c:pt idx="27">
                  <c:v>5.2999999999999999E-2</c:v>
                </c:pt>
                <c:pt idx="28">
                  <c:v>5.2999999999999999E-2</c:v>
                </c:pt>
                <c:pt idx="29">
                  <c:v>5.2999999999999999E-2</c:v>
                </c:pt>
                <c:pt idx="30">
                  <c:v>5.2999999999999999E-2</c:v>
                </c:pt>
                <c:pt idx="31">
                  <c:v>5.2999999999999999E-2</c:v>
                </c:pt>
                <c:pt idx="32">
                  <c:v>5.2999999999999999E-2</c:v>
                </c:pt>
                <c:pt idx="33">
                  <c:v>5.2999999999999999E-2</c:v>
                </c:pt>
                <c:pt idx="34">
                  <c:v>5.2999999999999999E-2</c:v>
                </c:pt>
                <c:pt idx="35">
                  <c:v>5.2999999999999999E-2</c:v>
                </c:pt>
                <c:pt idx="36">
                  <c:v>9.3811199999999997E-2</c:v>
                </c:pt>
                <c:pt idx="37">
                  <c:v>0.127479066666667</c:v>
                </c:pt>
                <c:pt idx="38">
                  <c:v>0.11150513333333301</c:v>
                </c:pt>
                <c:pt idx="39">
                  <c:v>0.46562666666666702</c:v>
                </c:pt>
                <c:pt idx="40">
                  <c:v>0.2979</c:v>
                </c:pt>
                <c:pt idx="41">
                  <c:v>0.100126666666667</c:v>
                </c:pt>
                <c:pt idx="42">
                  <c:v>5.2999999999999999E-2</c:v>
                </c:pt>
                <c:pt idx="43">
                  <c:v>5.2999999999999999E-2</c:v>
                </c:pt>
                <c:pt idx="44">
                  <c:v>0.48574533333333297</c:v>
                </c:pt>
                <c:pt idx="45">
                  <c:v>0.452125</c:v>
                </c:pt>
                <c:pt idx="46">
                  <c:v>0.71261633333333296</c:v>
                </c:pt>
                <c:pt idx="47">
                  <c:v>0.160863333333333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1BE-4970-B620-7A2E89924229}"/>
            </c:ext>
          </c:extLst>
        </c:ser>
        <c:ser>
          <c:idx val="30"/>
          <c:order val="30"/>
          <c:tx>
            <c:v>BES_TR3_one614_B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Demand_kW!$AG$2:$AG$49</c:f>
              <c:numCache>
                <c:formatCode>#,##0.000</c:formatCode>
                <c:ptCount val="48"/>
                <c:pt idx="0">
                  <c:v>5.8999999999999997E-2</c:v>
                </c:pt>
                <c:pt idx="1">
                  <c:v>0.147547333333333</c:v>
                </c:pt>
                <c:pt idx="2">
                  <c:v>0.12030200000000001</c:v>
                </c:pt>
                <c:pt idx="3">
                  <c:v>7.9434000000000005E-2</c:v>
                </c:pt>
                <c:pt idx="4">
                  <c:v>0.18841533333333299</c:v>
                </c:pt>
                <c:pt idx="5">
                  <c:v>5.8999999999999997E-2</c:v>
                </c:pt>
                <c:pt idx="6">
                  <c:v>5.8999999999999997E-2</c:v>
                </c:pt>
                <c:pt idx="7">
                  <c:v>0.208849333333333</c:v>
                </c:pt>
                <c:pt idx="8">
                  <c:v>5.8999999999999997E-2</c:v>
                </c:pt>
                <c:pt idx="9">
                  <c:v>8.6245333333333299E-2</c:v>
                </c:pt>
                <c:pt idx="10">
                  <c:v>0.18160399999999999</c:v>
                </c:pt>
                <c:pt idx="11">
                  <c:v>5.8999999999999997E-2</c:v>
                </c:pt>
                <c:pt idx="12">
                  <c:v>5.8999999999999997E-2</c:v>
                </c:pt>
                <c:pt idx="13">
                  <c:v>0.208849333333333</c:v>
                </c:pt>
                <c:pt idx="14">
                  <c:v>5.8999999999999997E-2</c:v>
                </c:pt>
                <c:pt idx="15">
                  <c:v>0.202038</c:v>
                </c:pt>
                <c:pt idx="16">
                  <c:v>0.198784666666667</c:v>
                </c:pt>
                <c:pt idx="17">
                  <c:v>0.49810333333333301</c:v>
                </c:pt>
                <c:pt idx="18">
                  <c:v>0.234074</c:v>
                </c:pt>
                <c:pt idx="19">
                  <c:v>0.31194</c:v>
                </c:pt>
                <c:pt idx="20">
                  <c:v>0.55420266666666695</c:v>
                </c:pt>
                <c:pt idx="21">
                  <c:v>0.47246666666666598</c:v>
                </c:pt>
                <c:pt idx="22">
                  <c:v>0.22708466666666699</c:v>
                </c:pt>
                <c:pt idx="23">
                  <c:v>0.38865100000000002</c:v>
                </c:pt>
                <c:pt idx="24">
                  <c:v>1.52622733333333</c:v>
                </c:pt>
                <c:pt idx="25">
                  <c:v>0.31326433333333298</c:v>
                </c:pt>
                <c:pt idx="26">
                  <c:v>0.46143600000000001</c:v>
                </c:pt>
                <c:pt idx="27">
                  <c:v>0.46391199999999999</c:v>
                </c:pt>
                <c:pt idx="28">
                  <c:v>0.10016953333333301</c:v>
                </c:pt>
                <c:pt idx="29">
                  <c:v>0.19128493333333299</c:v>
                </c:pt>
                <c:pt idx="30">
                  <c:v>0.50631533333333401</c:v>
                </c:pt>
                <c:pt idx="31">
                  <c:v>0.74866966666666701</c:v>
                </c:pt>
                <c:pt idx="32">
                  <c:v>0.68730899999999995</c:v>
                </c:pt>
                <c:pt idx="33">
                  <c:v>0.818828</c:v>
                </c:pt>
                <c:pt idx="34">
                  <c:v>0.33706966666666599</c:v>
                </c:pt>
                <c:pt idx="35">
                  <c:v>0.30873</c:v>
                </c:pt>
                <c:pt idx="36">
                  <c:v>0.458822333333333</c:v>
                </c:pt>
                <c:pt idx="37">
                  <c:v>1.77362833333333</c:v>
                </c:pt>
                <c:pt idx="38">
                  <c:v>0.39468066666666701</c:v>
                </c:pt>
                <c:pt idx="39">
                  <c:v>0.483721333333333</c:v>
                </c:pt>
                <c:pt idx="40">
                  <c:v>1.67404466666667</c:v>
                </c:pt>
                <c:pt idx="41">
                  <c:v>0.53741799999999995</c:v>
                </c:pt>
                <c:pt idx="42">
                  <c:v>0.66084266666666702</c:v>
                </c:pt>
                <c:pt idx="43">
                  <c:v>0.990520333333334</c:v>
                </c:pt>
                <c:pt idx="44">
                  <c:v>1.7460086666666701</c:v>
                </c:pt>
                <c:pt idx="45">
                  <c:v>1.6348533333333299</c:v>
                </c:pt>
                <c:pt idx="46">
                  <c:v>0.76022833333333395</c:v>
                </c:pt>
                <c:pt idx="47">
                  <c:v>7.2622666666666599E-2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1BE-4970-B620-7A2E89924229}"/>
            </c:ext>
          </c:extLst>
        </c:ser>
        <c:ser>
          <c:idx val="31"/>
          <c:order val="31"/>
          <c:tx>
            <c:v>BES_TR3_one617_A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Demand_kW!$AH$2:$AH$49</c:f>
              <c:numCache>
                <c:formatCode>#,##0.000</c:formatCode>
                <c:ptCount val="48"/>
                <c:pt idx="0">
                  <c:v>0.11053</c:v>
                </c:pt>
                <c:pt idx="1">
                  <c:v>0.14093600000000001</c:v>
                </c:pt>
                <c:pt idx="2">
                  <c:v>3.5999999999999997E-2</c:v>
                </c:pt>
                <c:pt idx="3">
                  <c:v>6.5811999999999996E-2</c:v>
                </c:pt>
                <c:pt idx="4">
                  <c:v>0.170154</c:v>
                </c:pt>
                <c:pt idx="5">
                  <c:v>3.5999999999999997E-2</c:v>
                </c:pt>
                <c:pt idx="6">
                  <c:v>0.199966</c:v>
                </c:pt>
                <c:pt idx="7">
                  <c:v>3.5999999999999997E-2</c:v>
                </c:pt>
                <c:pt idx="8">
                  <c:v>3.5999999999999997E-2</c:v>
                </c:pt>
                <c:pt idx="9">
                  <c:v>0.199966</c:v>
                </c:pt>
                <c:pt idx="10">
                  <c:v>3.5999999999999997E-2</c:v>
                </c:pt>
                <c:pt idx="11">
                  <c:v>3.5999999999999997E-2</c:v>
                </c:pt>
                <c:pt idx="12">
                  <c:v>0.199966</c:v>
                </c:pt>
                <c:pt idx="13">
                  <c:v>3.5999999999999997E-2</c:v>
                </c:pt>
                <c:pt idx="14">
                  <c:v>4.3452999999999999E-2</c:v>
                </c:pt>
                <c:pt idx="15">
                  <c:v>0.21501300000000001</c:v>
                </c:pt>
                <c:pt idx="16">
                  <c:v>4.3499999999999997E-2</c:v>
                </c:pt>
                <c:pt idx="17">
                  <c:v>4.8486333333333402E-2</c:v>
                </c:pt>
                <c:pt idx="18">
                  <c:v>0.204513</c:v>
                </c:pt>
                <c:pt idx="19">
                  <c:v>3.5999999999999997E-2</c:v>
                </c:pt>
                <c:pt idx="20">
                  <c:v>5.0906E-2</c:v>
                </c:pt>
                <c:pt idx="21">
                  <c:v>0.18506</c:v>
                </c:pt>
                <c:pt idx="22">
                  <c:v>3.5999999999999997E-2</c:v>
                </c:pt>
                <c:pt idx="23">
                  <c:v>8.0717999999999998E-2</c:v>
                </c:pt>
                <c:pt idx="24">
                  <c:v>0.155248</c:v>
                </c:pt>
                <c:pt idx="25">
                  <c:v>3.5999999999999997E-2</c:v>
                </c:pt>
                <c:pt idx="26">
                  <c:v>3.5999999999999997E-2</c:v>
                </c:pt>
                <c:pt idx="27">
                  <c:v>0.20263266666666699</c:v>
                </c:pt>
                <c:pt idx="28">
                  <c:v>0.30186360000000001</c:v>
                </c:pt>
                <c:pt idx="29">
                  <c:v>1.2069534</c:v>
                </c:pt>
                <c:pt idx="30">
                  <c:v>9.0871199999999999E-2</c:v>
                </c:pt>
                <c:pt idx="31">
                  <c:v>0.12616910000000001</c:v>
                </c:pt>
                <c:pt idx="32">
                  <c:v>0.14296210000000001</c:v>
                </c:pt>
                <c:pt idx="33">
                  <c:v>6.2742466666666705E-2</c:v>
                </c:pt>
                <c:pt idx="34">
                  <c:v>0.23829829999999999</c:v>
                </c:pt>
                <c:pt idx="35">
                  <c:v>6.1526900000000002E-2</c:v>
                </c:pt>
                <c:pt idx="36">
                  <c:v>0.04</c:v>
                </c:pt>
                <c:pt idx="37">
                  <c:v>0.14543600000000001</c:v>
                </c:pt>
                <c:pt idx="38">
                  <c:v>0.24014896666666699</c:v>
                </c:pt>
                <c:pt idx="39">
                  <c:v>0.270982</c:v>
                </c:pt>
                <c:pt idx="40">
                  <c:v>0.40076200000000001</c:v>
                </c:pt>
                <c:pt idx="41">
                  <c:v>0.39504099999999998</c:v>
                </c:pt>
                <c:pt idx="42">
                  <c:v>0.57141233333333297</c:v>
                </c:pt>
                <c:pt idx="43">
                  <c:v>0.59318700000000002</c:v>
                </c:pt>
                <c:pt idx="44">
                  <c:v>0.42228900000000003</c:v>
                </c:pt>
                <c:pt idx="45">
                  <c:v>0.43807800000000002</c:v>
                </c:pt>
                <c:pt idx="46">
                  <c:v>0.30566266666666703</c:v>
                </c:pt>
                <c:pt idx="47">
                  <c:v>0.30495233333333299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1BE-4970-B620-7A2E89924229}"/>
            </c:ext>
          </c:extLst>
        </c:ser>
        <c:ser>
          <c:idx val="32"/>
          <c:order val="32"/>
          <c:tx>
            <c:v>BES_TR3_one73_A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Demand_kW!$AI$2:$AI$49</c:f>
              <c:numCache>
                <c:formatCode>#,##0.000</c:formatCode>
                <c:ptCount val="48"/>
                <c:pt idx="0">
                  <c:v>0.498861</c:v>
                </c:pt>
                <c:pt idx="1">
                  <c:v>0.62133566666666695</c:v>
                </c:pt>
                <c:pt idx="2">
                  <c:v>0.26789200000000002</c:v>
                </c:pt>
                <c:pt idx="3">
                  <c:v>0.17647033333333301</c:v>
                </c:pt>
                <c:pt idx="4">
                  <c:v>0.18656200000000001</c:v>
                </c:pt>
                <c:pt idx="5">
                  <c:v>0.27208533333333301</c:v>
                </c:pt>
                <c:pt idx="6">
                  <c:v>0.179419666666667</c:v>
                </c:pt>
                <c:pt idx="7">
                  <c:v>0.255002333333333</c:v>
                </c:pt>
                <c:pt idx="8">
                  <c:v>0.15364900000000001</c:v>
                </c:pt>
                <c:pt idx="9">
                  <c:v>0.172277333333333</c:v>
                </c:pt>
                <c:pt idx="10">
                  <c:v>0.168903833333333</c:v>
                </c:pt>
                <c:pt idx="11">
                  <c:v>0.283615333333333</c:v>
                </c:pt>
                <c:pt idx="12">
                  <c:v>0.12507199999999999</c:v>
                </c:pt>
                <c:pt idx="13">
                  <c:v>0.143667666666667</c:v>
                </c:pt>
                <c:pt idx="14">
                  <c:v>0.25889800000000002</c:v>
                </c:pt>
                <c:pt idx="15">
                  <c:v>0.232132333333333</c:v>
                </c:pt>
                <c:pt idx="16">
                  <c:v>5.8000000000000003E-2</c:v>
                </c:pt>
                <c:pt idx="17">
                  <c:v>0.211806666666667</c:v>
                </c:pt>
                <c:pt idx="18">
                  <c:v>0.2246725</c:v>
                </c:pt>
                <c:pt idx="19">
                  <c:v>0.234364666666667</c:v>
                </c:pt>
                <c:pt idx="20">
                  <c:v>0.143708</c:v>
                </c:pt>
                <c:pt idx="21">
                  <c:v>0.20253833333333299</c:v>
                </c:pt>
                <c:pt idx="22">
                  <c:v>1.82570733333333</c:v>
                </c:pt>
                <c:pt idx="23">
                  <c:v>2.0809783333333298</c:v>
                </c:pt>
                <c:pt idx="24">
                  <c:v>0.64054033333333404</c:v>
                </c:pt>
                <c:pt idx="25">
                  <c:v>0.40468199999999999</c:v>
                </c:pt>
                <c:pt idx="26">
                  <c:v>0.380736666666667</c:v>
                </c:pt>
                <c:pt idx="27">
                  <c:v>0.67158399999999996</c:v>
                </c:pt>
                <c:pt idx="28">
                  <c:v>0.103275333333333</c:v>
                </c:pt>
                <c:pt idx="29">
                  <c:v>0.28506799999999999</c:v>
                </c:pt>
                <c:pt idx="30">
                  <c:v>0.202144666666667</c:v>
                </c:pt>
                <c:pt idx="31">
                  <c:v>7.2284666666666705E-2</c:v>
                </c:pt>
                <c:pt idx="32">
                  <c:v>0.40351833333333298</c:v>
                </c:pt>
                <c:pt idx="33">
                  <c:v>6.9414000000000003E-2</c:v>
                </c:pt>
                <c:pt idx="34">
                  <c:v>0.24076133333333299</c:v>
                </c:pt>
                <c:pt idx="35">
                  <c:v>0.24645366666666699</c:v>
                </c:pt>
                <c:pt idx="36">
                  <c:v>9.1019199999999995E-2</c:v>
                </c:pt>
                <c:pt idx="37">
                  <c:v>0.34278433333333302</c:v>
                </c:pt>
                <c:pt idx="38">
                  <c:v>0.59945599999999999</c:v>
                </c:pt>
                <c:pt idx="39">
                  <c:v>0.90543133333333403</c:v>
                </c:pt>
                <c:pt idx="40">
                  <c:v>0.52550333333333299</c:v>
                </c:pt>
                <c:pt idx="41">
                  <c:v>0.96581899999999998</c:v>
                </c:pt>
                <c:pt idx="42">
                  <c:v>0.81251166666666597</c:v>
                </c:pt>
                <c:pt idx="43">
                  <c:v>0.72166433333333302</c:v>
                </c:pt>
                <c:pt idx="44">
                  <c:v>0.85934033333333404</c:v>
                </c:pt>
                <c:pt idx="45">
                  <c:v>0.92057333333333402</c:v>
                </c:pt>
                <c:pt idx="46">
                  <c:v>0.82195033333333301</c:v>
                </c:pt>
                <c:pt idx="47">
                  <c:v>0.23604133333333299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1BE-4970-B620-7A2E89924229}"/>
            </c:ext>
          </c:extLst>
        </c:ser>
        <c:ser>
          <c:idx val="33"/>
          <c:order val="33"/>
          <c:tx>
            <c:v>BES_TR3_one76_A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Demand_kW!$AJ$2:$AJ$49</c:f>
              <c:numCache>
                <c:formatCode>#,##0.000</c:formatCode>
                <c:ptCount val="48"/>
                <c:pt idx="0">
                  <c:v>0.15209166666666701</c:v>
                </c:pt>
                <c:pt idx="1">
                  <c:v>4.1000000000000002E-2</c:v>
                </c:pt>
                <c:pt idx="2">
                  <c:v>0.24309</c:v>
                </c:pt>
                <c:pt idx="3">
                  <c:v>4.1000000000000002E-2</c:v>
                </c:pt>
                <c:pt idx="4">
                  <c:v>4.1000000000000002E-2</c:v>
                </c:pt>
                <c:pt idx="5">
                  <c:v>0.21335499999999999</c:v>
                </c:pt>
                <c:pt idx="6">
                  <c:v>7.0734999999999895E-2</c:v>
                </c:pt>
                <c:pt idx="7">
                  <c:v>5.2839999999999998E-2</c:v>
                </c:pt>
                <c:pt idx="8">
                  <c:v>0.175366666666667</c:v>
                </c:pt>
                <c:pt idx="9">
                  <c:v>9.6883333333333294E-2</c:v>
                </c:pt>
                <c:pt idx="10">
                  <c:v>9.04233333333333E-2</c:v>
                </c:pt>
                <c:pt idx="11">
                  <c:v>0.19366666666666699</c:v>
                </c:pt>
                <c:pt idx="12">
                  <c:v>4.1000000000000002E-2</c:v>
                </c:pt>
                <c:pt idx="13">
                  <c:v>0.24309</c:v>
                </c:pt>
                <c:pt idx="14">
                  <c:v>4.1000000000000002E-2</c:v>
                </c:pt>
                <c:pt idx="15">
                  <c:v>0.11877</c:v>
                </c:pt>
                <c:pt idx="16">
                  <c:v>0.16531999999999999</c:v>
                </c:pt>
                <c:pt idx="17">
                  <c:v>0.11285000000000001</c:v>
                </c:pt>
                <c:pt idx="18">
                  <c:v>1.9726633333333301</c:v>
                </c:pt>
                <c:pt idx="19">
                  <c:v>0.466550666666667</c:v>
                </c:pt>
                <c:pt idx="20">
                  <c:v>0.39961466666666701</c:v>
                </c:pt>
                <c:pt idx="21">
                  <c:v>0.47367933333333301</c:v>
                </c:pt>
                <c:pt idx="22">
                  <c:v>0.108858333333333</c:v>
                </c:pt>
                <c:pt idx="23">
                  <c:v>4.1000000000000002E-2</c:v>
                </c:pt>
                <c:pt idx="24">
                  <c:v>4.1000000000000002E-2</c:v>
                </c:pt>
                <c:pt idx="25">
                  <c:v>4.1000000000000002E-2</c:v>
                </c:pt>
                <c:pt idx="26">
                  <c:v>0.17124</c:v>
                </c:pt>
                <c:pt idx="27">
                  <c:v>5.69666666666667E-2</c:v>
                </c:pt>
                <c:pt idx="28">
                  <c:v>0.12637936666666699</c:v>
                </c:pt>
                <c:pt idx="29">
                  <c:v>0.26264033333333398</c:v>
                </c:pt>
                <c:pt idx="30">
                  <c:v>0.203464333333333</c:v>
                </c:pt>
                <c:pt idx="31">
                  <c:v>0.1306447</c:v>
                </c:pt>
                <c:pt idx="32">
                  <c:v>9.7455566666666701E-2</c:v>
                </c:pt>
                <c:pt idx="33">
                  <c:v>0.23408899999999999</c:v>
                </c:pt>
                <c:pt idx="34">
                  <c:v>0.14412166666666701</c:v>
                </c:pt>
                <c:pt idx="35">
                  <c:v>0.19652600000000001</c:v>
                </c:pt>
                <c:pt idx="36">
                  <c:v>0.29958299999999999</c:v>
                </c:pt>
                <c:pt idx="37">
                  <c:v>0.45749000000000001</c:v>
                </c:pt>
                <c:pt idx="38">
                  <c:v>0.27594733333333299</c:v>
                </c:pt>
                <c:pt idx="39">
                  <c:v>0.49428133333333302</c:v>
                </c:pt>
                <c:pt idx="40">
                  <c:v>4.1000000000000002E-2</c:v>
                </c:pt>
                <c:pt idx="41">
                  <c:v>0.13572000000000001</c:v>
                </c:pt>
                <c:pt idx="42">
                  <c:v>0.41364766666666702</c:v>
                </c:pt>
                <c:pt idx="43">
                  <c:v>0.30229866666666699</c:v>
                </c:pt>
                <c:pt idx="44">
                  <c:v>0.57549266666666699</c:v>
                </c:pt>
                <c:pt idx="45">
                  <c:v>0.67635833333333295</c:v>
                </c:pt>
                <c:pt idx="46">
                  <c:v>0.44093666666666698</c:v>
                </c:pt>
                <c:pt idx="47">
                  <c:v>0.47260000000000002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71BE-4970-B620-7A2E89924229}"/>
            </c:ext>
          </c:extLst>
        </c:ser>
        <c:ser>
          <c:idx val="34"/>
          <c:order val="34"/>
          <c:tx>
            <c:v>BES_TR3_one137_A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Demand_kW!$AK$2:$AK$49</c:f>
              <c:numCache>
                <c:formatCode>#,##0.000</c:formatCode>
                <c:ptCount val="48"/>
                <c:pt idx="0">
                  <c:v>4.2999999999999997E-2</c:v>
                </c:pt>
                <c:pt idx="1">
                  <c:v>4.2999999999999997E-2</c:v>
                </c:pt>
                <c:pt idx="2">
                  <c:v>0.39146566666666699</c:v>
                </c:pt>
                <c:pt idx="3">
                  <c:v>0.21921933333333299</c:v>
                </c:pt>
                <c:pt idx="4">
                  <c:v>0.22464799999999999</c:v>
                </c:pt>
                <c:pt idx="5">
                  <c:v>0.11821</c:v>
                </c:pt>
                <c:pt idx="6">
                  <c:v>4.2999999999999997E-2</c:v>
                </c:pt>
                <c:pt idx="7">
                  <c:v>4.2999999999999997E-2</c:v>
                </c:pt>
                <c:pt idx="8">
                  <c:v>0.11821</c:v>
                </c:pt>
                <c:pt idx="9">
                  <c:v>4.2999999999999997E-2</c:v>
                </c:pt>
                <c:pt idx="10">
                  <c:v>8.4783333333333405E-2</c:v>
                </c:pt>
                <c:pt idx="11">
                  <c:v>7.6426666666666698E-2</c:v>
                </c:pt>
                <c:pt idx="12">
                  <c:v>4.2999999999999997E-2</c:v>
                </c:pt>
                <c:pt idx="13">
                  <c:v>0.11821</c:v>
                </c:pt>
                <c:pt idx="14">
                  <c:v>4.2999999999999997E-2</c:v>
                </c:pt>
                <c:pt idx="15">
                  <c:v>9.7318333333333396E-2</c:v>
                </c:pt>
                <c:pt idx="16">
                  <c:v>6.3891666666666597E-2</c:v>
                </c:pt>
                <c:pt idx="17">
                  <c:v>0.156624666666667</c:v>
                </c:pt>
                <c:pt idx="18">
                  <c:v>0.97034673333333399</c:v>
                </c:pt>
                <c:pt idx="19">
                  <c:v>0.242675</c:v>
                </c:pt>
                <c:pt idx="20">
                  <c:v>0.18725566666666699</c:v>
                </c:pt>
                <c:pt idx="21">
                  <c:v>0.26726633333333399</c:v>
                </c:pt>
                <c:pt idx="22">
                  <c:v>0.33409499999999998</c:v>
                </c:pt>
                <c:pt idx="23">
                  <c:v>1.08961666666667</c:v>
                </c:pt>
                <c:pt idx="24">
                  <c:v>0.44573833333333401</c:v>
                </c:pt>
                <c:pt idx="25">
                  <c:v>0.67256333333333296</c:v>
                </c:pt>
                <c:pt idx="26">
                  <c:v>1.489541</c:v>
                </c:pt>
                <c:pt idx="27">
                  <c:v>2.01911</c:v>
                </c:pt>
                <c:pt idx="28">
                  <c:v>3.3653533333333399</c:v>
                </c:pt>
                <c:pt idx="29">
                  <c:v>1.9333499999999999</c:v>
                </c:pt>
                <c:pt idx="30">
                  <c:v>7.6426666666666698E-2</c:v>
                </c:pt>
                <c:pt idx="31">
                  <c:v>4.8508000000000003E-2</c:v>
                </c:pt>
                <c:pt idx="32">
                  <c:v>0.21040300000000001</c:v>
                </c:pt>
                <c:pt idx="33">
                  <c:v>0.13930000000000001</c:v>
                </c:pt>
                <c:pt idx="34">
                  <c:v>0.21086199999999999</c:v>
                </c:pt>
                <c:pt idx="35">
                  <c:v>0.74160400000000004</c:v>
                </c:pt>
                <c:pt idx="36">
                  <c:v>1.95425973333333</c:v>
                </c:pt>
                <c:pt idx="37">
                  <c:v>0.37962106666666601</c:v>
                </c:pt>
                <c:pt idx="38">
                  <c:v>0.134348</c:v>
                </c:pt>
                <c:pt idx="39">
                  <c:v>1.13832</c:v>
                </c:pt>
                <c:pt idx="40">
                  <c:v>0.23465</c:v>
                </c:pt>
                <c:pt idx="41">
                  <c:v>0.273642</c:v>
                </c:pt>
                <c:pt idx="42">
                  <c:v>0.39349166666666702</c:v>
                </c:pt>
                <c:pt idx="43">
                  <c:v>0.41650500000000001</c:v>
                </c:pt>
                <c:pt idx="44">
                  <c:v>0.34732333333333298</c:v>
                </c:pt>
                <c:pt idx="45">
                  <c:v>0.11821</c:v>
                </c:pt>
                <c:pt idx="46">
                  <c:v>4.2999999999999997E-2</c:v>
                </c:pt>
                <c:pt idx="47">
                  <c:v>4.2999999999999997E-2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1BE-4970-B620-7A2E89924229}"/>
            </c:ext>
          </c:extLst>
        </c:ser>
        <c:ser>
          <c:idx val="35"/>
          <c:order val="35"/>
          <c:tx>
            <c:v>BES_TR3_one176_A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Demand_kW!$AL$2:$AL$49</c:f>
              <c:numCache>
                <c:formatCode>#,##0.000</c:formatCode>
                <c:ptCount val="48"/>
                <c:pt idx="0">
                  <c:v>0.148933333333333</c:v>
                </c:pt>
                <c:pt idx="1">
                  <c:v>8.2099999999999895E-2</c:v>
                </c:pt>
                <c:pt idx="2">
                  <c:v>4.2000000000000003E-2</c:v>
                </c:pt>
                <c:pt idx="3">
                  <c:v>0.189033333333333</c:v>
                </c:pt>
                <c:pt idx="4">
                  <c:v>4.2000000000000003E-2</c:v>
                </c:pt>
                <c:pt idx="5">
                  <c:v>4.2000000000000003E-2</c:v>
                </c:pt>
                <c:pt idx="6">
                  <c:v>0.1222</c:v>
                </c:pt>
                <c:pt idx="7">
                  <c:v>0.108833333333333</c:v>
                </c:pt>
                <c:pt idx="8">
                  <c:v>6.8733333333333299E-2</c:v>
                </c:pt>
                <c:pt idx="9">
                  <c:v>0.1623</c:v>
                </c:pt>
                <c:pt idx="10">
                  <c:v>4.2000000000000003E-2</c:v>
                </c:pt>
                <c:pt idx="11">
                  <c:v>0.148933333333333</c:v>
                </c:pt>
                <c:pt idx="12">
                  <c:v>8.2099999999999895E-2</c:v>
                </c:pt>
                <c:pt idx="13">
                  <c:v>0.13938200000000001</c:v>
                </c:pt>
                <c:pt idx="14">
                  <c:v>0.175666666666667</c:v>
                </c:pt>
                <c:pt idx="15">
                  <c:v>0.111128</c:v>
                </c:pt>
                <c:pt idx="16">
                  <c:v>0.16855239999999999</c:v>
                </c:pt>
                <c:pt idx="17">
                  <c:v>0.138887333333333</c:v>
                </c:pt>
                <c:pt idx="18">
                  <c:v>4.2000000000000003E-2</c:v>
                </c:pt>
                <c:pt idx="19">
                  <c:v>0.189033333333333</c:v>
                </c:pt>
                <c:pt idx="20">
                  <c:v>4.2000000000000003E-2</c:v>
                </c:pt>
                <c:pt idx="21">
                  <c:v>0.108833333333333</c:v>
                </c:pt>
                <c:pt idx="22">
                  <c:v>0.1222</c:v>
                </c:pt>
                <c:pt idx="23">
                  <c:v>4.2000000000000003E-2</c:v>
                </c:pt>
                <c:pt idx="24">
                  <c:v>4.2000000000000003E-2</c:v>
                </c:pt>
                <c:pt idx="25">
                  <c:v>0.18235000000000001</c:v>
                </c:pt>
                <c:pt idx="26">
                  <c:v>5.5357999999999997E-2</c:v>
                </c:pt>
                <c:pt idx="27">
                  <c:v>0.171527133333333</c:v>
                </c:pt>
                <c:pt idx="28">
                  <c:v>0.136184</c:v>
                </c:pt>
                <c:pt idx="29">
                  <c:v>4.2000000000000003E-2</c:v>
                </c:pt>
                <c:pt idx="30">
                  <c:v>1.71427333333333</c:v>
                </c:pt>
                <c:pt idx="31">
                  <c:v>6.2050000000000001E-2</c:v>
                </c:pt>
                <c:pt idx="32">
                  <c:v>0.13731433333333301</c:v>
                </c:pt>
                <c:pt idx="33">
                  <c:v>0.31288576666666701</c:v>
                </c:pt>
                <c:pt idx="34">
                  <c:v>0.40834110000000001</c:v>
                </c:pt>
                <c:pt idx="35">
                  <c:v>0.38127286666666699</c:v>
                </c:pt>
                <c:pt idx="36">
                  <c:v>0.43223553333333298</c:v>
                </c:pt>
                <c:pt idx="37">
                  <c:v>1.6580278666666699</c:v>
                </c:pt>
                <c:pt idx="38">
                  <c:v>0.15561666666666699</c:v>
                </c:pt>
                <c:pt idx="39">
                  <c:v>7.5416666666666701E-2</c:v>
                </c:pt>
                <c:pt idx="40">
                  <c:v>0.222592133333333</c:v>
                </c:pt>
                <c:pt idx="41">
                  <c:v>0.55968533333333303</c:v>
                </c:pt>
                <c:pt idx="42">
                  <c:v>0.42825800000000003</c:v>
                </c:pt>
                <c:pt idx="43">
                  <c:v>0.50770266666666597</c:v>
                </c:pt>
                <c:pt idx="44">
                  <c:v>0.693608</c:v>
                </c:pt>
                <c:pt idx="45">
                  <c:v>1.3586326666666699</c:v>
                </c:pt>
                <c:pt idx="46">
                  <c:v>0.320809333333333</c:v>
                </c:pt>
                <c:pt idx="47">
                  <c:v>0.16898333333333301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71BE-4970-B620-7A2E89924229}"/>
            </c:ext>
          </c:extLst>
        </c:ser>
        <c:ser>
          <c:idx val="36"/>
          <c:order val="36"/>
          <c:tx>
            <c:v>BES_TR3_two130_C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Demand_kW!$AM$2:$AM$49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0.22269</c:v>
                </c:pt>
                <c:pt idx="2">
                  <c:v>4.9000000000000002E-2</c:v>
                </c:pt>
                <c:pt idx="3">
                  <c:v>4.9000000000000002E-2</c:v>
                </c:pt>
                <c:pt idx="4">
                  <c:v>0.22269</c:v>
                </c:pt>
                <c:pt idx="5">
                  <c:v>4.9000000000000002E-2</c:v>
                </c:pt>
                <c:pt idx="6">
                  <c:v>4.9000000000000002E-2</c:v>
                </c:pt>
                <c:pt idx="7">
                  <c:v>0.19111</c:v>
                </c:pt>
                <c:pt idx="8">
                  <c:v>8.0579999999999902E-2</c:v>
                </c:pt>
                <c:pt idx="9">
                  <c:v>8.8474999999999998E-2</c:v>
                </c:pt>
                <c:pt idx="10">
                  <c:v>0.18321499999999999</c:v>
                </c:pt>
                <c:pt idx="11">
                  <c:v>4.9000000000000002E-2</c:v>
                </c:pt>
                <c:pt idx="12">
                  <c:v>0.15163499999999999</c:v>
                </c:pt>
                <c:pt idx="13">
                  <c:v>0.120055</c:v>
                </c:pt>
                <c:pt idx="14">
                  <c:v>4.9000000000000002E-2</c:v>
                </c:pt>
                <c:pt idx="15">
                  <c:v>0.22269</c:v>
                </c:pt>
                <c:pt idx="16">
                  <c:v>4.9000000000000002E-2</c:v>
                </c:pt>
                <c:pt idx="17">
                  <c:v>5.6866666666666697E-2</c:v>
                </c:pt>
                <c:pt idx="18">
                  <c:v>0.164091666666667</c:v>
                </c:pt>
                <c:pt idx="19">
                  <c:v>0.1846952</c:v>
                </c:pt>
                <c:pt idx="20">
                  <c:v>0.66215293333333303</c:v>
                </c:pt>
                <c:pt idx="21">
                  <c:v>0.492213866666667</c:v>
                </c:pt>
                <c:pt idx="22">
                  <c:v>1.9594689999999999</c:v>
                </c:pt>
                <c:pt idx="23">
                  <c:v>3.0177</c:v>
                </c:pt>
                <c:pt idx="24">
                  <c:v>1.6081033333333301</c:v>
                </c:pt>
                <c:pt idx="25">
                  <c:v>4.9000000000000002E-2</c:v>
                </c:pt>
                <c:pt idx="26">
                  <c:v>0.27623999999999999</c:v>
                </c:pt>
                <c:pt idx="27">
                  <c:v>0.19111</c:v>
                </c:pt>
                <c:pt idx="28">
                  <c:v>5.0162133333333303E-2</c:v>
                </c:pt>
                <c:pt idx="29">
                  <c:v>7.1082999999999993E-2</c:v>
                </c:pt>
                <c:pt idx="30">
                  <c:v>0.24477813333333301</c:v>
                </c:pt>
                <c:pt idx="31">
                  <c:v>5.5614799999999999E-2</c:v>
                </c:pt>
                <c:pt idx="32">
                  <c:v>0.29259200000000002</c:v>
                </c:pt>
                <c:pt idx="33">
                  <c:v>0.384687</c:v>
                </c:pt>
                <c:pt idx="34">
                  <c:v>0.36557666666666699</c:v>
                </c:pt>
                <c:pt idx="35">
                  <c:v>0.39888000000000001</c:v>
                </c:pt>
                <c:pt idx="36">
                  <c:v>0.43123899999999998</c:v>
                </c:pt>
                <c:pt idx="37">
                  <c:v>0.27907533333333301</c:v>
                </c:pt>
                <c:pt idx="38">
                  <c:v>0.242033</c:v>
                </c:pt>
                <c:pt idx="39">
                  <c:v>1.352441</c:v>
                </c:pt>
                <c:pt idx="40">
                  <c:v>1.267504</c:v>
                </c:pt>
                <c:pt idx="41">
                  <c:v>0.46086666666666698</c:v>
                </c:pt>
                <c:pt idx="42">
                  <c:v>0.719217</c:v>
                </c:pt>
                <c:pt idx="43">
                  <c:v>0.49983</c:v>
                </c:pt>
                <c:pt idx="44">
                  <c:v>0.46607433333333298</c:v>
                </c:pt>
                <c:pt idx="45">
                  <c:v>0.30056500000000003</c:v>
                </c:pt>
                <c:pt idx="46">
                  <c:v>0.30427333333333301</c:v>
                </c:pt>
                <c:pt idx="47">
                  <c:v>0.48329166666666701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1BE-4970-B620-7A2E89924229}"/>
            </c:ext>
          </c:extLst>
        </c:ser>
        <c:ser>
          <c:idx val="37"/>
          <c:order val="37"/>
          <c:tx>
            <c:v>BES_TR3_two249_A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Demand_kW!$AN$2:$AN$49</c:f>
              <c:numCache>
                <c:formatCode>#,##0.000</c:formatCode>
                <c:ptCount val="48"/>
                <c:pt idx="0">
                  <c:v>7.8668333333333396E-2</c:v>
                </c:pt>
                <c:pt idx="1">
                  <c:v>0.196272</c:v>
                </c:pt>
                <c:pt idx="2">
                  <c:v>0.137052333333333</c:v>
                </c:pt>
                <c:pt idx="3">
                  <c:v>0.184762333333333</c:v>
                </c:pt>
                <c:pt idx="4">
                  <c:v>0.17723033333333299</c:v>
                </c:pt>
                <c:pt idx="5">
                  <c:v>6.1467333333333402E-2</c:v>
                </c:pt>
                <c:pt idx="6">
                  <c:v>0.25365100000000002</c:v>
                </c:pt>
                <c:pt idx="7">
                  <c:v>9.6874333333333201E-2</c:v>
                </c:pt>
                <c:pt idx="8">
                  <c:v>0.05</c:v>
                </c:pt>
                <c:pt idx="9">
                  <c:v>0.15893966666666701</c:v>
                </c:pt>
                <c:pt idx="10">
                  <c:v>0.20305300000000001</c:v>
                </c:pt>
                <c:pt idx="11">
                  <c:v>0.05</c:v>
                </c:pt>
                <c:pt idx="12">
                  <c:v>0.21154766666666699</c:v>
                </c:pt>
                <c:pt idx="13">
                  <c:v>0.150445</c:v>
                </c:pt>
                <c:pt idx="14">
                  <c:v>7.3897333333333301E-2</c:v>
                </c:pt>
                <c:pt idx="15">
                  <c:v>0.28809533333333398</c:v>
                </c:pt>
                <c:pt idx="16">
                  <c:v>0.05</c:v>
                </c:pt>
                <c:pt idx="17">
                  <c:v>0.21259500000000001</c:v>
                </c:pt>
                <c:pt idx="18">
                  <c:v>0.36310366666666699</c:v>
                </c:pt>
                <c:pt idx="19">
                  <c:v>0.27124183333333302</c:v>
                </c:pt>
                <c:pt idx="20">
                  <c:v>0.303466666666667</c:v>
                </c:pt>
                <c:pt idx="21">
                  <c:v>0.23711333333333301</c:v>
                </c:pt>
                <c:pt idx="22">
                  <c:v>0.15249933333333299</c:v>
                </c:pt>
                <c:pt idx="23">
                  <c:v>0.178434333333333</c:v>
                </c:pt>
                <c:pt idx="24">
                  <c:v>0.16086300000000001</c:v>
                </c:pt>
                <c:pt idx="25">
                  <c:v>0.2485192</c:v>
                </c:pt>
                <c:pt idx="26">
                  <c:v>0.300304133333333</c:v>
                </c:pt>
                <c:pt idx="27">
                  <c:v>0.88096719999999995</c:v>
                </c:pt>
                <c:pt idx="28">
                  <c:v>0.18367</c:v>
                </c:pt>
                <c:pt idx="29">
                  <c:v>0.31933333333333302</c:v>
                </c:pt>
                <c:pt idx="30">
                  <c:v>0.27655600000000002</c:v>
                </c:pt>
                <c:pt idx="31">
                  <c:v>0.46805166666666698</c:v>
                </c:pt>
                <c:pt idx="32">
                  <c:v>0.29530833333333401</c:v>
                </c:pt>
                <c:pt idx="33">
                  <c:v>1.0639863333333299</c:v>
                </c:pt>
                <c:pt idx="34">
                  <c:v>0.34375800000000001</c:v>
                </c:pt>
                <c:pt idx="35">
                  <c:v>0.275685666666667</c:v>
                </c:pt>
                <c:pt idx="36">
                  <c:v>0.35447699999999999</c:v>
                </c:pt>
                <c:pt idx="37">
                  <c:v>0.23219083333333301</c:v>
                </c:pt>
                <c:pt idx="38">
                  <c:v>0.158020666666667</c:v>
                </c:pt>
                <c:pt idx="39">
                  <c:v>0.43812166666666702</c:v>
                </c:pt>
                <c:pt idx="40">
                  <c:v>0.33199733333333298</c:v>
                </c:pt>
                <c:pt idx="41">
                  <c:v>0.39631333333333402</c:v>
                </c:pt>
                <c:pt idx="42">
                  <c:v>0.48582066666666701</c:v>
                </c:pt>
                <c:pt idx="43">
                  <c:v>0.49457166666666702</c:v>
                </c:pt>
                <c:pt idx="44">
                  <c:v>0.62321933333333301</c:v>
                </c:pt>
                <c:pt idx="45">
                  <c:v>0.87565800000000005</c:v>
                </c:pt>
                <c:pt idx="46">
                  <c:v>0.55179033333333305</c:v>
                </c:pt>
                <c:pt idx="47">
                  <c:v>0.79447000000000001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71BE-4970-B620-7A2E89924229}"/>
            </c:ext>
          </c:extLst>
        </c:ser>
        <c:ser>
          <c:idx val="38"/>
          <c:order val="38"/>
          <c:tx>
            <c:v>BES_TR3_two267_C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Demand_kW!$AO$2:$AO$49</c:f>
              <c:numCache>
                <c:formatCode>#,##0.000</c:formatCode>
                <c:ptCount val="48"/>
                <c:pt idx="0">
                  <c:v>0.13787566666666701</c:v>
                </c:pt>
                <c:pt idx="1">
                  <c:v>7.9057000000000002E-2</c:v>
                </c:pt>
                <c:pt idx="2">
                  <c:v>5.7000000000000002E-2</c:v>
                </c:pt>
                <c:pt idx="3">
                  <c:v>0.159932666666667</c:v>
                </c:pt>
                <c:pt idx="4">
                  <c:v>5.7000000000000002E-2</c:v>
                </c:pt>
                <c:pt idx="5">
                  <c:v>7.9057000000000002E-2</c:v>
                </c:pt>
                <c:pt idx="6">
                  <c:v>0.13787566666666701</c:v>
                </c:pt>
                <c:pt idx="7">
                  <c:v>5.7000000000000002E-2</c:v>
                </c:pt>
                <c:pt idx="8">
                  <c:v>5.7000000000000002E-2</c:v>
                </c:pt>
                <c:pt idx="9">
                  <c:v>0.159932666666667</c:v>
                </c:pt>
                <c:pt idx="10">
                  <c:v>5.7000000000000002E-2</c:v>
                </c:pt>
                <c:pt idx="11">
                  <c:v>5.7000000000000002E-2</c:v>
                </c:pt>
                <c:pt idx="12">
                  <c:v>0.15258033333333301</c:v>
                </c:pt>
                <c:pt idx="13">
                  <c:v>6.4352333333333303E-2</c:v>
                </c:pt>
                <c:pt idx="14">
                  <c:v>5.7000000000000002E-2</c:v>
                </c:pt>
                <c:pt idx="15">
                  <c:v>0.159932666666667</c:v>
                </c:pt>
                <c:pt idx="16">
                  <c:v>5.7000000000000002E-2</c:v>
                </c:pt>
                <c:pt idx="17">
                  <c:v>0.31236366666666698</c:v>
                </c:pt>
                <c:pt idx="18">
                  <c:v>2.25847</c:v>
                </c:pt>
                <c:pt idx="19">
                  <c:v>2.9767899999999998</c:v>
                </c:pt>
                <c:pt idx="20">
                  <c:v>0.96720266666666699</c:v>
                </c:pt>
                <c:pt idx="21">
                  <c:v>5.7000000000000002E-2</c:v>
                </c:pt>
                <c:pt idx="22">
                  <c:v>5.7000000000000002E-2</c:v>
                </c:pt>
                <c:pt idx="23">
                  <c:v>0.19350000000000001</c:v>
                </c:pt>
                <c:pt idx="24">
                  <c:v>5.7000000000000002E-2</c:v>
                </c:pt>
                <c:pt idx="25">
                  <c:v>5.7000000000000002E-2</c:v>
                </c:pt>
                <c:pt idx="26">
                  <c:v>0.18790933333333301</c:v>
                </c:pt>
                <c:pt idx="27">
                  <c:v>0.13292999999999999</c:v>
                </c:pt>
                <c:pt idx="28">
                  <c:v>9.0169666666666606E-2</c:v>
                </c:pt>
                <c:pt idx="29">
                  <c:v>0.31412333333333398</c:v>
                </c:pt>
                <c:pt idx="30">
                  <c:v>8.6409333333333296E-2</c:v>
                </c:pt>
                <c:pt idx="31">
                  <c:v>5.7000000000000002E-2</c:v>
                </c:pt>
                <c:pt idx="32">
                  <c:v>2.4579546666666698</c:v>
                </c:pt>
                <c:pt idx="33">
                  <c:v>2.87618666666667</c:v>
                </c:pt>
                <c:pt idx="34">
                  <c:v>0.65292999999999901</c:v>
                </c:pt>
                <c:pt idx="35">
                  <c:v>0.19903863333333299</c:v>
                </c:pt>
                <c:pt idx="36">
                  <c:v>6.7022999999999999E-2</c:v>
                </c:pt>
                <c:pt idx="37">
                  <c:v>6.2679700000000005E-2</c:v>
                </c:pt>
                <c:pt idx="38">
                  <c:v>0.29112446666666703</c:v>
                </c:pt>
                <c:pt idx="39">
                  <c:v>0.35878466666666697</c:v>
                </c:pt>
                <c:pt idx="40">
                  <c:v>0.41369966666666602</c:v>
                </c:pt>
                <c:pt idx="41">
                  <c:v>0.56997233333333297</c:v>
                </c:pt>
                <c:pt idx="42">
                  <c:v>0.61390933333333297</c:v>
                </c:pt>
                <c:pt idx="43">
                  <c:v>0.52877933333333305</c:v>
                </c:pt>
                <c:pt idx="44">
                  <c:v>0.71433933333333299</c:v>
                </c:pt>
                <c:pt idx="45">
                  <c:v>0.73743599999999998</c:v>
                </c:pt>
                <c:pt idx="46">
                  <c:v>0.703965333333333</c:v>
                </c:pt>
                <c:pt idx="47">
                  <c:v>0.123171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1BE-4970-B620-7A2E89924229}"/>
            </c:ext>
          </c:extLst>
        </c:ser>
        <c:ser>
          <c:idx val="39"/>
          <c:order val="39"/>
          <c:tx>
            <c:v>BES_TR3_two292_B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Demand_kW!$AP$2:$AP$49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  <c:pt idx="13">
                  <c:v>5.2999999999999999E-2</c:v>
                </c:pt>
                <c:pt idx="14">
                  <c:v>0.10102999999999999</c:v>
                </c:pt>
                <c:pt idx="15">
                  <c:v>0.11778520000000001</c:v>
                </c:pt>
                <c:pt idx="16">
                  <c:v>0.117762666666667</c:v>
                </c:pt>
                <c:pt idx="17">
                  <c:v>0.194856</c:v>
                </c:pt>
                <c:pt idx="18">
                  <c:v>0.21743000000000001</c:v>
                </c:pt>
                <c:pt idx="19">
                  <c:v>0.18743000000000001</c:v>
                </c:pt>
                <c:pt idx="20">
                  <c:v>5.2999999999999999E-2</c:v>
                </c:pt>
                <c:pt idx="21">
                  <c:v>5.2999999999999999E-2</c:v>
                </c:pt>
                <c:pt idx="22">
                  <c:v>5.2999999999999999E-2</c:v>
                </c:pt>
                <c:pt idx="23">
                  <c:v>5.2999999999999999E-2</c:v>
                </c:pt>
                <c:pt idx="24">
                  <c:v>5.2999999999999999E-2</c:v>
                </c:pt>
                <c:pt idx="25">
                  <c:v>5.2999999999999999E-2</c:v>
                </c:pt>
                <c:pt idx="26">
                  <c:v>5.2999999999999999E-2</c:v>
                </c:pt>
                <c:pt idx="27">
                  <c:v>5.2999999999999999E-2</c:v>
                </c:pt>
                <c:pt idx="28">
                  <c:v>5.2999999999999999E-2</c:v>
                </c:pt>
                <c:pt idx="29">
                  <c:v>5.2999999999999999E-2</c:v>
                </c:pt>
                <c:pt idx="30">
                  <c:v>5.2999999999999999E-2</c:v>
                </c:pt>
                <c:pt idx="31">
                  <c:v>5.2999999999999999E-2</c:v>
                </c:pt>
                <c:pt idx="32">
                  <c:v>5.2999999999999999E-2</c:v>
                </c:pt>
                <c:pt idx="33">
                  <c:v>5.2999999999999999E-2</c:v>
                </c:pt>
                <c:pt idx="34">
                  <c:v>5.2999999999999999E-2</c:v>
                </c:pt>
                <c:pt idx="35">
                  <c:v>5.2999999999999999E-2</c:v>
                </c:pt>
                <c:pt idx="36">
                  <c:v>5.2999999999999999E-2</c:v>
                </c:pt>
                <c:pt idx="37">
                  <c:v>5.2999999999999999E-2</c:v>
                </c:pt>
                <c:pt idx="38">
                  <c:v>5.2999999999999999E-2</c:v>
                </c:pt>
                <c:pt idx="39">
                  <c:v>5.2999999999999999E-2</c:v>
                </c:pt>
                <c:pt idx="40">
                  <c:v>5.2999999999999999E-2</c:v>
                </c:pt>
                <c:pt idx="41">
                  <c:v>5.2999999999999999E-2</c:v>
                </c:pt>
                <c:pt idx="42">
                  <c:v>5.2999999999999999E-2</c:v>
                </c:pt>
                <c:pt idx="43">
                  <c:v>5.2999999999999999E-2</c:v>
                </c:pt>
                <c:pt idx="44">
                  <c:v>5.2999999999999999E-2</c:v>
                </c:pt>
                <c:pt idx="45">
                  <c:v>5.2999999999999999E-2</c:v>
                </c:pt>
                <c:pt idx="46">
                  <c:v>5.2999999999999999E-2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71BE-4970-B620-7A2E89924229}"/>
            </c:ext>
          </c:extLst>
        </c:ser>
        <c:ser>
          <c:idx val="40"/>
          <c:order val="40"/>
          <c:tx>
            <c:v>BES_TR3_two308_A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Demand_kW!$AQ$2:$AQ$49</c:f>
              <c:numCache>
                <c:formatCode>#,##0.000</c:formatCode>
                <c:ptCount val="48"/>
                <c:pt idx="0">
                  <c:v>0.63887066666666703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0.1473911</c:v>
                </c:pt>
                <c:pt idx="18">
                  <c:v>7.4227000000000001E-2</c:v>
                </c:pt>
                <c:pt idx="19">
                  <c:v>9.1942899999999994E-2</c:v>
                </c:pt>
                <c:pt idx="20">
                  <c:v>0.120074</c:v>
                </c:pt>
                <c:pt idx="21">
                  <c:v>0.31110500000000002</c:v>
                </c:pt>
                <c:pt idx="22">
                  <c:v>0.05</c:v>
                </c:pt>
                <c:pt idx="23">
                  <c:v>0.27713739999999998</c:v>
                </c:pt>
                <c:pt idx="24">
                  <c:v>6.9546900000000106E-2</c:v>
                </c:pt>
                <c:pt idx="25">
                  <c:v>5.2314600000000003E-2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5.2208999999999998E-2</c:v>
                </c:pt>
                <c:pt idx="32">
                  <c:v>0.32991533333333301</c:v>
                </c:pt>
                <c:pt idx="33">
                  <c:v>0.23658799999999999</c:v>
                </c:pt>
                <c:pt idx="34">
                  <c:v>0.34556276666666602</c:v>
                </c:pt>
                <c:pt idx="35">
                  <c:v>6.1573000000000003E-2</c:v>
                </c:pt>
                <c:pt idx="36">
                  <c:v>5.1928833333333403E-2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0.25727733333333302</c:v>
                </c:pt>
                <c:pt idx="42">
                  <c:v>0.27494200000000002</c:v>
                </c:pt>
                <c:pt idx="43">
                  <c:v>0.35860433333333303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1BE-4970-B620-7A2E89924229}"/>
            </c:ext>
          </c:extLst>
        </c:ser>
        <c:ser>
          <c:idx val="41"/>
          <c:order val="41"/>
          <c:tx>
            <c:v>BES_TR3_two313_C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Demand_kW!$AR$2:$AR$49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  <c:pt idx="13">
                  <c:v>5.2999999999999999E-2</c:v>
                </c:pt>
                <c:pt idx="14">
                  <c:v>5.2999999999999999E-2</c:v>
                </c:pt>
                <c:pt idx="15">
                  <c:v>5.2999999999999999E-2</c:v>
                </c:pt>
                <c:pt idx="16">
                  <c:v>5.2999999999999999E-2</c:v>
                </c:pt>
                <c:pt idx="17">
                  <c:v>5.2999999999999999E-2</c:v>
                </c:pt>
                <c:pt idx="18">
                  <c:v>5.2999999999999999E-2</c:v>
                </c:pt>
                <c:pt idx="19">
                  <c:v>5.2999999999999999E-2</c:v>
                </c:pt>
                <c:pt idx="20">
                  <c:v>5.2999999999999999E-2</c:v>
                </c:pt>
                <c:pt idx="21">
                  <c:v>5.4644400000000003E-2</c:v>
                </c:pt>
                <c:pt idx="22">
                  <c:v>6.5333000000000002E-2</c:v>
                </c:pt>
                <c:pt idx="23">
                  <c:v>9.6761333333333296E-2</c:v>
                </c:pt>
                <c:pt idx="24">
                  <c:v>0.15221999999999999</c:v>
                </c:pt>
                <c:pt idx="25">
                  <c:v>6.2922000000000006E-2</c:v>
                </c:pt>
                <c:pt idx="26">
                  <c:v>0.35984833333333299</c:v>
                </c:pt>
                <c:pt idx="27">
                  <c:v>1.60625333333333</c:v>
                </c:pt>
                <c:pt idx="28">
                  <c:v>0.21921533333333301</c:v>
                </c:pt>
                <c:pt idx="29">
                  <c:v>0.23143</c:v>
                </c:pt>
                <c:pt idx="30">
                  <c:v>0.13347666666666699</c:v>
                </c:pt>
                <c:pt idx="31">
                  <c:v>5.2999999999999999E-2</c:v>
                </c:pt>
                <c:pt idx="32">
                  <c:v>5.2999999999999999E-2</c:v>
                </c:pt>
                <c:pt idx="33">
                  <c:v>5.2999999999999999E-2</c:v>
                </c:pt>
                <c:pt idx="34">
                  <c:v>5.2999999999999999E-2</c:v>
                </c:pt>
                <c:pt idx="35">
                  <c:v>5.2999999999999999E-2</c:v>
                </c:pt>
                <c:pt idx="36">
                  <c:v>5.2999999999999999E-2</c:v>
                </c:pt>
                <c:pt idx="37">
                  <c:v>5.2999999999999999E-2</c:v>
                </c:pt>
                <c:pt idx="38">
                  <c:v>0.33763700000000002</c:v>
                </c:pt>
                <c:pt idx="39">
                  <c:v>0.44870466666666697</c:v>
                </c:pt>
                <c:pt idx="40">
                  <c:v>0.45911533333333299</c:v>
                </c:pt>
                <c:pt idx="41">
                  <c:v>0.44159066666666702</c:v>
                </c:pt>
                <c:pt idx="42">
                  <c:v>0.73662366666666701</c:v>
                </c:pt>
                <c:pt idx="43">
                  <c:v>0.34496233333333298</c:v>
                </c:pt>
                <c:pt idx="44">
                  <c:v>0.29799166666666699</c:v>
                </c:pt>
                <c:pt idx="45">
                  <c:v>0.34746333333333301</c:v>
                </c:pt>
                <c:pt idx="46">
                  <c:v>5.2999999999999999E-2</c:v>
                </c:pt>
                <c:pt idx="47">
                  <c:v>6.2673066666666694E-2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71BE-4970-B620-7A2E89924229}"/>
            </c:ext>
          </c:extLst>
        </c:ser>
        <c:ser>
          <c:idx val="42"/>
          <c:order val="42"/>
          <c:tx>
            <c:v>BES_TR3_two137_B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Demand_kW!$AS$2:$AS$49</c:f>
              <c:numCache>
                <c:formatCode>#,##0.000</c:formatCode>
                <c:ptCount val="48"/>
                <c:pt idx="0">
                  <c:v>0.55198800000000003</c:v>
                </c:pt>
                <c:pt idx="1">
                  <c:v>0.533625666666667</c:v>
                </c:pt>
                <c:pt idx="2">
                  <c:v>7.9076999999999995E-2</c:v>
                </c:pt>
                <c:pt idx="3">
                  <c:v>8.5179999999999895E-2</c:v>
                </c:pt>
                <c:pt idx="4">
                  <c:v>4.6991333333333399E-2</c:v>
                </c:pt>
                <c:pt idx="5">
                  <c:v>0.16391333333333299</c:v>
                </c:pt>
                <c:pt idx="6">
                  <c:v>0.11076999999999999</c:v>
                </c:pt>
                <c:pt idx="7">
                  <c:v>0.17690466666666699</c:v>
                </c:pt>
                <c:pt idx="8">
                  <c:v>3.4000000000000002E-2</c:v>
                </c:pt>
                <c:pt idx="9">
                  <c:v>0.124939333333333</c:v>
                </c:pt>
                <c:pt idx="10">
                  <c:v>0.16273533333333301</c:v>
                </c:pt>
                <c:pt idx="11">
                  <c:v>3.4000000000000002E-2</c:v>
                </c:pt>
                <c:pt idx="12">
                  <c:v>5.3487E-2</c:v>
                </c:pt>
                <c:pt idx="13">
                  <c:v>0.23418766666666699</c:v>
                </c:pt>
                <c:pt idx="14">
                  <c:v>3.4000000000000002E-2</c:v>
                </c:pt>
                <c:pt idx="15">
                  <c:v>0.11076999999999999</c:v>
                </c:pt>
                <c:pt idx="16">
                  <c:v>0.17690466666666699</c:v>
                </c:pt>
                <c:pt idx="17">
                  <c:v>0.11624</c:v>
                </c:pt>
                <c:pt idx="18">
                  <c:v>0.19392933333333301</c:v>
                </c:pt>
                <c:pt idx="19">
                  <c:v>0.71364499999999997</c:v>
                </c:pt>
                <c:pt idx="20">
                  <c:v>1.62555266666667</c:v>
                </c:pt>
                <c:pt idx="21">
                  <c:v>0.1820582</c:v>
                </c:pt>
                <c:pt idx="22">
                  <c:v>0.169243333333333</c:v>
                </c:pt>
                <c:pt idx="23">
                  <c:v>5.1060000000000001E-2</c:v>
                </c:pt>
                <c:pt idx="24">
                  <c:v>0.17690466666666699</c:v>
                </c:pt>
                <c:pt idx="25">
                  <c:v>8.9444999999999997E-2</c:v>
                </c:pt>
                <c:pt idx="26">
                  <c:v>8.78033333333334E-2</c:v>
                </c:pt>
                <c:pt idx="27">
                  <c:v>0.14442633333333299</c:v>
                </c:pt>
                <c:pt idx="28">
                  <c:v>0.11076999999999999</c:v>
                </c:pt>
                <c:pt idx="29">
                  <c:v>0.17690466666666699</c:v>
                </c:pt>
                <c:pt idx="30">
                  <c:v>3.4000000000000002E-2</c:v>
                </c:pt>
                <c:pt idx="31">
                  <c:v>5.9589999999999997E-2</c:v>
                </c:pt>
                <c:pt idx="32">
                  <c:v>0.22158900000000001</c:v>
                </c:pt>
                <c:pt idx="33">
                  <c:v>4.0495666666666701E-2</c:v>
                </c:pt>
                <c:pt idx="34">
                  <c:v>7.6649999999999996E-2</c:v>
                </c:pt>
                <c:pt idx="35">
                  <c:v>0.211024666666667</c:v>
                </c:pt>
                <c:pt idx="36">
                  <c:v>3.4000000000000002E-2</c:v>
                </c:pt>
                <c:pt idx="37">
                  <c:v>0.22769200000000001</c:v>
                </c:pt>
                <c:pt idx="38">
                  <c:v>5.9982666666666698E-2</c:v>
                </c:pt>
                <c:pt idx="39">
                  <c:v>9.1675666666666697E-2</c:v>
                </c:pt>
                <c:pt idx="40">
                  <c:v>0.19599900000000001</c:v>
                </c:pt>
                <c:pt idx="41">
                  <c:v>6.812E-2</c:v>
                </c:pt>
                <c:pt idx="42">
                  <c:v>0.33830100000000002</c:v>
                </c:pt>
                <c:pt idx="43">
                  <c:v>0.26148700000000002</c:v>
                </c:pt>
                <c:pt idx="44">
                  <c:v>0.47388999999999998</c:v>
                </c:pt>
                <c:pt idx="45">
                  <c:v>0.74984233333333306</c:v>
                </c:pt>
                <c:pt idx="46">
                  <c:v>0.41012666666666697</c:v>
                </c:pt>
                <c:pt idx="47">
                  <c:v>0.54863399999999996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1BE-4970-B620-7A2E89924229}"/>
            </c:ext>
          </c:extLst>
        </c:ser>
        <c:ser>
          <c:idx val="43"/>
          <c:order val="43"/>
          <c:tx>
            <c:v>BES_TR3_two316_A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Demand_kW!$AT$2:$AT$49</c:f>
              <c:numCache>
                <c:formatCode>#,##0.000</c:formatCode>
                <c:ptCount val="48"/>
                <c:pt idx="0">
                  <c:v>0.68291433333333296</c:v>
                </c:pt>
                <c:pt idx="1">
                  <c:v>0.148653333333333</c:v>
                </c:pt>
                <c:pt idx="2">
                  <c:v>0.14333399999999999</c:v>
                </c:pt>
                <c:pt idx="3">
                  <c:v>5.3999999999999999E-2</c:v>
                </c:pt>
                <c:pt idx="4">
                  <c:v>5.3999999999999999E-2</c:v>
                </c:pt>
                <c:pt idx="5">
                  <c:v>0.14333399999999999</c:v>
                </c:pt>
                <c:pt idx="6">
                  <c:v>5.3999999999999999E-2</c:v>
                </c:pt>
                <c:pt idx="7">
                  <c:v>9.8667000000000005E-2</c:v>
                </c:pt>
                <c:pt idx="8">
                  <c:v>9.8666999999999894E-2</c:v>
                </c:pt>
                <c:pt idx="9">
                  <c:v>5.3999999999999999E-2</c:v>
                </c:pt>
                <c:pt idx="10">
                  <c:v>0.14333399999999999</c:v>
                </c:pt>
                <c:pt idx="11">
                  <c:v>5.3999999999999999E-2</c:v>
                </c:pt>
                <c:pt idx="12">
                  <c:v>0.124191</c:v>
                </c:pt>
                <c:pt idx="13">
                  <c:v>7.3143E-2</c:v>
                </c:pt>
                <c:pt idx="14">
                  <c:v>5.3999999999999999E-2</c:v>
                </c:pt>
                <c:pt idx="15">
                  <c:v>5.3999999999999999E-2</c:v>
                </c:pt>
                <c:pt idx="16">
                  <c:v>0.17089799999999999</c:v>
                </c:pt>
                <c:pt idx="17">
                  <c:v>5.3999999999999999E-2</c:v>
                </c:pt>
                <c:pt idx="18">
                  <c:v>5.3999999999999999E-2</c:v>
                </c:pt>
                <c:pt idx="19">
                  <c:v>0.14333399999999999</c:v>
                </c:pt>
                <c:pt idx="20">
                  <c:v>5.3999999999999999E-2</c:v>
                </c:pt>
                <c:pt idx="21">
                  <c:v>5.3999999999999999E-2</c:v>
                </c:pt>
                <c:pt idx="22">
                  <c:v>5.3999999999999999E-2</c:v>
                </c:pt>
                <c:pt idx="23">
                  <c:v>5.3999999999999999E-2</c:v>
                </c:pt>
                <c:pt idx="24">
                  <c:v>5.3999999999999999E-2</c:v>
                </c:pt>
                <c:pt idx="25">
                  <c:v>1.32038366666667</c:v>
                </c:pt>
                <c:pt idx="26">
                  <c:v>1.0702499999999999</c:v>
                </c:pt>
                <c:pt idx="27">
                  <c:v>0.33358333333333301</c:v>
                </c:pt>
                <c:pt idx="28">
                  <c:v>0.580905</c:v>
                </c:pt>
                <c:pt idx="29">
                  <c:v>0.23454033333333299</c:v>
                </c:pt>
                <c:pt idx="30">
                  <c:v>0.50395299999999998</c:v>
                </c:pt>
                <c:pt idx="31">
                  <c:v>0.54932899999999996</c:v>
                </c:pt>
                <c:pt idx="32">
                  <c:v>0.26696266666666701</c:v>
                </c:pt>
                <c:pt idx="33">
                  <c:v>0.23374200000000001</c:v>
                </c:pt>
                <c:pt idx="34">
                  <c:v>0.13057199999999999</c:v>
                </c:pt>
                <c:pt idx="35">
                  <c:v>0.10965999999999999</c:v>
                </c:pt>
                <c:pt idx="36">
                  <c:v>0.31325866666666702</c:v>
                </c:pt>
                <c:pt idx="37">
                  <c:v>0.11308106666666699</c:v>
                </c:pt>
                <c:pt idx="38">
                  <c:v>9.7203999999999999E-2</c:v>
                </c:pt>
                <c:pt idx="39">
                  <c:v>0.45403369999999998</c:v>
                </c:pt>
                <c:pt idx="40">
                  <c:v>0.31737666666666697</c:v>
                </c:pt>
                <c:pt idx="41">
                  <c:v>0.43464566666666699</c:v>
                </c:pt>
                <c:pt idx="42">
                  <c:v>0.72936566666666702</c:v>
                </c:pt>
                <c:pt idx="43">
                  <c:v>0.562313333333333</c:v>
                </c:pt>
                <c:pt idx="44">
                  <c:v>0.67197600000000002</c:v>
                </c:pt>
                <c:pt idx="45">
                  <c:v>0.59122833333333302</c:v>
                </c:pt>
                <c:pt idx="46">
                  <c:v>0.506859333333333</c:v>
                </c:pt>
                <c:pt idx="47">
                  <c:v>0.64568333333333405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71BE-4970-B620-7A2E89924229}"/>
            </c:ext>
          </c:extLst>
        </c:ser>
        <c:ser>
          <c:idx val="44"/>
          <c:order val="44"/>
          <c:tx>
            <c:v>BES_TR3_two339_A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Demand_kW!$AU$2:$AU$49</c:f>
              <c:numCache>
                <c:formatCode>#,##0.000</c:formatCode>
                <c:ptCount val="48"/>
                <c:pt idx="0">
                  <c:v>0.73371900000000001</c:v>
                </c:pt>
                <c:pt idx="1">
                  <c:v>0.438182666666667</c:v>
                </c:pt>
                <c:pt idx="2">
                  <c:v>0.83146533333333295</c:v>
                </c:pt>
                <c:pt idx="3">
                  <c:v>0.66541733333333297</c:v>
                </c:pt>
                <c:pt idx="4">
                  <c:v>0.48988799999999999</c:v>
                </c:pt>
                <c:pt idx="5">
                  <c:v>0.56713533333333299</c:v>
                </c:pt>
                <c:pt idx="6">
                  <c:v>0.206956</c:v>
                </c:pt>
                <c:pt idx="7">
                  <c:v>5.2999999999999999E-2</c:v>
                </c:pt>
                <c:pt idx="8">
                  <c:v>0.170564666666667</c:v>
                </c:pt>
                <c:pt idx="9">
                  <c:v>0.30198533333333299</c:v>
                </c:pt>
                <c:pt idx="10">
                  <c:v>0.163566666666667</c:v>
                </c:pt>
                <c:pt idx="11">
                  <c:v>0.24513233333333301</c:v>
                </c:pt>
                <c:pt idx="12">
                  <c:v>0.116851</c:v>
                </c:pt>
                <c:pt idx="13">
                  <c:v>0.163566666666667</c:v>
                </c:pt>
                <c:pt idx="14">
                  <c:v>0.24600133333333299</c:v>
                </c:pt>
                <c:pt idx="15">
                  <c:v>0.14362366666666701</c:v>
                </c:pt>
                <c:pt idx="16">
                  <c:v>0.13592499999999999</c:v>
                </c:pt>
                <c:pt idx="17">
                  <c:v>6.6996E-2</c:v>
                </c:pt>
                <c:pt idx="18">
                  <c:v>0.57094100000000003</c:v>
                </c:pt>
                <c:pt idx="19">
                  <c:v>8.0641666666666598E-2</c:v>
                </c:pt>
                <c:pt idx="20">
                  <c:v>0.19701866666666701</c:v>
                </c:pt>
                <c:pt idx="21">
                  <c:v>0.3681546</c:v>
                </c:pt>
                <c:pt idx="22">
                  <c:v>0.15089016666666699</c:v>
                </c:pt>
                <c:pt idx="23">
                  <c:v>0.27770166666666701</c:v>
                </c:pt>
                <c:pt idx="24">
                  <c:v>0.125135</c:v>
                </c:pt>
                <c:pt idx="25">
                  <c:v>0.26525733333333301</c:v>
                </c:pt>
                <c:pt idx="26">
                  <c:v>0.20729266666666701</c:v>
                </c:pt>
                <c:pt idx="27">
                  <c:v>0.164968</c:v>
                </c:pt>
                <c:pt idx="28">
                  <c:v>0.27818100000000001</c:v>
                </c:pt>
                <c:pt idx="29">
                  <c:v>8.2401000000000002E-2</c:v>
                </c:pt>
                <c:pt idx="30">
                  <c:v>1.56520066666667</c:v>
                </c:pt>
                <c:pt idx="31">
                  <c:v>0.323826</c:v>
                </c:pt>
                <c:pt idx="32">
                  <c:v>0.79827000000000004</c:v>
                </c:pt>
                <c:pt idx="33">
                  <c:v>0.71397933333333297</c:v>
                </c:pt>
                <c:pt idx="34">
                  <c:v>0.34659499999999999</c:v>
                </c:pt>
                <c:pt idx="35">
                  <c:v>0.39339639999999998</c:v>
                </c:pt>
                <c:pt idx="36">
                  <c:v>0.51624566666666705</c:v>
                </c:pt>
                <c:pt idx="37">
                  <c:v>0.19551033333333301</c:v>
                </c:pt>
                <c:pt idx="38">
                  <c:v>0.35088533333333299</c:v>
                </c:pt>
                <c:pt idx="39">
                  <c:v>0.69987466666666698</c:v>
                </c:pt>
                <c:pt idx="40">
                  <c:v>0.93156166666666695</c:v>
                </c:pt>
                <c:pt idx="41">
                  <c:v>0.62457499999999999</c:v>
                </c:pt>
                <c:pt idx="42">
                  <c:v>0.49528966666666702</c:v>
                </c:pt>
                <c:pt idx="43">
                  <c:v>0.47072566666666699</c:v>
                </c:pt>
                <c:pt idx="44">
                  <c:v>1.1719839999999999</c:v>
                </c:pt>
                <c:pt idx="45">
                  <c:v>0.48368299999999997</c:v>
                </c:pt>
                <c:pt idx="46">
                  <c:v>0.76266266666666704</c:v>
                </c:pt>
                <c:pt idx="47">
                  <c:v>0.16202533333333299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1BE-4970-B620-7A2E89924229}"/>
            </c:ext>
          </c:extLst>
        </c:ser>
        <c:ser>
          <c:idx val="45"/>
          <c:order val="45"/>
          <c:tx>
            <c:v>BES_TR3_two149_B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Demand_kW!$AV$2:$AV$49</c:f>
              <c:numCache>
                <c:formatCode>#,##0.000</c:formatCode>
                <c:ptCount val="48"/>
                <c:pt idx="0">
                  <c:v>0.101992</c:v>
                </c:pt>
                <c:pt idx="1">
                  <c:v>0.13355966666666699</c:v>
                </c:pt>
                <c:pt idx="2">
                  <c:v>0.15077699999999999</c:v>
                </c:pt>
                <c:pt idx="3">
                  <c:v>0.05</c:v>
                </c:pt>
                <c:pt idx="4">
                  <c:v>0.234336666666667</c:v>
                </c:pt>
                <c:pt idx="5">
                  <c:v>0.05</c:v>
                </c:pt>
                <c:pt idx="6">
                  <c:v>0.05</c:v>
                </c:pt>
                <c:pt idx="7">
                  <c:v>0.12798799999999999</c:v>
                </c:pt>
                <c:pt idx="8">
                  <c:v>0.156348666666667</c:v>
                </c:pt>
                <c:pt idx="9">
                  <c:v>0.05</c:v>
                </c:pt>
                <c:pt idx="10">
                  <c:v>0.13355966666666699</c:v>
                </c:pt>
                <c:pt idx="11">
                  <c:v>0.13777900000000001</c:v>
                </c:pt>
                <c:pt idx="12">
                  <c:v>6.2997999999999998E-2</c:v>
                </c:pt>
                <c:pt idx="13">
                  <c:v>0.20834066666666701</c:v>
                </c:pt>
                <c:pt idx="14">
                  <c:v>7.5995999999999994E-2</c:v>
                </c:pt>
                <c:pt idx="15">
                  <c:v>6.7330666666666705E-2</c:v>
                </c:pt>
                <c:pt idx="16">
                  <c:v>0.194217</c:v>
                </c:pt>
                <c:pt idx="17">
                  <c:v>7.2789000000000006E-2</c:v>
                </c:pt>
                <c:pt idx="18">
                  <c:v>0.12798799999999999</c:v>
                </c:pt>
                <c:pt idx="19">
                  <c:v>0.22840199999999999</c:v>
                </c:pt>
                <c:pt idx="20">
                  <c:v>0.352150666666667</c:v>
                </c:pt>
                <c:pt idx="21">
                  <c:v>0.30943733333333401</c:v>
                </c:pt>
                <c:pt idx="22">
                  <c:v>0.32827400000000001</c:v>
                </c:pt>
                <c:pt idx="23">
                  <c:v>0.19822000000000001</c:v>
                </c:pt>
                <c:pt idx="24">
                  <c:v>0.05</c:v>
                </c:pt>
                <c:pt idx="25">
                  <c:v>0.21267333333333299</c:v>
                </c:pt>
                <c:pt idx="26">
                  <c:v>7.1663333333333398E-2</c:v>
                </c:pt>
                <c:pt idx="27">
                  <c:v>0.178012</c:v>
                </c:pt>
                <c:pt idx="28">
                  <c:v>0.106324666666667</c:v>
                </c:pt>
                <c:pt idx="29">
                  <c:v>0.05</c:v>
                </c:pt>
                <c:pt idx="30">
                  <c:v>0.234336666666667</c:v>
                </c:pt>
                <c:pt idx="31">
                  <c:v>0.05</c:v>
                </c:pt>
                <c:pt idx="32">
                  <c:v>0.156348666666667</c:v>
                </c:pt>
                <c:pt idx="33">
                  <c:v>0.05</c:v>
                </c:pt>
                <c:pt idx="34">
                  <c:v>0.14323733333333299</c:v>
                </c:pt>
                <c:pt idx="35">
                  <c:v>0.14109933333333299</c:v>
                </c:pt>
                <c:pt idx="36">
                  <c:v>0.05</c:v>
                </c:pt>
                <c:pt idx="37">
                  <c:v>0.20400799999999999</c:v>
                </c:pt>
                <c:pt idx="38">
                  <c:v>8.0328666666666701E-2</c:v>
                </c:pt>
                <c:pt idx="39">
                  <c:v>8.8994000000000004E-2</c:v>
                </c:pt>
                <c:pt idx="40">
                  <c:v>0.195342666666667</c:v>
                </c:pt>
                <c:pt idx="41">
                  <c:v>0.05</c:v>
                </c:pt>
                <c:pt idx="42">
                  <c:v>0.05</c:v>
                </c:pt>
                <c:pt idx="43">
                  <c:v>0.37696333333333298</c:v>
                </c:pt>
                <c:pt idx="44">
                  <c:v>0.22991</c:v>
                </c:pt>
                <c:pt idx="45">
                  <c:v>0.255664</c:v>
                </c:pt>
                <c:pt idx="46">
                  <c:v>0.38888366666666702</c:v>
                </c:pt>
                <c:pt idx="47">
                  <c:v>0.453289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71BE-4970-B620-7A2E89924229}"/>
            </c:ext>
          </c:extLst>
        </c:ser>
        <c:ser>
          <c:idx val="46"/>
          <c:order val="46"/>
          <c:tx>
            <c:v>BES_TR3_two225_C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Demand_kW!$AW$2:$AW$49</c:f>
              <c:numCache>
                <c:formatCode>#,##0.000</c:formatCode>
                <c:ptCount val="48"/>
                <c:pt idx="0">
                  <c:v>0.160350666666667</c:v>
                </c:pt>
                <c:pt idx="1">
                  <c:v>0.14604900000000001</c:v>
                </c:pt>
                <c:pt idx="2">
                  <c:v>9.9305666666666501E-2</c:v>
                </c:pt>
                <c:pt idx="3">
                  <c:v>0.24637800000000001</c:v>
                </c:pt>
                <c:pt idx="4">
                  <c:v>0.14861133333333301</c:v>
                </c:pt>
                <c:pt idx="5">
                  <c:v>0.24637800000000001</c:v>
                </c:pt>
                <c:pt idx="6">
                  <c:v>0.05</c:v>
                </c:pt>
                <c:pt idx="7">
                  <c:v>8.9284000000000002E-2</c:v>
                </c:pt>
                <c:pt idx="8">
                  <c:v>0.17930533333333301</c:v>
                </c:pt>
                <c:pt idx="9">
                  <c:v>0.1764</c:v>
                </c:pt>
                <c:pt idx="10">
                  <c:v>0.117344</c:v>
                </c:pt>
                <c:pt idx="11">
                  <c:v>0.22142466666666699</c:v>
                </c:pt>
                <c:pt idx="12">
                  <c:v>0.106220666666667</c:v>
                </c:pt>
                <c:pt idx="13">
                  <c:v>0.05</c:v>
                </c:pt>
                <c:pt idx="14">
                  <c:v>0.26085133333333299</c:v>
                </c:pt>
                <c:pt idx="15">
                  <c:v>0.05</c:v>
                </c:pt>
                <c:pt idx="16">
                  <c:v>1.0831729999999999</c:v>
                </c:pt>
                <c:pt idx="17">
                  <c:v>0.178733</c:v>
                </c:pt>
                <c:pt idx="18">
                  <c:v>0.14725133333333301</c:v>
                </c:pt>
                <c:pt idx="19">
                  <c:v>0.229040666666667</c:v>
                </c:pt>
                <c:pt idx="20">
                  <c:v>0.115440666666667</c:v>
                </c:pt>
                <c:pt idx="21">
                  <c:v>0.16224</c:v>
                </c:pt>
                <c:pt idx="22">
                  <c:v>0.05</c:v>
                </c:pt>
                <c:pt idx="23">
                  <c:v>0.14861133333333301</c:v>
                </c:pt>
                <c:pt idx="24">
                  <c:v>0.218332</c:v>
                </c:pt>
                <c:pt idx="25">
                  <c:v>7.8046000000000004E-2</c:v>
                </c:pt>
                <c:pt idx="26">
                  <c:v>0.486298333333333</c:v>
                </c:pt>
                <c:pt idx="27">
                  <c:v>0.16313866666666699</c:v>
                </c:pt>
                <c:pt idx="28">
                  <c:v>0.143677</c:v>
                </c:pt>
                <c:pt idx="29">
                  <c:v>1.6546843333333301</c:v>
                </c:pt>
                <c:pt idx="30">
                  <c:v>3.44198</c:v>
                </c:pt>
                <c:pt idx="31">
                  <c:v>2.5556753333333302</c:v>
                </c:pt>
                <c:pt idx="32">
                  <c:v>0.46854913333333398</c:v>
                </c:pt>
                <c:pt idx="33">
                  <c:v>0.24285799999999999</c:v>
                </c:pt>
                <c:pt idx="34">
                  <c:v>0.27089153333333299</c:v>
                </c:pt>
                <c:pt idx="35">
                  <c:v>0.78986516666666695</c:v>
                </c:pt>
                <c:pt idx="36">
                  <c:v>0.46214133333333401</c:v>
                </c:pt>
                <c:pt idx="37">
                  <c:v>0.34066566666666698</c:v>
                </c:pt>
                <c:pt idx="38">
                  <c:v>0.29808836666666699</c:v>
                </c:pt>
                <c:pt idx="39">
                  <c:v>0.56607666666666701</c:v>
                </c:pt>
                <c:pt idx="40">
                  <c:v>0.32568133333333299</c:v>
                </c:pt>
                <c:pt idx="41">
                  <c:v>0.31861499999999998</c:v>
                </c:pt>
                <c:pt idx="42">
                  <c:v>0.49265833333333298</c:v>
                </c:pt>
                <c:pt idx="43">
                  <c:v>0.39991666666666698</c:v>
                </c:pt>
                <c:pt idx="44">
                  <c:v>0.42529266666666599</c:v>
                </c:pt>
                <c:pt idx="45">
                  <c:v>0.42664400000000002</c:v>
                </c:pt>
                <c:pt idx="46">
                  <c:v>0.05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1BE-4970-B620-7A2E89924229}"/>
            </c:ext>
          </c:extLst>
        </c:ser>
        <c:ser>
          <c:idx val="47"/>
          <c:order val="47"/>
          <c:tx>
            <c:v>BES_TR3_two229_A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Demand_kW!$AX$2:$AX$49</c:f>
              <c:numCache>
                <c:formatCode>#,##0.000</c:formatCode>
                <c:ptCount val="48"/>
                <c:pt idx="0">
                  <c:v>0.13304733333333299</c:v>
                </c:pt>
                <c:pt idx="1">
                  <c:v>0.17259566666666701</c:v>
                </c:pt>
                <c:pt idx="2">
                  <c:v>0.103509333333333</c:v>
                </c:pt>
                <c:pt idx="3">
                  <c:v>8.9882000000000004E-2</c:v>
                </c:pt>
                <c:pt idx="4">
                  <c:v>0.20894733333333301</c:v>
                </c:pt>
                <c:pt idx="5">
                  <c:v>0.14439133333333301</c:v>
                </c:pt>
                <c:pt idx="6">
                  <c:v>4.9000000000000002E-2</c:v>
                </c:pt>
                <c:pt idx="7">
                  <c:v>0.179866</c:v>
                </c:pt>
                <c:pt idx="8">
                  <c:v>0.173472666666667</c:v>
                </c:pt>
                <c:pt idx="9">
                  <c:v>0.11443300000000001</c:v>
                </c:pt>
                <c:pt idx="10">
                  <c:v>0.14351433333333299</c:v>
                </c:pt>
                <c:pt idx="11">
                  <c:v>0.110323</c:v>
                </c:pt>
                <c:pt idx="12">
                  <c:v>8.30683333333333E-2</c:v>
                </c:pt>
                <c:pt idx="13">
                  <c:v>0.16532533333333299</c:v>
                </c:pt>
                <c:pt idx="14">
                  <c:v>0.18801433333333301</c:v>
                </c:pt>
                <c:pt idx="15">
                  <c:v>9.2621999999999996E-2</c:v>
                </c:pt>
                <c:pt idx="16">
                  <c:v>0.1743382</c:v>
                </c:pt>
                <c:pt idx="17">
                  <c:v>0.147095266666667</c:v>
                </c:pt>
                <c:pt idx="18">
                  <c:v>0.22063533333333299</c:v>
                </c:pt>
                <c:pt idx="19">
                  <c:v>0.19705013333333299</c:v>
                </c:pt>
                <c:pt idx="20">
                  <c:v>0.39985166666666699</c:v>
                </c:pt>
                <c:pt idx="21">
                  <c:v>7.7624666666666606E-2</c:v>
                </c:pt>
                <c:pt idx="22">
                  <c:v>0.144848</c:v>
                </c:pt>
                <c:pt idx="23">
                  <c:v>0.201677</c:v>
                </c:pt>
                <c:pt idx="24">
                  <c:v>0.42206766666666701</c:v>
                </c:pt>
                <c:pt idx="25">
                  <c:v>0.78983000000000003</c:v>
                </c:pt>
                <c:pt idx="26">
                  <c:v>0.17978666666666701</c:v>
                </c:pt>
                <c:pt idx="27">
                  <c:v>0.324392666666667</c:v>
                </c:pt>
                <c:pt idx="28">
                  <c:v>9.1353066666666705E-2</c:v>
                </c:pt>
                <c:pt idx="29">
                  <c:v>0.86385053333333395</c:v>
                </c:pt>
                <c:pt idx="30">
                  <c:v>0.493991666666667</c:v>
                </c:pt>
                <c:pt idx="31">
                  <c:v>0.23723060000000001</c:v>
                </c:pt>
                <c:pt idx="32">
                  <c:v>0.31989173333333298</c:v>
                </c:pt>
                <c:pt idx="33">
                  <c:v>4.9450633333333299E-2</c:v>
                </c:pt>
                <c:pt idx="34">
                  <c:v>0.136764</c:v>
                </c:pt>
                <c:pt idx="35">
                  <c:v>0.28760200000000002</c:v>
                </c:pt>
                <c:pt idx="36">
                  <c:v>0.158055</c:v>
                </c:pt>
                <c:pt idx="37">
                  <c:v>1.5364500000000001</c:v>
                </c:pt>
                <c:pt idx="38">
                  <c:v>0.91814333333333298</c:v>
                </c:pt>
                <c:pt idx="39">
                  <c:v>0.18583666666666701</c:v>
                </c:pt>
                <c:pt idx="40">
                  <c:v>0.33828000000000003</c:v>
                </c:pt>
                <c:pt idx="41">
                  <c:v>0.38942199999999999</c:v>
                </c:pt>
                <c:pt idx="42">
                  <c:v>0.57559000000000005</c:v>
                </c:pt>
                <c:pt idx="43">
                  <c:v>0.76804166666666696</c:v>
                </c:pt>
                <c:pt idx="44">
                  <c:v>1.7013736666666699</c:v>
                </c:pt>
                <c:pt idx="45">
                  <c:v>0.79325299999999999</c:v>
                </c:pt>
                <c:pt idx="46">
                  <c:v>0.26300000000000001</c:v>
                </c:pt>
                <c:pt idx="47">
                  <c:v>5.6270333333333297E-2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71BE-4970-B620-7A2E89924229}"/>
            </c:ext>
          </c:extLst>
        </c:ser>
        <c:ser>
          <c:idx val="48"/>
          <c:order val="48"/>
          <c:tx>
            <c:v>BES_TR3_two242_B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Demand_kW!$AY$2:$AY$49</c:f>
              <c:numCache>
                <c:formatCode>#,##0.000</c:formatCode>
                <c:ptCount val="48"/>
                <c:pt idx="0">
                  <c:v>0.76860333333333297</c:v>
                </c:pt>
                <c:pt idx="1">
                  <c:v>0.109488</c:v>
                </c:pt>
                <c:pt idx="2">
                  <c:v>0.21719866666666701</c:v>
                </c:pt>
                <c:pt idx="3">
                  <c:v>0.109488</c:v>
                </c:pt>
                <c:pt idx="4">
                  <c:v>3.3000000000000002E-2</c:v>
                </c:pt>
                <c:pt idx="5">
                  <c:v>0.109488</c:v>
                </c:pt>
                <c:pt idx="6">
                  <c:v>5.8118000000000003E-2</c:v>
                </c:pt>
                <c:pt idx="7">
                  <c:v>0.19208066666666701</c:v>
                </c:pt>
                <c:pt idx="8">
                  <c:v>9.2490666666666693E-2</c:v>
                </c:pt>
                <c:pt idx="9">
                  <c:v>0.20907800000000001</c:v>
                </c:pt>
                <c:pt idx="10">
                  <c:v>5.8117999999999899E-2</c:v>
                </c:pt>
                <c:pt idx="11">
                  <c:v>0.109488</c:v>
                </c:pt>
                <c:pt idx="12">
                  <c:v>0.21719866666666701</c:v>
                </c:pt>
                <c:pt idx="13">
                  <c:v>5.8495999999999999E-2</c:v>
                </c:pt>
                <c:pt idx="14">
                  <c:v>0.25144533333333302</c:v>
                </c:pt>
                <c:pt idx="15">
                  <c:v>4.9745333333333301E-2</c:v>
                </c:pt>
                <c:pt idx="16">
                  <c:v>0.20996000000000001</c:v>
                </c:pt>
                <c:pt idx="17">
                  <c:v>0.24764600000000001</c:v>
                </c:pt>
                <c:pt idx="18">
                  <c:v>9.2490666666666693E-2</c:v>
                </c:pt>
                <c:pt idx="19">
                  <c:v>0.18396000000000001</c:v>
                </c:pt>
                <c:pt idx="20">
                  <c:v>0.15122533333333299</c:v>
                </c:pt>
                <c:pt idx="21">
                  <c:v>0.12522533333333299</c:v>
                </c:pt>
                <c:pt idx="22">
                  <c:v>0.13347200000000001</c:v>
                </c:pt>
                <c:pt idx="23">
                  <c:v>0.13459733333333301</c:v>
                </c:pt>
                <c:pt idx="24">
                  <c:v>0.22144800000000001</c:v>
                </c:pt>
                <c:pt idx="25">
                  <c:v>0.332440666666666</c:v>
                </c:pt>
                <c:pt idx="26">
                  <c:v>0.41929066666666598</c:v>
                </c:pt>
                <c:pt idx="27">
                  <c:v>0.134606</c:v>
                </c:pt>
                <c:pt idx="28">
                  <c:v>3.3000000000000002E-2</c:v>
                </c:pt>
                <c:pt idx="29">
                  <c:v>8.7917333333333306E-2</c:v>
                </c:pt>
                <c:pt idx="30">
                  <c:v>0.37900533333333303</c:v>
                </c:pt>
                <c:pt idx="31">
                  <c:v>6.1438666666666697E-2</c:v>
                </c:pt>
                <c:pt idx="32">
                  <c:v>0.22868333333333299</c:v>
                </c:pt>
                <c:pt idx="33">
                  <c:v>0.51148333333333296</c:v>
                </c:pt>
                <c:pt idx="34">
                  <c:v>0.26858266666666702</c:v>
                </c:pt>
                <c:pt idx="35">
                  <c:v>0.28531400000000001</c:v>
                </c:pt>
                <c:pt idx="36">
                  <c:v>9.8626666666666599E-2</c:v>
                </c:pt>
                <c:pt idx="37">
                  <c:v>6.1533333333333301E-2</c:v>
                </c:pt>
                <c:pt idx="38">
                  <c:v>0.52089666666666601</c:v>
                </c:pt>
                <c:pt idx="39">
                  <c:v>1.439125</c:v>
                </c:pt>
                <c:pt idx="40">
                  <c:v>1.3432489999999999</c:v>
                </c:pt>
                <c:pt idx="41">
                  <c:v>0.41478500000000001</c:v>
                </c:pt>
                <c:pt idx="42">
                  <c:v>0.20322100000000001</c:v>
                </c:pt>
                <c:pt idx="43">
                  <c:v>0.402268666666667</c:v>
                </c:pt>
                <c:pt idx="44">
                  <c:v>0.26715333333333302</c:v>
                </c:pt>
                <c:pt idx="45">
                  <c:v>0.54029366666666701</c:v>
                </c:pt>
                <c:pt idx="46">
                  <c:v>0.51709666666666698</c:v>
                </c:pt>
                <c:pt idx="47">
                  <c:v>0.16799666666666699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1BE-4970-B620-7A2E89924229}"/>
            </c:ext>
          </c:extLst>
        </c:ser>
        <c:ser>
          <c:idx val="49"/>
          <c:order val="49"/>
          <c:tx>
            <c:v>fleet average</c:v>
          </c:tx>
          <c:spPr>
            <a:ln w="28575">
              <a:solidFill>
                <a:srgbClr val="2D7BD8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ChartData!$U$2:$U$49</c:f>
              <c:numCache>
                <c:formatCode>#,##0.000</c:formatCode>
                <c:ptCount val="48"/>
                <c:pt idx="0">
                  <c:v>0.18860561904761908</c:v>
                </c:pt>
                <c:pt idx="1">
                  <c:v>0.17969246802721098</c:v>
                </c:pt>
                <c:pt idx="2">
                  <c:v>0.14316062585034012</c:v>
                </c:pt>
                <c:pt idx="3">
                  <c:v>0.13740688435374149</c:v>
                </c:pt>
                <c:pt idx="4">
                  <c:v>0.13301136054421769</c:v>
                </c:pt>
                <c:pt idx="5">
                  <c:v>0.11409865306122439</c:v>
                </c:pt>
                <c:pt idx="6">
                  <c:v>0.10898819727891157</c:v>
                </c:pt>
                <c:pt idx="7">
                  <c:v>0.12097806122448976</c:v>
                </c:pt>
                <c:pt idx="8">
                  <c:v>0.11632741496598639</c:v>
                </c:pt>
                <c:pt idx="9">
                  <c:v>0.14219854421768707</c:v>
                </c:pt>
                <c:pt idx="10">
                  <c:v>0.13029317346938776</c:v>
                </c:pt>
                <c:pt idx="11">
                  <c:v>0.11120318367346939</c:v>
                </c:pt>
                <c:pt idx="12">
                  <c:v>0.15649055102040821</c:v>
                </c:pt>
                <c:pt idx="13">
                  <c:v>0.12688432653061227</c:v>
                </c:pt>
                <c:pt idx="14">
                  <c:v>0.23296099727891159</c:v>
                </c:pt>
                <c:pt idx="15">
                  <c:v>0.1777256510204083</c:v>
                </c:pt>
                <c:pt idx="16">
                  <c:v>0.30725656054421796</c:v>
                </c:pt>
                <c:pt idx="17">
                  <c:v>0.27185874149659878</c:v>
                </c:pt>
                <c:pt idx="18">
                  <c:v>0.38909634829931955</c:v>
                </c:pt>
                <c:pt idx="19">
                  <c:v>0.34987377687074833</c:v>
                </c:pt>
                <c:pt idx="20">
                  <c:v>0.34486209183673489</c:v>
                </c:pt>
                <c:pt idx="21">
                  <c:v>0.29174917482993201</c:v>
                </c:pt>
                <c:pt idx="22">
                  <c:v>0.45374157619047611</c:v>
                </c:pt>
                <c:pt idx="23">
                  <c:v>0.44875567551020418</c:v>
                </c:pt>
                <c:pt idx="24">
                  <c:v>0.24394610136054429</c:v>
                </c:pt>
                <c:pt idx="25">
                  <c:v>0.26022106258503402</c:v>
                </c:pt>
                <c:pt idx="26">
                  <c:v>0.370112442176871</c:v>
                </c:pt>
                <c:pt idx="27">
                  <c:v>0.35529202993197284</c:v>
                </c:pt>
                <c:pt idx="28">
                  <c:v>0.28743067006802736</c:v>
                </c:pt>
                <c:pt idx="29">
                  <c:v>0.31986388707482988</c:v>
                </c:pt>
                <c:pt idx="30">
                  <c:v>0.42077240204081645</c:v>
                </c:pt>
                <c:pt idx="31">
                  <c:v>0.33016815374149661</c:v>
                </c:pt>
                <c:pt idx="32">
                  <c:v>0.32540338911564631</c:v>
                </c:pt>
                <c:pt idx="33">
                  <c:v>0.37795886122448985</c:v>
                </c:pt>
                <c:pt idx="34">
                  <c:v>0.35126495646258526</c:v>
                </c:pt>
                <c:pt idx="35">
                  <c:v>0.34511555918367359</c:v>
                </c:pt>
                <c:pt idx="36">
                  <c:v>0.33905987006802718</c:v>
                </c:pt>
                <c:pt idx="37">
                  <c:v>0.41245702517006799</c:v>
                </c:pt>
                <c:pt idx="38">
                  <c:v>0.3053412231292516</c:v>
                </c:pt>
                <c:pt idx="39">
                  <c:v>0.48293246734693895</c:v>
                </c:pt>
                <c:pt idx="40">
                  <c:v>0.46292633877551032</c:v>
                </c:pt>
                <c:pt idx="41">
                  <c:v>0.47963098639455792</c:v>
                </c:pt>
                <c:pt idx="42">
                  <c:v>0.52174998639455783</c:v>
                </c:pt>
                <c:pt idx="43">
                  <c:v>0.46938805442176845</c:v>
                </c:pt>
                <c:pt idx="44">
                  <c:v>0.56727900680272147</c:v>
                </c:pt>
                <c:pt idx="45">
                  <c:v>0.4981532993197279</c:v>
                </c:pt>
                <c:pt idx="46">
                  <c:v>0.40095637414966012</c:v>
                </c:pt>
                <c:pt idx="47">
                  <c:v>0.27882082040816314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71BE-4970-B620-7A2E89924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4.8"/>
          <c:min val="-0.2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Demand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PV generation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BES_TR3_one195_C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PV_kW!$C$2:$C$49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7C-4E80-BC8B-65382E174934}"/>
            </c:ext>
          </c:extLst>
        </c:ser>
        <c:ser>
          <c:idx val="1"/>
          <c:order val="1"/>
          <c:tx>
            <c:v>BES_TR3_one235_A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PV_kW!$D$2:$D$49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7C-4E80-BC8B-65382E174934}"/>
            </c:ext>
          </c:extLst>
        </c:ser>
        <c:ser>
          <c:idx val="2"/>
          <c:order val="2"/>
          <c:tx>
            <c:v>BES_TR3_one242_B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PV_kW!$E$2:$E$49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7C-4E80-BC8B-65382E174934}"/>
            </c:ext>
          </c:extLst>
        </c:ser>
        <c:ser>
          <c:idx val="3"/>
          <c:order val="3"/>
          <c:tx>
            <c:v>BES_TR3_one252_C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7C-4E80-BC8B-65382E174934}"/>
            </c:ext>
          </c:extLst>
        </c:ser>
        <c:ser>
          <c:idx val="4"/>
          <c:order val="4"/>
          <c:tx>
            <c:v>BES_TR3_one260_C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7C-4E80-BC8B-65382E174934}"/>
            </c:ext>
          </c:extLst>
        </c:ser>
        <c:ser>
          <c:idx val="5"/>
          <c:order val="5"/>
          <c:tx>
            <c:v>BES_TR3_one299_B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PV_kW!$H$2:$H$49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7C-4E80-BC8B-65382E174934}"/>
            </c:ext>
          </c:extLst>
        </c:ser>
        <c:ser>
          <c:idx val="6"/>
          <c:order val="6"/>
          <c:tx>
            <c:v>BES_TR3_one313_A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PV_kW!$I$2:$I$49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7C-4E80-BC8B-65382E174934}"/>
            </c:ext>
          </c:extLst>
        </c:ser>
        <c:ser>
          <c:idx val="7"/>
          <c:order val="7"/>
          <c:tx>
            <c:v>BES_TR3_one42_B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PV_kW!$J$2:$J$49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97C-4E80-BC8B-65382E174934}"/>
            </c:ext>
          </c:extLst>
        </c:ser>
        <c:ser>
          <c:idx val="8"/>
          <c:order val="8"/>
          <c:tx>
            <c:v>BES_TR3_one320_B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PV_kW!$K$2:$K$49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7C-4E80-BC8B-65382E174934}"/>
            </c:ext>
          </c:extLst>
        </c:ser>
        <c:ser>
          <c:idx val="9"/>
          <c:order val="9"/>
          <c:tx>
            <c:v>BES_TR3_one346_C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PV_kW!$L$2:$L$49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97C-4E80-BC8B-65382E174934}"/>
            </c:ext>
          </c:extLst>
        </c:ser>
        <c:ser>
          <c:idx val="10"/>
          <c:order val="10"/>
          <c:tx>
            <c:v>BES_TR3_one363_C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PV_kW!$M$2:$M$49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97C-4E80-BC8B-65382E174934}"/>
            </c:ext>
          </c:extLst>
        </c:ser>
        <c:ser>
          <c:idx val="11"/>
          <c:order val="11"/>
          <c:tx>
            <c:v>BES_TR3_one366_B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PV_kW!$N$2:$N$49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97C-4E80-BC8B-65382E174934}"/>
            </c:ext>
          </c:extLst>
        </c:ser>
        <c:ser>
          <c:idx val="12"/>
          <c:order val="12"/>
          <c:tx>
            <c:v>BES_TR3_one371_C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PV_kW!$O$2:$O$49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97C-4E80-BC8B-65382E174934}"/>
            </c:ext>
          </c:extLst>
        </c:ser>
        <c:ser>
          <c:idx val="13"/>
          <c:order val="13"/>
          <c:tx>
            <c:v>BES_TR3_one375_C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PV_kW!$P$2:$P$49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97C-4E80-BC8B-65382E174934}"/>
            </c:ext>
          </c:extLst>
        </c:ser>
        <c:ser>
          <c:idx val="14"/>
          <c:order val="14"/>
          <c:tx>
            <c:v>BES_TR3_one410_B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PV_kW!$Q$2:$Q$49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97C-4E80-BC8B-65382E174934}"/>
            </c:ext>
          </c:extLst>
        </c:ser>
        <c:ser>
          <c:idx val="15"/>
          <c:order val="15"/>
          <c:tx>
            <c:v>BES_TR3_one50_A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PV_kW!$R$2:$R$49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97C-4E80-BC8B-65382E174934}"/>
            </c:ext>
          </c:extLst>
        </c:ser>
        <c:ser>
          <c:idx val="16"/>
          <c:order val="16"/>
          <c:tx>
            <c:v>BES_TR3_one423_B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PV_kW!$S$2:$S$49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97C-4E80-BC8B-65382E174934}"/>
            </c:ext>
          </c:extLst>
        </c:ser>
        <c:ser>
          <c:idx val="17"/>
          <c:order val="17"/>
          <c:tx>
            <c:v>BES_TR3_one446_B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PV_kW!$T$2:$T$49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97C-4E80-BC8B-65382E174934}"/>
            </c:ext>
          </c:extLst>
        </c:ser>
        <c:ser>
          <c:idx val="18"/>
          <c:order val="18"/>
          <c:tx>
            <c:v>BES_TR3_one469_A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PV_kW!$U$2:$U$49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97C-4E80-BC8B-65382E174934}"/>
            </c:ext>
          </c:extLst>
        </c:ser>
        <c:ser>
          <c:idx val="19"/>
          <c:order val="19"/>
          <c:tx>
            <c:v>BES_TR3_one477_A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97C-4E80-BC8B-65382E174934}"/>
            </c:ext>
          </c:extLst>
        </c:ser>
        <c:ser>
          <c:idx val="20"/>
          <c:order val="20"/>
          <c:tx>
            <c:v>BES_TR3_one480_A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97C-4E80-BC8B-65382E174934}"/>
            </c:ext>
          </c:extLst>
        </c:ser>
        <c:ser>
          <c:idx val="21"/>
          <c:order val="21"/>
          <c:tx>
            <c:v>BES_TR3_one482_B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97C-4E80-BC8B-65382E174934}"/>
            </c:ext>
          </c:extLst>
        </c:ser>
        <c:ser>
          <c:idx val="22"/>
          <c:order val="22"/>
          <c:tx>
            <c:v>BES_TR3_one521_C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97C-4E80-BC8B-65382E174934}"/>
            </c:ext>
          </c:extLst>
        </c:ser>
        <c:ser>
          <c:idx val="23"/>
          <c:order val="23"/>
          <c:tx>
            <c:v>BES_TR3_one528_C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PV_kW!$Z$2:$Z$49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97C-4E80-BC8B-65382E174934}"/>
            </c:ext>
          </c:extLst>
        </c:ser>
        <c:ser>
          <c:idx val="24"/>
          <c:order val="24"/>
          <c:tx>
            <c:v>BES_TR3_one61_A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97C-4E80-BC8B-65382E174934}"/>
            </c:ext>
          </c:extLst>
        </c:ser>
        <c:ser>
          <c:idx val="25"/>
          <c:order val="25"/>
          <c:tx>
            <c:v>BES_TR3_one544_A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97C-4E80-BC8B-65382E174934}"/>
            </c:ext>
          </c:extLst>
        </c:ser>
        <c:ser>
          <c:idx val="26"/>
          <c:order val="26"/>
          <c:tx>
            <c:v>BES_TR3_one552_B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PV_kW!$AC$2:$AC$49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97C-4E80-BC8B-65382E174934}"/>
            </c:ext>
          </c:extLst>
        </c:ser>
        <c:ser>
          <c:idx val="27"/>
          <c:order val="27"/>
          <c:tx>
            <c:v>BES_TR3_one559_C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PV_kW!$AD$2:$AD$49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97C-4E80-BC8B-65382E174934}"/>
            </c:ext>
          </c:extLst>
        </c:ser>
        <c:ser>
          <c:idx val="28"/>
          <c:order val="28"/>
          <c:tx>
            <c:v>BES_TR3_one570_B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PV_kW!$AE$2:$AE$49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97C-4E80-BC8B-65382E174934}"/>
            </c:ext>
          </c:extLst>
        </c:ser>
        <c:ser>
          <c:idx val="29"/>
          <c:order val="29"/>
          <c:tx>
            <c:v>BES_TR3_one605_A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PV_kW!$AF$2:$AF$49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97C-4E80-BC8B-65382E174934}"/>
            </c:ext>
          </c:extLst>
        </c:ser>
        <c:ser>
          <c:idx val="30"/>
          <c:order val="30"/>
          <c:tx>
            <c:v>BES_TR3_one614_B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97C-4E80-BC8B-65382E174934}"/>
            </c:ext>
          </c:extLst>
        </c:ser>
        <c:ser>
          <c:idx val="31"/>
          <c:order val="31"/>
          <c:tx>
            <c:v>BES_TR3_one617_A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PV_kW!$AH$2:$AH$49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97C-4E80-BC8B-65382E174934}"/>
            </c:ext>
          </c:extLst>
        </c:ser>
        <c:ser>
          <c:idx val="32"/>
          <c:order val="32"/>
          <c:tx>
            <c:v>BES_TR3_one73_A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PV_kW!$AI$2:$AI$49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97C-4E80-BC8B-65382E174934}"/>
            </c:ext>
          </c:extLst>
        </c:ser>
        <c:ser>
          <c:idx val="33"/>
          <c:order val="33"/>
          <c:tx>
            <c:v>BES_TR3_one76_A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PV_kW!$AJ$2:$AJ$49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097C-4E80-BC8B-65382E174934}"/>
            </c:ext>
          </c:extLst>
        </c:ser>
        <c:ser>
          <c:idx val="34"/>
          <c:order val="34"/>
          <c:tx>
            <c:v>BES_TR3_one137_A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PV_kW!$AK$2:$AK$49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97C-4E80-BC8B-65382E174934}"/>
            </c:ext>
          </c:extLst>
        </c:ser>
        <c:ser>
          <c:idx val="35"/>
          <c:order val="35"/>
          <c:tx>
            <c:v>BES_TR3_one176_A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PV_kW!$AL$2:$AL$49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097C-4E80-BC8B-65382E174934}"/>
            </c:ext>
          </c:extLst>
        </c:ser>
        <c:ser>
          <c:idx val="36"/>
          <c:order val="36"/>
          <c:tx>
            <c:v>BES_TR3_two130_C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PV_kW!$AM$2:$AM$49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97C-4E80-BC8B-65382E174934}"/>
            </c:ext>
          </c:extLst>
        </c:ser>
        <c:ser>
          <c:idx val="37"/>
          <c:order val="37"/>
          <c:tx>
            <c:v>BES_TR3_two249_A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PV_kW!$AN$2:$AN$49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097C-4E80-BC8B-65382E174934}"/>
            </c:ext>
          </c:extLst>
        </c:ser>
        <c:ser>
          <c:idx val="38"/>
          <c:order val="38"/>
          <c:tx>
            <c:v>BES_TR3_two267_C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PV_kW!$AO$2:$AO$49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97C-4E80-BC8B-65382E174934}"/>
            </c:ext>
          </c:extLst>
        </c:ser>
        <c:ser>
          <c:idx val="39"/>
          <c:order val="39"/>
          <c:tx>
            <c:v>BES_TR3_two292_B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097C-4E80-BC8B-65382E174934}"/>
            </c:ext>
          </c:extLst>
        </c:ser>
        <c:ser>
          <c:idx val="40"/>
          <c:order val="40"/>
          <c:tx>
            <c:v>BES_TR3_two308_A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PV_kW!$AQ$2:$AQ$49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97C-4E80-BC8B-65382E174934}"/>
            </c:ext>
          </c:extLst>
        </c:ser>
        <c:ser>
          <c:idx val="41"/>
          <c:order val="41"/>
          <c:tx>
            <c:v>BES_TR3_two313_C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PV_kW!$AR$2:$AR$49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097C-4E80-BC8B-65382E174934}"/>
            </c:ext>
          </c:extLst>
        </c:ser>
        <c:ser>
          <c:idx val="42"/>
          <c:order val="42"/>
          <c:tx>
            <c:v>BES_TR3_two137_B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PV_kW!$AS$2:$AS$49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97C-4E80-BC8B-65382E174934}"/>
            </c:ext>
          </c:extLst>
        </c:ser>
        <c:ser>
          <c:idx val="43"/>
          <c:order val="43"/>
          <c:tx>
            <c:v>BES_TR3_two316_A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PV_kW!$AT$2:$AT$49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097C-4E80-BC8B-65382E174934}"/>
            </c:ext>
          </c:extLst>
        </c:ser>
        <c:ser>
          <c:idx val="44"/>
          <c:order val="44"/>
          <c:tx>
            <c:v>BES_TR3_two339_A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PV_kW!$AU$2:$AU$49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97C-4E80-BC8B-65382E174934}"/>
            </c:ext>
          </c:extLst>
        </c:ser>
        <c:ser>
          <c:idx val="45"/>
          <c:order val="45"/>
          <c:tx>
            <c:v>BES_TR3_two149_B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PV_kW!$AV$2:$AV$49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097C-4E80-BC8B-65382E174934}"/>
            </c:ext>
          </c:extLst>
        </c:ser>
        <c:ser>
          <c:idx val="46"/>
          <c:order val="46"/>
          <c:tx>
            <c:v>BES_TR3_two225_C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PV_kW!$AW$2:$AW$49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97C-4E80-BC8B-65382E174934}"/>
            </c:ext>
          </c:extLst>
        </c:ser>
        <c:ser>
          <c:idx val="47"/>
          <c:order val="47"/>
          <c:tx>
            <c:v>BES_TR3_two229_A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PV_kW!$AX$2:$AX$49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097C-4E80-BC8B-65382E174934}"/>
            </c:ext>
          </c:extLst>
        </c:ser>
        <c:ser>
          <c:idx val="48"/>
          <c:order val="48"/>
          <c:tx>
            <c:v>BES_TR3_two242_B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PV_kW!$AY$2:$AY$49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97C-4E80-BC8B-65382E174934}"/>
            </c:ext>
          </c:extLst>
        </c:ser>
        <c:ser>
          <c:idx val="49"/>
          <c:order val="49"/>
          <c:tx>
            <c:v>fleet average</c:v>
          </c:tx>
          <c:spPr>
            <a:ln w="28575">
              <a:solidFill>
                <a:srgbClr val="E6A000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2.8614845156462597E-3</c:v>
                </c:pt>
                <c:pt idx="8">
                  <c:v>4.1360827974149549E-2</c:v>
                </c:pt>
                <c:pt idx="9">
                  <c:v>0.19341576440612251</c:v>
                </c:pt>
                <c:pt idx="10">
                  <c:v>0.38366564789523899</c:v>
                </c:pt>
                <c:pt idx="11">
                  <c:v>0.61695331721904634</c:v>
                </c:pt>
                <c:pt idx="12">
                  <c:v>0.87148331941156598</c:v>
                </c:pt>
                <c:pt idx="13">
                  <c:v>1.1291418894925154</c:v>
                </c:pt>
                <c:pt idx="14">
                  <c:v>1.3854662812877561</c:v>
                </c:pt>
                <c:pt idx="15">
                  <c:v>1.6421635340306122</c:v>
                </c:pt>
                <c:pt idx="16">
                  <c:v>1.8830902648850352</c:v>
                </c:pt>
                <c:pt idx="17">
                  <c:v>2.1095617457999998</c:v>
                </c:pt>
                <c:pt idx="18">
                  <c:v>2.3024376740544232</c:v>
                </c:pt>
                <c:pt idx="19">
                  <c:v>2.4669413020394546</c:v>
                </c:pt>
                <c:pt idx="20">
                  <c:v>2.6113339679585033</c:v>
                </c:pt>
                <c:pt idx="21">
                  <c:v>2.7305037487530628</c:v>
                </c:pt>
                <c:pt idx="22">
                  <c:v>2.8150581720442198</c:v>
                </c:pt>
                <c:pt idx="23">
                  <c:v>2.8521396608897955</c:v>
                </c:pt>
                <c:pt idx="24">
                  <c:v>2.8628798808054423</c:v>
                </c:pt>
                <c:pt idx="25">
                  <c:v>2.8427879211020413</c:v>
                </c:pt>
                <c:pt idx="26">
                  <c:v>2.7752899620714309</c:v>
                </c:pt>
                <c:pt idx="27">
                  <c:v>2.6723137519238107</c:v>
                </c:pt>
                <c:pt idx="28">
                  <c:v>2.5493764622020403</c:v>
                </c:pt>
                <c:pt idx="29">
                  <c:v>2.3935969296421788</c:v>
                </c:pt>
                <c:pt idx="30">
                  <c:v>2.2280507380224481</c:v>
                </c:pt>
                <c:pt idx="31">
                  <c:v>2.0288375927564628</c:v>
                </c:pt>
                <c:pt idx="32">
                  <c:v>1.8044765782925161</c:v>
                </c:pt>
                <c:pt idx="33">
                  <c:v>1.5335898851435368</c:v>
                </c:pt>
                <c:pt idx="34">
                  <c:v>1.2800587324251682</c:v>
                </c:pt>
                <c:pt idx="35">
                  <c:v>1.0195397359979597</c:v>
                </c:pt>
                <c:pt idx="36">
                  <c:v>0.76752785893197362</c:v>
                </c:pt>
                <c:pt idx="37">
                  <c:v>0.52455289968367358</c:v>
                </c:pt>
                <c:pt idx="38">
                  <c:v>0.30630756061496583</c:v>
                </c:pt>
                <c:pt idx="39">
                  <c:v>8.9117712189795972E-2</c:v>
                </c:pt>
                <c:pt idx="40">
                  <c:v>1.6436201691156473E-2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097C-4E80-BC8B-65382E174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.7"/>
          <c:min val="-0.2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PV generation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Battery charging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BES_TR3_one195_C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Charge_kW!$C$2:$C$49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0.11799999999999999</c:v>
                </c:pt>
                <c:pt idx="10">
                  <c:v>0.17599999999999999</c:v>
                </c:pt>
                <c:pt idx="11">
                  <c:v>0.63300000000000001</c:v>
                </c:pt>
                <c:pt idx="12">
                  <c:v>0.83199999999999996</c:v>
                </c:pt>
                <c:pt idx="13">
                  <c:v>1.1819999999999999</c:v>
                </c:pt>
                <c:pt idx="14">
                  <c:v>1.548</c:v>
                </c:pt>
                <c:pt idx="15">
                  <c:v>1.722</c:v>
                </c:pt>
                <c:pt idx="16">
                  <c:v>0</c:v>
                </c:pt>
                <c:pt idx="17">
                  <c:v>1.335</c:v>
                </c:pt>
                <c:pt idx="18">
                  <c:v>0.91400000000000003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6C-48F0-9E24-8385595EE142}"/>
            </c:ext>
          </c:extLst>
        </c:ser>
        <c:ser>
          <c:idx val="1"/>
          <c:order val="1"/>
          <c:tx>
            <c:v>BES_TR3_one235_A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Charge_kW!$D$2:$D$49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0.39300000000000002</c:v>
                </c:pt>
                <c:pt idx="11">
                  <c:v>0.48599999999999999</c:v>
                </c:pt>
                <c:pt idx="12">
                  <c:v>1.002</c:v>
                </c:pt>
                <c:pt idx="13">
                  <c:v>1.2450000000000001</c:v>
                </c:pt>
                <c:pt idx="14">
                  <c:v>1.454</c:v>
                </c:pt>
                <c:pt idx="15">
                  <c:v>1.871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0.747</c:v>
                </c:pt>
                <c:pt idx="37">
                  <c:v>0.49399999999999999</c:v>
                </c:pt>
                <c:pt idx="38">
                  <c:v>0.245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6C-48F0-9E24-8385595EE142}"/>
            </c:ext>
          </c:extLst>
        </c:ser>
        <c:ser>
          <c:idx val="2"/>
          <c:order val="2"/>
          <c:tx>
            <c:v>BES_TR3_one242_B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Charge_kW!$E$2:$E$49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0.248</c:v>
                </c:pt>
                <c:pt idx="11">
                  <c:v>0.46600000000000003</c:v>
                </c:pt>
                <c:pt idx="12">
                  <c:v>0.90300000000000002</c:v>
                </c:pt>
                <c:pt idx="13">
                  <c:v>1.3120000000000001</c:v>
                </c:pt>
                <c:pt idx="14">
                  <c:v>1.458</c:v>
                </c:pt>
                <c:pt idx="15">
                  <c:v>1.929</c:v>
                </c:pt>
                <c:pt idx="16">
                  <c:v>0.78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6C-48F0-9E24-8385595EE142}"/>
            </c:ext>
          </c:extLst>
        </c:ser>
        <c:ser>
          <c:idx val="3"/>
          <c:order val="3"/>
          <c:tx>
            <c:v>BES_TR3_one252_C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0.126</c:v>
                </c:pt>
                <c:pt idx="10">
                  <c:v>0.18</c:v>
                </c:pt>
                <c:pt idx="11">
                  <c:v>0.50800000000000001</c:v>
                </c:pt>
                <c:pt idx="12">
                  <c:v>0.62</c:v>
                </c:pt>
                <c:pt idx="13">
                  <c:v>0.97000000000000008</c:v>
                </c:pt>
                <c:pt idx="14">
                  <c:v>0</c:v>
                </c:pt>
                <c:pt idx="15">
                  <c:v>1.409</c:v>
                </c:pt>
                <c:pt idx="16">
                  <c:v>1.5620000000000001</c:v>
                </c:pt>
                <c:pt idx="17">
                  <c:v>1.2949999999999999</c:v>
                </c:pt>
                <c:pt idx="18">
                  <c:v>0.29199999999999998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0.122</c:v>
                </c:pt>
                <c:pt idx="39">
                  <c:v>2.1000000000000001E-2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6C-48F0-9E24-8385595EE142}"/>
            </c:ext>
          </c:extLst>
        </c:ser>
        <c:ser>
          <c:idx val="4"/>
          <c:order val="4"/>
          <c:tx>
            <c:v>BES_TR3_one260_C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2E-3</c:v>
                </c:pt>
                <c:pt idx="9">
                  <c:v>6.4999999999999988E-2</c:v>
                </c:pt>
                <c:pt idx="10">
                  <c:v>0.41299999999999998</c:v>
                </c:pt>
                <c:pt idx="11">
                  <c:v>0.628</c:v>
                </c:pt>
                <c:pt idx="12">
                  <c:v>0.94600000000000006</c:v>
                </c:pt>
                <c:pt idx="13">
                  <c:v>1.31</c:v>
                </c:pt>
                <c:pt idx="14">
                  <c:v>1.57</c:v>
                </c:pt>
                <c:pt idx="15">
                  <c:v>1.1120000000000001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6C-48F0-9E24-8385595EE142}"/>
            </c:ext>
          </c:extLst>
        </c:ser>
        <c:ser>
          <c:idx val="5"/>
          <c:order val="5"/>
          <c:tx>
            <c:v>BES_TR3_one299_B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Charge_kW!$H$2:$H$49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5.8999999999999997E-2</c:v>
                </c:pt>
                <c:pt idx="10">
                  <c:v>0.317</c:v>
                </c:pt>
                <c:pt idx="11">
                  <c:v>0.68900000000000006</c:v>
                </c:pt>
                <c:pt idx="12">
                  <c:v>0.92599999999999993</c:v>
                </c:pt>
                <c:pt idx="13">
                  <c:v>0.77100000000000002</c:v>
                </c:pt>
                <c:pt idx="14">
                  <c:v>0.19900000000000001</c:v>
                </c:pt>
                <c:pt idx="15">
                  <c:v>1.7729999999999999</c:v>
                </c:pt>
                <c:pt idx="16">
                  <c:v>0.71299999999999997</c:v>
                </c:pt>
                <c:pt idx="17">
                  <c:v>1.048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6C-48F0-9E24-8385595EE142}"/>
            </c:ext>
          </c:extLst>
        </c:ser>
        <c:ser>
          <c:idx val="6"/>
          <c:order val="6"/>
          <c:tx>
            <c:v>BES_TR3_one313_A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Charge_kW!$I$2:$I$49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8.3999999999999991E-2</c:v>
                </c:pt>
                <c:pt idx="10">
                  <c:v>0.13800000000000001</c:v>
                </c:pt>
                <c:pt idx="11">
                  <c:v>0.39200000000000002</c:v>
                </c:pt>
                <c:pt idx="12">
                  <c:v>0.621</c:v>
                </c:pt>
                <c:pt idx="13">
                  <c:v>0.80300000000000005</c:v>
                </c:pt>
                <c:pt idx="14">
                  <c:v>0.69700000000000006</c:v>
                </c:pt>
                <c:pt idx="15">
                  <c:v>0.85</c:v>
                </c:pt>
                <c:pt idx="16">
                  <c:v>1.2869999999999999</c:v>
                </c:pt>
                <c:pt idx="17">
                  <c:v>1.671</c:v>
                </c:pt>
                <c:pt idx="18">
                  <c:v>0.39100000000000001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6C-48F0-9E24-8385595EE142}"/>
            </c:ext>
          </c:extLst>
        </c:ser>
        <c:ser>
          <c:idx val="7"/>
          <c:order val="7"/>
          <c:tx>
            <c:v>BES_TR3_one42_B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Charge_kW!$J$2:$J$49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0.16300000000000001</c:v>
                </c:pt>
                <c:pt idx="10">
                  <c:v>0.34300000000000003</c:v>
                </c:pt>
                <c:pt idx="11">
                  <c:v>0.57200000000000006</c:v>
                </c:pt>
                <c:pt idx="12">
                  <c:v>0.83600000000000008</c:v>
                </c:pt>
                <c:pt idx="13">
                  <c:v>1.131</c:v>
                </c:pt>
                <c:pt idx="14">
                  <c:v>1.425</c:v>
                </c:pt>
                <c:pt idx="15">
                  <c:v>1.272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0.16500000000000001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86C-48F0-9E24-8385595EE142}"/>
            </c:ext>
          </c:extLst>
        </c:ser>
        <c:ser>
          <c:idx val="8"/>
          <c:order val="8"/>
          <c:tx>
            <c:v>BES_TR3_one320_B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Charge_kW!$K$2:$K$49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0.124</c:v>
                </c:pt>
                <c:pt idx="10">
                  <c:v>0.41499999999999998</c:v>
                </c:pt>
                <c:pt idx="11">
                  <c:v>0.69599999999999995</c:v>
                </c:pt>
                <c:pt idx="12">
                  <c:v>0.84900000000000009</c:v>
                </c:pt>
                <c:pt idx="13">
                  <c:v>1.3120000000000001</c:v>
                </c:pt>
                <c:pt idx="14">
                  <c:v>1.5269999999999999</c:v>
                </c:pt>
                <c:pt idx="15">
                  <c:v>1.403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6C-48F0-9E24-8385595EE142}"/>
            </c:ext>
          </c:extLst>
        </c:ser>
        <c:ser>
          <c:idx val="9"/>
          <c:order val="9"/>
          <c:tx>
            <c:v>BES_TR3_one346_C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Charge_kW!$L$2:$L$49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0.182</c:v>
                </c:pt>
                <c:pt idx="10">
                  <c:v>0.36799999999999999</c:v>
                </c:pt>
                <c:pt idx="11">
                  <c:v>0.66400000000000003</c:v>
                </c:pt>
                <c:pt idx="12">
                  <c:v>0.99700000000000011</c:v>
                </c:pt>
                <c:pt idx="13">
                  <c:v>1.2370000000000001</c:v>
                </c:pt>
                <c:pt idx="14">
                  <c:v>1.615</c:v>
                </c:pt>
                <c:pt idx="15">
                  <c:v>0.90900000000000003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86C-48F0-9E24-8385595EE142}"/>
            </c:ext>
          </c:extLst>
        </c:ser>
        <c:ser>
          <c:idx val="10"/>
          <c:order val="10"/>
          <c:tx>
            <c:v>BES_TR3_one363_C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Charge_kW!$M$2:$M$49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6.2E-2</c:v>
                </c:pt>
                <c:pt idx="10">
                  <c:v>0.113</c:v>
                </c:pt>
                <c:pt idx="11">
                  <c:v>0.317</c:v>
                </c:pt>
                <c:pt idx="12">
                  <c:v>0.438</c:v>
                </c:pt>
                <c:pt idx="13">
                  <c:v>0.59299999999999997</c:v>
                </c:pt>
                <c:pt idx="14">
                  <c:v>0.77899999999999991</c:v>
                </c:pt>
                <c:pt idx="15">
                  <c:v>0.87</c:v>
                </c:pt>
                <c:pt idx="16">
                  <c:v>0.82600000000000007</c:v>
                </c:pt>
                <c:pt idx="17">
                  <c:v>0.96599999999999997</c:v>
                </c:pt>
                <c:pt idx="18">
                  <c:v>1.157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0.33600000000000002</c:v>
                </c:pt>
                <c:pt idx="35">
                  <c:v>0.40899999999999997</c:v>
                </c:pt>
                <c:pt idx="36">
                  <c:v>0.189</c:v>
                </c:pt>
                <c:pt idx="37">
                  <c:v>3.6999999999999998E-2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86C-48F0-9E24-8385595EE142}"/>
            </c:ext>
          </c:extLst>
        </c:ser>
        <c:ser>
          <c:idx val="11"/>
          <c:order val="11"/>
          <c:tx>
            <c:v>BES_TR3_one366_B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Charge_kW!$N$2:$N$49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0.16600000000000001</c:v>
                </c:pt>
                <c:pt idx="11">
                  <c:v>0.313</c:v>
                </c:pt>
                <c:pt idx="12">
                  <c:v>0.35</c:v>
                </c:pt>
                <c:pt idx="13">
                  <c:v>0.58100000000000007</c:v>
                </c:pt>
                <c:pt idx="14">
                  <c:v>0.6130000000000001</c:v>
                </c:pt>
                <c:pt idx="15">
                  <c:v>0.89400000000000002</c:v>
                </c:pt>
                <c:pt idx="16">
                  <c:v>0.97199999999999998</c:v>
                </c:pt>
                <c:pt idx="17">
                  <c:v>1.159</c:v>
                </c:pt>
                <c:pt idx="18">
                  <c:v>1.3009999999999999</c:v>
                </c:pt>
                <c:pt idx="19">
                  <c:v>1.1579999999999999</c:v>
                </c:pt>
                <c:pt idx="20">
                  <c:v>0.46100000000000002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86C-48F0-9E24-8385595EE142}"/>
            </c:ext>
          </c:extLst>
        </c:ser>
        <c:ser>
          <c:idx val="12"/>
          <c:order val="12"/>
          <c:tx>
            <c:v>BES_TR3_one371_C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Charge_kW!$O$2:$O$49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8.0000000000000002E-3</c:v>
                </c:pt>
                <c:pt idx="9">
                  <c:v>2.5999999999999999E-2</c:v>
                </c:pt>
                <c:pt idx="10">
                  <c:v>0.41899999999999998</c:v>
                </c:pt>
                <c:pt idx="11">
                  <c:v>0.66299999999999992</c:v>
                </c:pt>
                <c:pt idx="12">
                  <c:v>0.879</c:v>
                </c:pt>
                <c:pt idx="13">
                  <c:v>1.3160000000000001</c:v>
                </c:pt>
                <c:pt idx="14">
                  <c:v>1.6240000000000001</c:v>
                </c:pt>
                <c:pt idx="15">
                  <c:v>1.145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0.68199999999999994</c:v>
                </c:pt>
                <c:pt idx="28">
                  <c:v>0.19500000000000001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1.615</c:v>
                </c:pt>
                <c:pt idx="33">
                  <c:v>0.17499999999999999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86C-48F0-9E24-8385595EE142}"/>
            </c:ext>
          </c:extLst>
        </c:ser>
        <c:ser>
          <c:idx val="13"/>
          <c:order val="13"/>
          <c:tx>
            <c:v>BES_TR3_one375_C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Charge_kW!$P$2:$P$49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0.27700000000000002</c:v>
                </c:pt>
                <c:pt idx="11">
                  <c:v>0.54799999999999993</c:v>
                </c:pt>
                <c:pt idx="12">
                  <c:v>0.89600000000000002</c:v>
                </c:pt>
                <c:pt idx="13">
                  <c:v>1.145</c:v>
                </c:pt>
                <c:pt idx="14">
                  <c:v>1.361</c:v>
                </c:pt>
                <c:pt idx="15">
                  <c:v>1.74</c:v>
                </c:pt>
                <c:pt idx="16">
                  <c:v>1.03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86C-48F0-9E24-8385595EE142}"/>
            </c:ext>
          </c:extLst>
        </c:ser>
        <c:ser>
          <c:idx val="14"/>
          <c:order val="14"/>
          <c:tx>
            <c:v>BES_TR3_one410_B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Charge_kW!$Q$2:$Q$49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0.104</c:v>
                </c:pt>
                <c:pt idx="11">
                  <c:v>0.151</c:v>
                </c:pt>
                <c:pt idx="12">
                  <c:v>0.40200000000000002</c:v>
                </c:pt>
                <c:pt idx="13">
                  <c:v>0.57799999999999996</c:v>
                </c:pt>
                <c:pt idx="14">
                  <c:v>0.53500000000000003</c:v>
                </c:pt>
                <c:pt idx="15">
                  <c:v>0.80400000000000005</c:v>
                </c:pt>
                <c:pt idx="16">
                  <c:v>0.28499999999999998</c:v>
                </c:pt>
                <c:pt idx="17">
                  <c:v>1.1299999999999999</c:v>
                </c:pt>
                <c:pt idx="18">
                  <c:v>1.258</c:v>
                </c:pt>
                <c:pt idx="19">
                  <c:v>1.389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86C-48F0-9E24-8385595EE142}"/>
            </c:ext>
          </c:extLst>
        </c:ser>
        <c:ser>
          <c:idx val="15"/>
          <c:order val="15"/>
          <c:tx>
            <c:v>BES_TR3_one50_A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Charge_kW!$R$2:$R$49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0.40899999999999997</c:v>
                </c:pt>
                <c:pt idx="12">
                  <c:v>0.47</c:v>
                </c:pt>
                <c:pt idx="13">
                  <c:v>0.6130000000000001</c:v>
                </c:pt>
                <c:pt idx="14">
                  <c:v>0.98599999999999988</c:v>
                </c:pt>
                <c:pt idx="15">
                  <c:v>1.0009999999999999</c:v>
                </c:pt>
                <c:pt idx="16">
                  <c:v>1.36</c:v>
                </c:pt>
                <c:pt idx="17">
                  <c:v>1.482</c:v>
                </c:pt>
                <c:pt idx="18">
                  <c:v>1.2190000000000001</c:v>
                </c:pt>
                <c:pt idx="19">
                  <c:v>0.36699999999999999</c:v>
                </c:pt>
                <c:pt idx="20">
                  <c:v>6.0999999999999999E-2</c:v>
                </c:pt>
                <c:pt idx="21">
                  <c:v>0</c:v>
                </c:pt>
                <c:pt idx="22">
                  <c:v>0</c:v>
                </c:pt>
                <c:pt idx="23">
                  <c:v>0.16400000000000001</c:v>
                </c:pt>
                <c:pt idx="24">
                  <c:v>0.48099999999999998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0.16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86C-48F0-9E24-8385595EE142}"/>
            </c:ext>
          </c:extLst>
        </c:ser>
        <c:ser>
          <c:idx val="16"/>
          <c:order val="16"/>
          <c:tx>
            <c:v>BES_TR3_one423_B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Charge_kW!$S$2:$S$49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7.2000000000000008E-2</c:v>
                </c:pt>
                <c:pt idx="10">
                  <c:v>0.33600000000000002</c:v>
                </c:pt>
                <c:pt idx="11">
                  <c:v>0.46700000000000003</c:v>
                </c:pt>
                <c:pt idx="12">
                  <c:v>0.86199999999999999</c:v>
                </c:pt>
                <c:pt idx="13">
                  <c:v>0.94899999999999995</c:v>
                </c:pt>
                <c:pt idx="14">
                  <c:v>0</c:v>
                </c:pt>
                <c:pt idx="15">
                  <c:v>0.752</c:v>
                </c:pt>
                <c:pt idx="16">
                  <c:v>0.65799999999999992</c:v>
                </c:pt>
                <c:pt idx="17">
                  <c:v>0.371</c:v>
                </c:pt>
                <c:pt idx="18">
                  <c:v>1.127</c:v>
                </c:pt>
                <c:pt idx="19">
                  <c:v>1.2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86C-48F0-9E24-8385595EE142}"/>
            </c:ext>
          </c:extLst>
        </c:ser>
        <c:ser>
          <c:idx val="17"/>
          <c:order val="17"/>
          <c:tx>
            <c:v>BES_TR3_one446_B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Charge_kW!$T$2:$T$49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0.17199999999999999</c:v>
                </c:pt>
                <c:pt idx="10">
                  <c:v>0.24099999999999999</c:v>
                </c:pt>
                <c:pt idx="11">
                  <c:v>0.63600000000000001</c:v>
                </c:pt>
                <c:pt idx="12">
                  <c:v>0.80400000000000005</c:v>
                </c:pt>
                <c:pt idx="13">
                  <c:v>1.2629999999999999</c:v>
                </c:pt>
                <c:pt idx="14">
                  <c:v>1.4890000000000001</c:v>
                </c:pt>
                <c:pt idx="15">
                  <c:v>1.754</c:v>
                </c:pt>
                <c:pt idx="16">
                  <c:v>0.6130000000000001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86C-48F0-9E24-8385595EE142}"/>
            </c:ext>
          </c:extLst>
        </c:ser>
        <c:ser>
          <c:idx val="18"/>
          <c:order val="18"/>
          <c:tx>
            <c:v>BES_TR3_one469_A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Charge_kW!$U$2:$U$49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4.9000000000000002E-2</c:v>
                </c:pt>
                <c:pt idx="10">
                  <c:v>0.22700000000000001</c:v>
                </c:pt>
                <c:pt idx="11">
                  <c:v>0.52300000000000002</c:v>
                </c:pt>
                <c:pt idx="12">
                  <c:v>0.71100000000000008</c:v>
                </c:pt>
                <c:pt idx="13">
                  <c:v>1.0620000000000001</c:v>
                </c:pt>
                <c:pt idx="14">
                  <c:v>1.3380000000000001</c:v>
                </c:pt>
                <c:pt idx="15">
                  <c:v>1.5589999999999999</c:v>
                </c:pt>
                <c:pt idx="16">
                  <c:v>1.0569999999999999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86C-48F0-9E24-8385595EE142}"/>
            </c:ext>
          </c:extLst>
        </c:ser>
        <c:ser>
          <c:idx val="19"/>
          <c:order val="19"/>
          <c:tx>
            <c:v>BES_TR3_one477_A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7.0000000000000001E-3</c:v>
                </c:pt>
                <c:pt idx="10">
                  <c:v>0</c:v>
                </c:pt>
                <c:pt idx="11">
                  <c:v>0.129</c:v>
                </c:pt>
                <c:pt idx="12">
                  <c:v>0.29599999999999999</c:v>
                </c:pt>
                <c:pt idx="13">
                  <c:v>0.38400000000000001</c:v>
                </c:pt>
                <c:pt idx="14">
                  <c:v>0.32500000000000001</c:v>
                </c:pt>
                <c:pt idx="15">
                  <c:v>0.26700000000000002</c:v>
                </c:pt>
                <c:pt idx="16">
                  <c:v>0.61099999999999999</c:v>
                </c:pt>
                <c:pt idx="17">
                  <c:v>0.35399999999999998</c:v>
                </c:pt>
                <c:pt idx="18">
                  <c:v>0.99700000000000011</c:v>
                </c:pt>
                <c:pt idx="19">
                  <c:v>1.038</c:v>
                </c:pt>
                <c:pt idx="20">
                  <c:v>0.97099999999999997</c:v>
                </c:pt>
                <c:pt idx="21">
                  <c:v>1.1140000000000001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2E-3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86C-48F0-9E24-8385595EE142}"/>
            </c:ext>
          </c:extLst>
        </c:ser>
        <c:ser>
          <c:idx val="20"/>
          <c:order val="20"/>
          <c:tx>
            <c:v>BES_TR3_one480_A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0.183</c:v>
                </c:pt>
                <c:pt idx="10">
                  <c:v>0.40600000000000003</c:v>
                </c:pt>
                <c:pt idx="11">
                  <c:v>0.59699999999999998</c:v>
                </c:pt>
                <c:pt idx="12">
                  <c:v>0.998</c:v>
                </c:pt>
                <c:pt idx="13">
                  <c:v>1.3080000000000001</c:v>
                </c:pt>
                <c:pt idx="14">
                  <c:v>1.6160000000000001</c:v>
                </c:pt>
                <c:pt idx="15">
                  <c:v>0.97900000000000009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86C-48F0-9E24-8385595EE142}"/>
            </c:ext>
          </c:extLst>
        </c:ser>
        <c:ser>
          <c:idx val="21"/>
          <c:order val="21"/>
          <c:tx>
            <c:v>BES_TR3_one482_B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</c:v>
                </c:pt>
                <c:pt idx="10">
                  <c:v>0.30099999999999999</c:v>
                </c:pt>
                <c:pt idx="11">
                  <c:v>0.68900000000000006</c:v>
                </c:pt>
                <c:pt idx="12">
                  <c:v>0.94899999999999995</c:v>
                </c:pt>
                <c:pt idx="13">
                  <c:v>1.2430000000000001</c:v>
                </c:pt>
                <c:pt idx="14">
                  <c:v>1.613</c:v>
                </c:pt>
                <c:pt idx="15">
                  <c:v>1.1679999999999999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86C-48F0-9E24-8385595EE142}"/>
            </c:ext>
          </c:extLst>
        </c:ser>
        <c:ser>
          <c:idx val="22"/>
          <c:order val="22"/>
          <c:tx>
            <c:v>BES_TR3_one521_C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2.9000000000000001E-2</c:v>
                </c:pt>
                <c:pt idx="10">
                  <c:v>0.41099999999999998</c:v>
                </c:pt>
                <c:pt idx="11">
                  <c:v>0.53799999999999992</c:v>
                </c:pt>
                <c:pt idx="12">
                  <c:v>0.998</c:v>
                </c:pt>
                <c:pt idx="13">
                  <c:v>1.238</c:v>
                </c:pt>
                <c:pt idx="14">
                  <c:v>1.532</c:v>
                </c:pt>
                <c:pt idx="15">
                  <c:v>1.52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86C-48F0-9E24-8385595EE142}"/>
            </c:ext>
          </c:extLst>
        </c:ser>
        <c:ser>
          <c:idx val="23"/>
          <c:order val="23"/>
          <c:tx>
            <c:v>BES_TR3_one528_C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Charge_kW!$Z$2:$Z$49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2E-3</c:v>
                </c:pt>
                <c:pt idx="9">
                  <c:v>0.113</c:v>
                </c:pt>
                <c:pt idx="10">
                  <c:v>0.27800000000000002</c:v>
                </c:pt>
                <c:pt idx="11">
                  <c:v>0.64200000000000002</c:v>
                </c:pt>
                <c:pt idx="12">
                  <c:v>0.874</c:v>
                </c:pt>
                <c:pt idx="13">
                  <c:v>1.2490000000000001</c:v>
                </c:pt>
                <c:pt idx="14">
                  <c:v>1.6180000000000001</c:v>
                </c:pt>
                <c:pt idx="15">
                  <c:v>1.5229999999999999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86C-48F0-9E24-8385595EE142}"/>
            </c:ext>
          </c:extLst>
        </c:ser>
        <c:ser>
          <c:idx val="24"/>
          <c:order val="24"/>
          <c:tx>
            <c:v>BES_TR3_one61_A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0.126</c:v>
                </c:pt>
                <c:pt idx="11">
                  <c:v>0.33100000000000002</c:v>
                </c:pt>
                <c:pt idx="12">
                  <c:v>0.42699999999999999</c:v>
                </c:pt>
                <c:pt idx="13">
                  <c:v>0.8</c:v>
                </c:pt>
                <c:pt idx="14">
                  <c:v>0.81599999999999995</c:v>
                </c:pt>
                <c:pt idx="15">
                  <c:v>1.1850000000000001</c:v>
                </c:pt>
                <c:pt idx="16">
                  <c:v>1.3660000000000001</c:v>
                </c:pt>
                <c:pt idx="17">
                  <c:v>1.357</c:v>
                </c:pt>
                <c:pt idx="18">
                  <c:v>0.29099999999999998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86C-48F0-9E24-8385595EE142}"/>
            </c:ext>
          </c:extLst>
        </c:ser>
        <c:ser>
          <c:idx val="25"/>
          <c:order val="25"/>
          <c:tx>
            <c:v>BES_TR3_one544_A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0.16400000000000001</c:v>
                </c:pt>
                <c:pt idx="10">
                  <c:v>0.254</c:v>
                </c:pt>
                <c:pt idx="11">
                  <c:v>0.63400000000000001</c:v>
                </c:pt>
                <c:pt idx="12">
                  <c:v>0.83299999999999996</c:v>
                </c:pt>
                <c:pt idx="13">
                  <c:v>1.3149999999999999</c:v>
                </c:pt>
                <c:pt idx="14">
                  <c:v>1.5589999999999999</c:v>
                </c:pt>
                <c:pt idx="15">
                  <c:v>1.639</c:v>
                </c:pt>
                <c:pt idx="16">
                  <c:v>1.571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86C-48F0-9E24-8385595EE142}"/>
            </c:ext>
          </c:extLst>
        </c:ser>
        <c:ser>
          <c:idx val="26"/>
          <c:order val="26"/>
          <c:tx>
            <c:v>BES_TR3_one552_B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Charge_kW!$AC$2:$AC$49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0.03</c:v>
                </c:pt>
                <c:pt idx="10">
                  <c:v>0.29399999999999998</c:v>
                </c:pt>
                <c:pt idx="11">
                  <c:v>0.59500000000000008</c:v>
                </c:pt>
                <c:pt idx="12">
                  <c:v>0.68800000000000006</c:v>
                </c:pt>
                <c:pt idx="13">
                  <c:v>1.1339999999999999</c:v>
                </c:pt>
                <c:pt idx="14">
                  <c:v>1.202</c:v>
                </c:pt>
                <c:pt idx="15">
                  <c:v>1.3859999999999999</c:v>
                </c:pt>
                <c:pt idx="16">
                  <c:v>1.056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86C-48F0-9E24-8385595EE142}"/>
            </c:ext>
          </c:extLst>
        </c:ser>
        <c:ser>
          <c:idx val="27"/>
          <c:order val="27"/>
          <c:tx>
            <c:v>BES_TR3_one559_C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Charge_kW!$AD$2:$AD$49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4.2000000000000003E-2</c:v>
                </c:pt>
                <c:pt idx="10">
                  <c:v>0.25700000000000001</c:v>
                </c:pt>
                <c:pt idx="11">
                  <c:v>0.68199999999999994</c:v>
                </c:pt>
                <c:pt idx="12">
                  <c:v>0.71299999999999997</c:v>
                </c:pt>
                <c:pt idx="13">
                  <c:v>1.298</c:v>
                </c:pt>
                <c:pt idx="14">
                  <c:v>1.377</c:v>
                </c:pt>
                <c:pt idx="15">
                  <c:v>1.869</c:v>
                </c:pt>
                <c:pt idx="16">
                  <c:v>0.67599999999999993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86C-48F0-9E24-8385595EE142}"/>
            </c:ext>
          </c:extLst>
        </c:ser>
        <c:ser>
          <c:idx val="28"/>
          <c:order val="28"/>
          <c:tx>
            <c:v>BES_TR3_one570_B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Charge_kW!$AE$2:$AE$49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0.13300000000000001</c:v>
                </c:pt>
                <c:pt idx="10">
                  <c:v>0.26600000000000001</c:v>
                </c:pt>
                <c:pt idx="11">
                  <c:v>0.48399999999999999</c:v>
                </c:pt>
                <c:pt idx="12">
                  <c:v>0</c:v>
                </c:pt>
                <c:pt idx="13">
                  <c:v>0.72900000000000009</c:v>
                </c:pt>
                <c:pt idx="14">
                  <c:v>1.2010000000000001</c:v>
                </c:pt>
                <c:pt idx="15">
                  <c:v>1.389</c:v>
                </c:pt>
                <c:pt idx="16">
                  <c:v>1.633</c:v>
                </c:pt>
                <c:pt idx="17">
                  <c:v>0.754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86C-48F0-9E24-8385595EE142}"/>
            </c:ext>
          </c:extLst>
        </c:ser>
        <c:ser>
          <c:idx val="29"/>
          <c:order val="29"/>
          <c:tx>
            <c:v>BES_TR3_one605_A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Charge_kW!$AF$2:$AF$49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</c:v>
                </c:pt>
                <c:pt idx="10">
                  <c:v>0.40799999999999997</c:v>
                </c:pt>
                <c:pt idx="11">
                  <c:v>0.68700000000000006</c:v>
                </c:pt>
                <c:pt idx="12">
                  <c:v>0.92</c:v>
                </c:pt>
                <c:pt idx="13">
                  <c:v>1.1779999999999999</c:v>
                </c:pt>
                <c:pt idx="14">
                  <c:v>1.526</c:v>
                </c:pt>
                <c:pt idx="15">
                  <c:v>0.88500000000000001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86C-48F0-9E24-8385595EE142}"/>
            </c:ext>
          </c:extLst>
        </c:ser>
        <c:ser>
          <c:idx val="30"/>
          <c:order val="30"/>
          <c:tx>
            <c:v>BES_TR3_one614_B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8.7999999999999995E-2</c:v>
                </c:pt>
                <c:pt idx="10">
                  <c:v>0.16400000000000001</c:v>
                </c:pt>
                <c:pt idx="11">
                  <c:v>0.49700000000000011</c:v>
                </c:pt>
                <c:pt idx="12">
                  <c:v>0.72699999999999998</c:v>
                </c:pt>
                <c:pt idx="13">
                  <c:v>0.80900000000000005</c:v>
                </c:pt>
                <c:pt idx="14">
                  <c:v>1.19</c:v>
                </c:pt>
                <c:pt idx="15">
                  <c:v>1.2789999999999999</c:v>
                </c:pt>
                <c:pt idx="16">
                  <c:v>1.4990000000000001</c:v>
                </c:pt>
                <c:pt idx="17">
                  <c:v>0.10199999999999999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86C-48F0-9E24-8385595EE142}"/>
            </c:ext>
          </c:extLst>
        </c:ser>
        <c:ser>
          <c:idx val="31"/>
          <c:order val="31"/>
          <c:tx>
            <c:v>BES_TR3_one617_A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Charge_kW!$AH$2:$AH$49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1.4E-2</c:v>
                </c:pt>
                <c:pt idx="9">
                  <c:v>3.3000000000000002E-2</c:v>
                </c:pt>
                <c:pt idx="10">
                  <c:v>0.42499999999999999</c:v>
                </c:pt>
                <c:pt idx="11">
                  <c:v>0.70600000000000007</c:v>
                </c:pt>
                <c:pt idx="12">
                  <c:v>0.84799999999999998</c:v>
                </c:pt>
                <c:pt idx="13">
                  <c:v>1.3220000000000001</c:v>
                </c:pt>
                <c:pt idx="14">
                  <c:v>1.623</c:v>
                </c:pt>
                <c:pt idx="15">
                  <c:v>1.2230000000000001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86C-48F0-9E24-8385595EE142}"/>
            </c:ext>
          </c:extLst>
        </c:ser>
        <c:ser>
          <c:idx val="32"/>
          <c:order val="32"/>
          <c:tx>
            <c:v>BES_TR3_one73_A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Charge_kW!$AI$2:$AI$49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3.1E-2</c:v>
                </c:pt>
                <c:pt idx="10">
                  <c:v>0.23499999999999999</c:v>
                </c:pt>
                <c:pt idx="11">
                  <c:v>0.36599999999999999</c:v>
                </c:pt>
                <c:pt idx="12">
                  <c:v>0.79199999999999993</c:v>
                </c:pt>
                <c:pt idx="13">
                  <c:v>1.044</c:v>
                </c:pt>
                <c:pt idx="14">
                  <c:v>1.1990000000000001</c:v>
                </c:pt>
                <c:pt idx="15">
                  <c:v>1.496</c:v>
                </c:pt>
                <c:pt idx="16">
                  <c:v>1.923</c:v>
                </c:pt>
                <c:pt idx="17">
                  <c:v>0.88300000000000001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86C-48F0-9E24-8385595EE142}"/>
            </c:ext>
          </c:extLst>
        </c:ser>
        <c:ser>
          <c:idx val="33"/>
          <c:order val="33"/>
          <c:tx>
            <c:v>BES_TR3_one76_A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Charge_kW!$AJ$2:$AJ$49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4.8000000000000001E-2</c:v>
                </c:pt>
                <c:pt idx="10">
                  <c:v>0.19800000000000001</c:v>
                </c:pt>
                <c:pt idx="11">
                  <c:v>0.27</c:v>
                </c:pt>
                <c:pt idx="12">
                  <c:v>0.61399999999999999</c:v>
                </c:pt>
                <c:pt idx="13">
                  <c:v>0.60499999999999998</c:v>
                </c:pt>
                <c:pt idx="14">
                  <c:v>1</c:v>
                </c:pt>
                <c:pt idx="15">
                  <c:v>1.115</c:v>
                </c:pt>
                <c:pt idx="16">
                  <c:v>1.25</c:v>
                </c:pt>
                <c:pt idx="17">
                  <c:v>1.319</c:v>
                </c:pt>
                <c:pt idx="18">
                  <c:v>0</c:v>
                </c:pt>
                <c:pt idx="19">
                  <c:v>0.26900000000000002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F86C-48F0-9E24-8385595EE142}"/>
            </c:ext>
          </c:extLst>
        </c:ser>
        <c:ser>
          <c:idx val="34"/>
          <c:order val="34"/>
          <c:tx>
            <c:v>BES_TR3_one137_A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Charge_kW!$AK$2:$AK$49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0.19</c:v>
                </c:pt>
                <c:pt idx="10">
                  <c:v>0.377</c:v>
                </c:pt>
                <c:pt idx="11">
                  <c:v>0.66500000000000004</c:v>
                </c:pt>
                <c:pt idx="12">
                  <c:v>1.0049999999999999</c:v>
                </c:pt>
                <c:pt idx="13">
                  <c:v>1.24</c:v>
                </c:pt>
                <c:pt idx="14">
                  <c:v>1.623</c:v>
                </c:pt>
                <c:pt idx="15">
                  <c:v>1.536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0.33300000000000002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0.251</c:v>
                </c:pt>
                <c:pt idx="38">
                  <c:v>0.23400000000000001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86C-48F0-9E24-8385595EE142}"/>
            </c:ext>
          </c:extLst>
        </c:ser>
        <c:ser>
          <c:idx val="35"/>
          <c:order val="35"/>
          <c:tx>
            <c:v>BES_TR3_one176_A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Charge_kW!$AL$2:$AL$49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0.189</c:v>
                </c:pt>
                <c:pt idx="11">
                  <c:v>0.222</c:v>
                </c:pt>
                <c:pt idx="12">
                  <c:v>0.442</c:v>
                </c:pt>
                <c:pt idx="13">
                  <c:v>0.53900000000000003</c:v>
                </c:pt>
                <c:pt idx="14">
                  <c:v>0.65700000000000003</c:v>
                </c:pt>
                <c:pt idx="15">
                  <c:v>0.876</c:v>
                </c:pt>
                <c:pt idx="16">
                  <c:v>0.96399999999999997</c:v>
                </c:pt>
                <c:pt idx="17">
                  <c:v>1.129</c:v>
                </c:pt>
                <c:pt idx="18">
                  <c:v>1.2549999999999999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0.41599999999999998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2.9000000000000001E-2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F86C-48F0-9E24-8385595EE142}"/>
            </c:ext>
          </c:extLst>
        </c:ser>
        <c:ser>
          <c:idx val="36"/>
          <c:order val="36"/>
          <c:tx>
            <c:v>BES_TR3_two130_C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Charge_kW!$AM$2:$AM$49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0.14399999999999999</c:v>
                </c:pt>
                <c:pt idx="10">
                  <c:v>0.27800000000000002</c:v>
                </c:pt>
                <c:pt idx="11">
                  <c:v>0.69300000000000006</c:v>
                </c:pt>
                <c:pt idx="12">
                  <c:v>0.89600000000000002</c:v>
                </c:pt>
                <c:pt idx="13">
                  <c:v>1.238</c:v>
                </c:pt>
                <c:pt idx="14">
                  <c:v>1.617</c:v>
                </c:pt>
                <c:pt idx="15">
                  <c:v>1.456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86C-48F0-9E24-8385595EE142}"/>
            </c:ext>
          </c:extLst>
        </c:ser>
        <c:ser>
          <c:idx val="37"/>
          <c:order val="37"/>
          <c:tx>
            <c:v>BES_TR3_two249_A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Charge_kW!$AN$2:$AN$49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7.3999999999999996E-2</c:v>
                </c:pt>
                <c:pt idx="10">
                  <c:v>0.25800000000000001</c:v>
                </c:pt>
                <c:pt idx="11">
                  <c:v>0.69200000000000006</c:v>
                </c:pt>
                <c:pt idx="12">
                  <c:v>0.83600000000000008</c:v>
                </c:pt>
                <c:pt idx="13">
                  <c:v>1.2070000000000001</c:v>
                </c:pt>
                <c:pt idx="14">
                  <c:v>1.5920000000000001</c:v>
                </c:pt>
                <c:pt idx="15">
                  <c:v>1.6870000000000001</c:v>
                </c:pt>
                <c:pt idx="16">
                  <c:v>0.28100000000000003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F86C-48F0-9E24-8385595EE142}"/>
            </c:ext>
          </c:extLst>
        </c:ser>
        <c:ser>
          <c:idx val="38"/>
          <c:order val="38"/>
          <c:tx>
            <c:v>BES_TR3_two267_C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Charge_kW!$AO$2:$AO$49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7.2999999999999995E-2</c:v>
                </c:pt>
                <c:pt idx="10">
                  <c:v>0.40400000000000003</c:v>
                </c:pt>
                <c:pt idx="11">
                  <c:v>0.68499999999999994</c:v>
                </c:pt>
                <c:pt idx="12">
                  <c:v>0.89500000000000002</c:v>
                </c:pt>
                <c:pt idx="13">
                  <c:v>1.2929999999999999</c:v>
                </c:pt>
                <c:pt idx="14">
                  <c:v>1.609</c:v>
                </c:pt>
                <c:pt idx="15">
                  <c:v>1.2070000000000001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1.2E-2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0.88600000000000001</c:v>
                </c:pt>
                <c:pt idx="35">
                  <c:v>0.58100000000000007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86C-48F0-9E24-8385595EE142}"/>
            </c:ext>
          </c:extLst>
        </c:ser>
        <c:ser>
          <c:idx val="39"/>
          <c:order val="39"/>
          <c:tx>
            <c:v>BES_TR3_two292_B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</c:v>
                </c:pt>
                <c:pt idx="10">
                  <c:v>0.40799999999999997</c:v>
                </c:pt>
                <c:pt idx="11">
                  <c:v>0.68900000000000006</c:v>
                </c:pt>
                <c:pt idx="12">
                  <c:v>0.995</c:v>
                </c:pt>
                <c:pt idx="13">
                  <c:v>1.3049999999999999</c:v>
                </c:pt>
                <c:pt idx="14">
                  <c:v>1.5649999999999999</c:v>
                </c:pt>
                <c:pt idx="15">
                  <c:v>0.64200000000000002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F86C-48F0-9E24-8385595EE142}"/>
            </c:ext>
          </c:extLst>
        </c:ser>
        <c:ser>
          <c:idx val="40"/>
          <c:order val="40"/>
          <c:tx>
            <c:v>BES_TR3_two308_A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Charge_kW!$AQ$2:$AQ$49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0.124</c:v>
                </c:pt>
                <c:pt idx="10">
                  <c:v>0.29599999999999999</c:v>
                </c:pt>
                <c:pt idx="11">
                  <c:v>0.50600000000000001</c:v>
                </c:pt>
                <c:pt idx="12">
                  <c:v>0.73599999999999999</c:v>
                </c:pt>
                <c:pt idx="13">
                  <c:v>0.96799999999999997</c:v>
                </c:pt>
                <c:pt idx="14">
                  <c:v>1.1990000000000001</c:v>
                </c:pt>
                <c:pt idx="15">
                  <c:v>1.431</c:v>
                </c:pt>
                <c:pt idx="16">
                  <c:v>1.161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86C-48F0-9E24-8385595EE142}"/>
            </c:ext>
          </c:extLst>
        </c:ser>
        <c:ser>
          <c:idx val="41"/>
          <c:order val="41"/>
          <c:tx>
            <c:v>BES_TR3_two313_C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Charge_kW!$AR$2:$AR$49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9.1999999999999998E-2</c:v>
                </c:pt>
                <c:pt idx="10">
                  <c:v>0.23499999999999999</c:v>
                </c:pt>
                <c:pt idx="11">
                  <c:v>0.41099999999999998</c:v>
                </c:pt>
                <c:pt idx="12">
                  <c:v>0.60199999999999998</c:v>
                </c:pt>
                <c:pt idx="13">
                  <c:v>0.79600000000000004</c:v>
                </c:pt>
                <c:pt idx="14">
                  <c:v>0.98799999999999999</c:v>
                </c:pt>
                <c:pt idx="15">
                  <c:v>1.181</c:v>
                </c:pt>
                <c:pt idx="16">
                  <c:v>1.3620000000000001</c:v>
                </c:pt>
                <c:pt idx="17">
                  <c:v>0.13800000000000001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F86C-48F0-9E24-8385595EE142}"/>
            </c:ext>
          </c:extLst>
        </c:ser>
        <c:ser>
          <c:idx val="42"/>
          <c:order val="42"/>
          <c:tx>
            <c:v>BES_TR3_two137_B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Charge_kW!$AS$2:$AS$49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0.01</c:v>
                </c:pt>
                <c:pt idx="9">
                  <c:v>7.9000000000000001E-2</c:v>
                </c:pt>
                <c:pt idx="10">
                  <c:v>0.24099999999999999</c:v>
                </c:pt>
                <c:pt idx="11">
                  <c:v>0.61499999999999999</c:v>
                </c:pt>
                <c:pt idx="12">
                  <c:v>0.8630000000000001</c:v>
                </c:pt>
                <c:pt idx="13">
                  <c:v>0.95399999999999996</c:v>
                </c:pt>
                <c:pt idx="14">
                  <c:v>1.4239999999999999</c:v>
                </c:pt>
                <c:pt idx="15">
                  <c:v>1.617</c:v>
                </c:pt>
                <c:pt idx="16">
                  <c:v>1.45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86C-48F0-9E24-8385595EE142}"/>
            </c:ext>
          </c:extLst>
        </c:ser>
        <c:ser>
          <c:idx val="43"/>
          <c:order val="43"/>
          <c:tx>
            <c:v>BES_TR3_two316_A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Charge_kW!$AT$2:$AT$49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</c:v>
                </c:pt>
                <c:pt idx="10">
                  <c:v>0.20300000000000001</c:v>
                </c:pt>
                <c:pt idx="11">
                  <c:v>0.502</c:v>
                </c:pt>
                <c:pt idx="12">
                  <c:v>0.66200000000000003</c:v>
                </c:pt>
                <c:pt idx="13">
                  <c:v>0.94499999999999995</c:v>
                </c:pt>
                <c:pt idx="14">
                  <c:v>1.1950000000000001</c:v>
                </c:pt>
                <c:pt idx="15">
                  <c:v>1.427</c:v>
                </c:pt>
                <c:pt idx="16">
                  <c:v>1.5269999999999999</c:v>
                </c:pt>
                <c:pt idx="17">
                  <c:v>0.32800000000000001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F86C-48F0-9E24-8385595EE142}"/>
            </c:ext>
          </c:extLst>
        </c:ser>
        <c:ser>
          <c:idx val="44"/>
          <c:order val="44"/>
          <c:tx>
            <c:v>BES_TR3_two339_A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Charge_kW!$AU$2:$AU$49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0.24</c:v>
                </c:pt>
                <c:pt idx="11">
                  <c:v>0.40400000000000003</c:v>
                </c:pt>
                <c:pt idx="12">
                  <c:v>0.8</c:v>
                </c:pt>
                <c:pt idx="13">
                  <c:v>1.024</c:v>
                </c:pt>
                <c:pt idx="14">
                  <c:v>1.212</c:v>
                </c:pt>
                <c:pt idx="15">
                  <c:v>1.5840000000000001</c:v>
                </c:pt>
                <c:pt idx="16">
                  <c:v>1.845</c:v>
                </c:pt>
                <c:pt idx="17">
                  <c:v>0.85899999999999999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86C-48F0-9E24-8385595EE142}"/>
            </c:ext>
          </c:extLst>
        </c:ser>
        <c:ser>
          <c:idx val="45"/>
          <c:order val="45"/>
          <c:tx>
            <c:v>BES_TR3_two149_B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Charge_kW!$AV$2:$AV$49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0.154</c:v>
                </c:pt>
                <c:pt idx="10">
                  <c:v>0.27</c:v>
                </c:pt>
                <c:pt idx="11">
                  <c:v>0.5109999999999999</c:v>
                </c:pt>
                <c:pt idx="12">
                  <c:v>0.85400000000000009</c:v>
                </c:pt>
                <c:pt idx="13">
                  <c:v>0.98</c:v>
                </c:pt>
                <c:pt idx="14">
                  <c:v>1.3819999999999999</c:v>
                </c:pt>
                <c:pt idx="15">
                  <c:v>1.66</c:v>
                </c:pt>
                <c:pt idx="16">
                  <c:v>0.622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F86C-48F0-9E24-8385595EE142}"/>
            </c:ext>
          </c:extLst>
        </c:ser>
        <c:ser>
          <c:idx val="46"/>
          <c:order val="46"/>
          <c:tx>
            <c:v>BES_TR3_two225_C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Charge_kW!$AW$2:$AW$49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0.113</c:v>
                </c:pt>
                <c:pt idx="11">
                  <c:v>0.15</c:v>
                </c:pt>
                <c:pt idx="12">
                  <c:v>0.41799999999999998</c:v>
                </c:pt>
                <c:pt idx="13">
                  <c:v>0.629</c:v>
                </c:pt>
                <c:pt idx="14">
                  <c:v>0.57200000000000006</c:v>
                </c:pt>
                <c:pt idx="15">
                  <c:v>0.93700000000000006</c:v>
                </c:pt>
                <c:pt idx="16">
                  <c:v>4.9000000000000002E-2</c:v>
                </c:pt>
                <c:pt idx="17">
                  <c:v>1.0900000000000001</c:v>
                </c:pt>
                <c:pt idx="18">
                  <c:v>1.2370000000000001</c:v>
                </c:pt>
                <c:pt idx="19">
                  <c:v>1.254</c:v>
                </c:pt>
                <c:pt idx="20">
                  <c:v>0.41799999999999998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0.61599999999999999</c:v>
                </c:pt>
                <c:pt idx="33">
                  <c:v>0.67900000000000005</c:v>
                </c:pt>
                <c:pt idx="34">
                  <c:v>0.499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86C-48F0-9E24-8385595EE142}"/>
            </c:ext>
          </c:extLst>
        </c:ser>
        <c:ser>
          <c:idx val="47"/>
          <c:order val="47"/>
          <c:tx>
            <c:v>BES_TR3_two229_A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Charge_kW!$AX$2:$AX$49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2.9000000000000001E-2</c:v>
                </c:pt>
                <c:pt idx="11">
                  <c:v>0.16800000000000001</c:v>
                </c:pt>
                <c:pt idx="12">
                  <c:v>0.31</c:v>
                </c:pt>
                <c:pt idx="13">
                  <c:v>0.34399999999999997</c:v>
                </c:pt>
                <c:pt idx="14">
                  <c:v>0.437</c:v>
                </c:pt>
                <c:pt idx="15">
                  <c:v>0.64800000000000002</c:v>
                </c:pt>
                <c:pt idx="16">
                  <c:v>0.67500000000000004</c:v>
                </c:pt>
                <c:pt idx="17">
                  <c:v>0.80400000000000005</c:v>
                </c:pt>
                <c:pt idx="18">
                  <c:v>0.81800000000000006</c:v>
                </c:pt>
                <c:pt idx="19">
                  <c:v>0.91500000000000004</c:v>
                </c:pt>
                <c:pt idx="20">
                  <c:v>0.77800000000000002</c:v>
                </c:pt>
                <c:pt idx="21">
                  <c:v>0.79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F86C-48F0-9E24-8385595EE142}"/>
            </c:ext>
          </c:extLst>
        </c:ser>
        <c:ser>
          <c:idx val="48"/>
          <c:order val="48"/>
          <c:tx>
            <c:v>BES_TR3_two242_B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Charge_kW!$AY$2:$AY$49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0.17299999999999999</c:v>
                </c:pt>
                <c:pt idx="11">
                  <c:v>0.26100000000000001</c:v>
                </c:pt>
                <c:pt idx="12">
                  <c:v>0.307</c:v>
                </c:pt>
                <c:pt idx="13">
                  <c:v>0.62</c:v>
                </c:pt>
                <c:pt idx="14">
                  <c:v>0.58200000000000007</c:v>
                </c:pt>
                <c:pt idx="15">
                  <c:v>0.93800000000000006</c:v>
                </c:pt>
                <c:pt idx="16">
                  <c:v>0.92199999999999993</c:v>
                </c:pt>
                <c:pt idx="17">
                  <c:v>1.0209999999999999</c:v>
                </c:pt>
                <c:pt idx="18">
                  <c:v>1.292</c:v>
                </c:pt>
                <c:pt idx="19">
                  <c:v>1.149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86C-48F0-9E24-8385595EE142}"/>
            </c:ext>
          </c:extLst>
        </c:ser>
        <c:ser>
          <c:idx val="49"/>
          <c:order val="49"/>
          <c:tx>
            <c:v>fleet average</c:v>
          </c:tx>
          <c:spPr>
            <a:ln w="28575">
              <a:solidFill>
                <a:srgbClr val="19A974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7.3469387755102048E-4</c:v>
                </c:pt>
                <c:pt idx="9">
                  <c:v>7.7408163265306126E-2</c:v>
                </c:pt>
                <c:pt idx="10">
                  <c:v>0.2573673469387755</c:v>
                </c:pt>
                <c:pt idx="11">
                  <c:v>0.5057551020408162</c:v>
                </c:pt>
                <c:pt idx="12">
                  <c:v>0.7273877551020409</c:v>
                </c:pt>
                <c:pt idx="13">
                  <c:v>1.0022653061224489</c:v>
                </c:pt>
                <c:pt idx="14">
                  <c:v>1.1687551020408162</c:v>
                </c:pt>
                <c:pt idx="15">
                  <c:v>1.2758979591836737</c:v>
                </c:pt>
                <c:pt idx="16">
                  <c:v>0.68542857142857128</c:v>
                </c:pt>
                <c:pt idx="17">
                  <c:v>0.42030612244897958</c:v>
                </c:pt>
                <c:pt idx="18">
                  <c:v>0.27651020408163268</c:v>
                </c:pt>
                <c:pt idx="19">
                  <c:v>0.17834693877551022</c:v>
                </c:pt>
                <c:pt idx="20">
                  <c:v>5.5122448979591829E-2</c:v>
                </c:pt>
                <c:pt idx="21">
                  <c:v>3.8857142857142861E-2</c:v>
                </c:pt>
                <c:pt idx="22">
                  <c:v>0</c:v>
                </c:pt>
                <c:pt idx="23">
                  <c:v>6.7142857142857143E-3</c:v>
                </c:pt>
                <c:pt idx="24">
                  <c:v>9.8163265306122453E-3</c:v>
                </c:pt>
                <c:pt idx="25">
                  <c:v>0</c:v>
                </c:pt>
                <c:pt idx="26">
                  <c:v>0</c:v>
                </c:pt>
                <c:pt idx="27">
                  <c:v>1.3918367346938774E-2</c:v>
                </c:pt>
                <c:pt idx="28">
                  <c:v>3.9795918367346939E-3</c:v>
                </c:pt>
                <c:pt idx="29">
                  <c:v>6.7959183673469391E-3</c:v>
                </c:pt>
                <c:pt idx="30">
                  <c:v>0</c:v>
                </c:pt>
                <c:pt idx="31">
                  <c:v>8.4897959183673471E-3</c:v>
                </c:pt>
                <c:pt idx="32">
                  <c:v>4.8795918367346938E-2</c:v>
                </c:pt>
                <c:pt idx="33">
                  <c:v>1.7428571428571432E-2</c:v>
                </c:pt>
                <c:pt idx="34">
                  <c:v>3.5122448979591839E-2</c:v>
                </c:pt>
                <c:pt idx="35">
                  <c:v>2.0204081632653061E-2</c:v>
                </c:pt>
                <c:pt idx="36">
                  <c:v>1.9102040816326528E-2</c:v>
                </c:pt>
                <c:pt idx="37">
                  <c:v>1.6E-2</c:v>
                </c:pt>
                <c:pt idx="38">
                  <c:v>1.2857142857142857E-2</c:v>
                </c:pt>
                <c:pt idx="39">
                  <c:v>4.285714285714286E-4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86C-48F0-9E24-8385595EE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2.8"/>
          <c:min val="-0.1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Charging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Battery discharging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BES_TR3_one195_C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Discharge_kW!$C$2:$C$49</c:f>
              <c:numCache>
                <c:formatCode>#,##0.000</c:formatCode>
                <c:ptCount val="48"/>
                <c:pt idx="0">
                  <c:v>0.19</c:v>
                </c:pt>
                <c:pt idx="1">
                  <c:v>0.26100000000000001</c:v>
                </c:pt>
                <c:pt idx="2">
                  <c:v>7.9000000000000001E-2</c:v>
                </c:pt>
                <c:pt idx="3">
                  <c:v>0.25900000000000001</c:v>
                </c:pt>
                <c:pt idx="4">
                  <c:v>0.17</c:v>
                </c:pt>
                <c:pt idx="5">
                  <c:v>0.154</c:v>
                </c:pt>
                <c:pt idx="6">
                  <c:v>0.20399999999999999</c:v>
                </c:pt>
                <c:pt idx="7">
                  <c:v>0.17799999999999999</c:v>
                </c:pt>
                <c:pt idx="8">
                  <c:v>9.2999999999999999E-2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1.244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0.57799999999999996</c:v>
                </c:pt>
                <c:pt idx="40">
                  <c:v>0.76400000000000001</c:v>
                </c:pt>
                <c:pt idx="41">
                  <c:v>0.63700000000000001</c:v>
                </c:pt>
                <c:pt idx="42">
                  <c:v>0.96899999999999997</c:v>
                </c:pt>
                <c:pt idx="43">
                  <c:v>0.69499999999999995</c:v>
                </c:pt>
                <c:pt idx="44">
                  <c:v>1.1140000000000001</c:v>
                </c:pt>
                <c:pt idx="45">
                  <c:v>0.98</c:v>
                </c:pt>
                <c:pt idx="46">
                  <c:v>0.18</c:v>
                </c:pt>
                <c:pt idx="47">
                  <c:v>0.93800000000000006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F1-46BA-AAF0-A96A0FFD94CA}"/>
            </c:ext>
          </c:extLst>
        </c:ser>
        <c:ser>
          <c:idx val="1"/>
          <c:order val="1"/>
          <c:tx>
            <c:v>BES_TR3_one235_A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Discharge_kW!$D$2:$D$49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0.107</c:v>
                </c:pt>
                <c:pt idx="2">
                  <c:v>0.191</c:v>
                </c:pt>
                <c:pt idx="3">
                  <c:v>7.2999999999999995E-2</c:v>
                </c:pt>
                <c:pt idx="4">
                  <c:v>0.19900000000000001</c:v>
                </c:pt>
                <c:pt idx="5">
                  <c:v>4.5999999999999999E-2</c:v>
                </c:pt>
                <c:pt idx="6">
                  <c:v>0.24299999999999999</c:v>
                </c:pt>
                <c:pt idx="7">
                  <c:v>7.8E-2</c:v>
                </c:pt>
                <c:pt idx="8">
                  <c:v>3.5999999999999997E-2</c:v>
                </c:pt>
                <c:pt idx="9">
                  <c:v>6.0000000000000001E-3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1.647</c:v>
                </c:pt>
                <c:pt idx="35">
                  <c:v>0.88600000000000001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0.10299999999999999</c:v>
                </c:pt>
                <c:pt idx="40">
                  <c:v>0.224</c:v>
                </c:pt>
                <c:pt idx="41">
                  <c:v>0.40100000000000002</c:v>
                </c:pt>
                <c:pt idx="42">
                  <c:v>0.52899999999999991</c:v>
                </c:pt>
                <c:pt idx="43">
                  <c:v>0.33600000000000002</c:v>
                </c:pt>
                <c:pt idx="44">
                  <c:v>0.32</c:v>
                </c:pt>
                <c:pt idx="45">
                  <c:v>0.66600000000000004</c:v>
                </c:pt>
                <c:pt idx="46">
                  <c:v>4.5999999999999999E-2</c:v>
                </c:pt>
                <c:pt idx="47">
                  <c:v>0.17599999999999999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F1-46BA-AAF0-A96A0FFD94CA}"/>
            </c:ext>
          </c:extLst>
        </c:ser>
        <c:ser>
          <c:idx val="2"/>
          <c:order val="2"/>
          <c:tx>
            <c:v>BES_TR3_one242_B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Discharge_kW!$E$2:$E$49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0.31</c:v>
                </c:pt>
                <c:pt idx="2">
                  <c:v>5.7000000000000002E-2</c:v>
                </c:pt>
                <c:pt idx="3">
                  <c:v>0.11799999999999999</c:v>
                </c:pt>
                <c:pt idx="4">
                  <c:v>0.161</c:v>
                </c:pt>
                <c:pt idx="5">
                  <c:v>6.3E-2</c:v>
                </c:pt>
                <c:pt idx="6">
                  <c:v>0.23599999999999999</c:v>
                </c:pt>
                <c:pt idx="7">
                  <c:v>0.128</c:v>
                </c:pt>
                <c:pt idx="8">
                  <c:v>0.43</c:v>
                </c:pt>
                <c:pt idx="9">
                  <c:v>5.5E-2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0.253</c:v>
                </c:pt>
                <c:pt idx="40">
                  <c:v>0.42199999999999999</c:v>
                </c:pt>
                <c:pt idx="41">
                  <c:v>0.51700000000000002</c:v>
                </c:pt>
                <c:pt idx="42">
                  <c:v>0.57600000000000007</c:v>
                </c:pt>
                <c:pt idx="43">
                  <c:v>0.35499999999999998</c:v>
                </c:pt>
                <c:pt idx="44">
                  <c:v>0.27600000000000002</c:v>
                </c:pt>
                <c:pt idx="45">
                  <c:v>7.3999999999999996E-2</c:v>
                </c:pt>
                <c:pt idx="46">
                  <c:v>0.16300000000000001</c:v>
                </c:pt>
                <c:pt idx="47">
                  <c:v>0.17599999999999999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F1-46BA-AAF0-A96A0FFD94CA}"/>
            </c:ext>
          </c:extLst>
        </c:ser>
        <c:ser>
          <c:idx val="3"/>
          <c:order val="3"/>
          <c:tx>
            <c:v>BES_TR3_one252_C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Discharge_kW!$F$2:$F$49</c:f>
              <c:numCache>
                <c:formatCode>#,##0.000</c:formatCode>
                <c:ptCount val="48"/>
                <c:pt idx="0">
                  <c:v>0.38</c:v>
                </c:pt>
                <c:pt idx="1">
                  <c:v>0.125</c:v>
                </c:pt>
                <c:pt idx="2">
                  <c:v>4.8000000000000001E-2</c:v>
                </c:pt>
                <c:pt idx="3">
                  <c:v>0.16600000000000001</c:v>
                </c:pt>
                <c:pt idx="4">
                  <c:v>4.8000000000000001E-2</c:v>
                </c:pt>
                <c:pt idx="5">
                  <c:v>0.16600000000000001</c:v>
                </c:pt>
                <c:pt idx="6">
                  <c:v>4.8000000000000001E-2</c:v>
                </c:pt>
                <c:pt idx="7">
                  <c:v>6.8999999999999992E-2</c:v>
                </c:pt>
                <c:pt idx="8">
                  <c:v>0.105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1.968</c:v>
                </c:pt>
                <c:pt idx="37">
                  <c:v>1.7989999999999999</c:v>
                </c:pt>
                <c:pt idx="38">
                  <c:v>0</c:v>
                </c:pt>
                <c:pt idx="39">
                  <c:v>0</c:v>
                </c:pt>
                <c:pt idx="40">
                  <c:v>3.3000000000000002E-2</c:v>
                </c:pt>
                <c:pt idx="41">
                  <c:v>0.23300000000000001</c:v>
                </c:pt>
                <c:pt idx="42">
                  <c:v>0.127</c:v>
                </c:pt>
                <c:pt idx="43">
                  <c:v>0.40600000000000003</c:v>
                </c:pt>
                <c:pt idx="44">
                  <c:v>0.38700000000000001</c:v>
                </c:pt>
                <c:pt idx="45">
                  <c:v>0.49</c:v>
                </c:pt>
                <c:pt idx="46">
                  <c:v>0.25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F1-46BA-AAF0-A96A0FFD94CA}"/>
            </c:ext>
          </c:extLst>
        </c:ser>
        <c:ser>
          <c:idx val="4"/>
          <c:order val="4"/>
          <c:tx>
            <c:v>BES_TR3_one260_C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Discharge_kW!$G$2:$G$49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0.21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7.2000000000000008E-2</c:v>
                </c:pt>
                <c:pt idx="5">
                  <c:v>0.14299999999999999</c:v>
                </c:pt>
                <c:pt idx="6">
                  <c:v>4.8000000000000001E-2</c:v>
                </c:pt>
                <c:pt idx="7">
                  <c:v>4.5000000000000012E-2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0.19700000000000001</c:v>
                </c:pt>
                <c:pt idx="39">
                  <c:v>0.19</c:v>
                </c:pt>
                <c:pt idx="40">
                  <c:v>0.17899999999999999</c:v>
                </c:pt>
                <c:pt idx="41">
                  <c:v>0.94200000000000006</c:v>
                </c:pt>
                <c:pt idx="42">
                  <c:v>1.1319999999999999</c:v>
                </c:pt>
                <c:pt idx="43">
                  <c:v>0.48</c:v>
                </c:pt>
                <c:pt idx="44">
                  <c:v>0.46500000000000002</c:v>
                </c:pt>
                <c:pt idx="45">
                  <c:v>0.35</c:v>
                </c:pt>
                <c:pt idx="46">
                  <c:v>4.8000000000000001E-2</c:v>
                </c:pt>
                <c:pt idx="47">
                  <c:v>0.16700000000000001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F1-46BA-AAF0-A96A0FFD94CA}"/>
            </c:ext>
          </c:extLst>
        </c:ser>
        <c:ser>
          <c:idx val="5"/>
          <c:order val="5"/>
          <c:tx>
            <c:v>BES_TR3_one299_B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Discharge_kW!$H$2:$H$49</c:f>
              <c:numCache>
                <c:formatCode>#,##0.000</c:formatCode>
                <c:ptCount val="48"/>
                <c:pt idx="0">
                  <c:v>0.104</c:v>
                </c:pt>
                <c:pt idx="1">
                  <c:v>0.17100000000000001</c:v>
                </c:pt>
                <c:pt idx="2">
                  <c:v>9.8000000000000004E-2</c:v>
                </c:pt>
                <c:pt idx="3">
                  <c:v>5.8999999999999997E-2</c:v>
                </c:pt>
                <c:pt idx="4">
                  <c:v>0.26</c:v>
                </c:pt>
                <c:pt idx="5">
                  <c:v>5.2999999999999999E-2</c:v>
                </c:pt>
                <c:pt idx="6">
                  <c:v>0.13200000000000001</c:v>
                </c:pt>
                <c:pt idx="7">
                  <c:v>0.183</c:v>
                </c:pt>
                <c:pt idx="8">
                  <c:v>3.0000000000000001E-3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0.34</c:v>
                </c:pt>
                <c:pt idx="40">
                  <c:v>0.40400000000000003</c:v>
                </c:pt>
                <c:pt idx="41">
                  <c:v>0.59399999999999997</c:v>
                </c:pt>
                <c:pt idx="42">
                  <c:v>0.442</c:v>
                </c:pt>
                <c:pt idx="43">
                  <c:v>1.42</c:v>
                </c:pt>
                <c:pt idx="44">
                  <c:v>1.679</c:v>
                </c:pt>
                <c:pt idx="45">
                  <c:v>0.41</c:v>
                </c:pt>
                <c:pt idx="46">
                  <c:v>0.24099999999999999</c:v>
                </c:pt>
                <c:pt idx="47">
                  <c:v>0.17100000000000001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F1-46BA-AAF0-A96A0FFD94CA}"/>
            </c:ext>
          </c:extLst>
        </c:ser>
        <c:ser>
          <c:idx val="6"/>
          <c:order val="6"/>
          <c:tx>
            <c:v>BES_TR3_one313_A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Discharge_kW!$I$2:$I$49</c:f>
              <c:numCache>
                <c:formatCode>#,##0.000</c:formatCode>
                <c:ptCount val="48"/>
                <c:pt idx="0">
                  <c:v>0.34</c:v>
                </c:pt>
                <c:pt idx="1">
                  <c:v>5.2999999999999999E-2</c:v>
                </c:pt>
                <c:pt idx="2">
                  <c:v>0.16200000000000001</c:v>
                </c:pt>
                <c:pt idx="3">
                  <c:v>0.24299999999999999</c:v>
                </c:pt>
                <c:pt idx="4">
                  <c:v>8.6999999999999994E-2</c:v>
                </c:pt>
                <c:pt idx="5">
                  <c:v>8.6999999999999994E-2</c:v>
                </c:pt>
                <c:pt idx="6">
                  <c:v>0.19500000000000001</c:v>
                </c:pt>
                <c:pt idx="7">
                  <c:v>0.154</c:v>
                </c:pt>
                <c:pt idx="8">
                  <c:v>0.14000000000000001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0.42199999999999999</c:v>
                </c:pt>
                <c:pt idx="40">
                  <c:v>0.57099999999999995</c:v>
                </c:pt>
                <c:pt idx="41">
                  <c:v>0.76100000000000001</c:v>
                </c:pt>
                <c:pt idx="42">
                  <c:v>0.63900000000000001</c:v>
                </c:pt>
                <c:pt idx="43">
                  <c:v>0.77600000000000002</c:v>
                </c:pt>
                <c:pt idx="44">
                  <c:v>0.63700000000000001</c:v>
                </c:pt>
                <c:pt idx="45">
                  <c:v>0.67699999999999994</c:v>
                </c:pt>
                <c:pt idx="46">
                  <c:v>0.66699999999999993</c:v>
                </c:pt>
                <c:pt idx="47">
                  <c:v>0.13400000000000001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F1-46BA-AAF0-A96A0FFD94CA}"/>
            </c:ext>
          </c:extLst>
        </c:ser>
        <c:ser>
          <c:idx val="7"/>
          <c:order val="7"/>
          <c:tx>
            <c:v>BES_TR3_one42_B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Discharge_kW!$J$2:$J$49</c:f>
              <c:numCache>
                <c:formatCode>#,##0.000</c:formatCode>
                <c:ptCount val="48"/>
                <c:pt idx="0">
                  <c:v>3.3000000000000002E-2</c:v>
                </c:pt>
                <c:pt idx="1">
                  <c:v>3.3000000000000002E-2</c:v>
                </c:pt>
                <c:pt idx="2">
                  <c:v>3.3000000000000002E-2</c:v>
                </c:pt>
                <c:pt idx="3">
                  <c:v>6.8999999999999992E-2</c:v>
                </c:pt>
                <c:pt idx="4">
                  <c:v>6.8999999999999992E-2</c:v>
                </c:pt>
                <c:pt idx="5">
                  <c:v>3.3000000000000002E-2</c:v>
                </c:pt>
                <c:pt idx="6">
                  <c:v>3.3000000000000002E-2</c:v>
                </c:pt>
                <c:pt idx="7">
                  <c:v>0.03</c:v>
                </c:pt>
                <c:pt idx="8">
                  <c:v>5.2999999999999999E-2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0.14799999999999999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4.5000000000000012E-2</c:v>
                </c:pt>
                <c:pt idx="41">
                  <c:v>0.10100000000000001</c:v>
                </c:pt>
                <c:pt idx="42">
                  <c:v>3.3000000000000002E-2</c:v>
                </c:pt>
                <c:pt idx="43">
                  <c:v>4.1000000000000002E-2</c:v>
                </c:pt>
                <c:pt idx="44">
                  <c:v>9.7000000000000003E-2</c:v>
                </c:pt>
                <c:pt idx="45">
                  <c:v>3.3000000000000002E-2</c:v>
                </c:pt>
                <c:pt idx="46">
                  <c:v>0.105</c:v>
                </c:pt>
                <c:pt idx="47">
                  <c:v>3.3000000000000002E-2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BF1-46BA-AAF0-A96A0FFD94CA}"/>
            </c:ext>
          </c:extLst>
        </c:ser>
        <c:ser>
          <c:idx val="8"/>
          <c:order val="8"/>
          <c:tx>
            <c:v>BES_TR3_one320_B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Discharge_kW!$K$2:$K$49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0.19900000000000001</c:v>
                </c:pt>
                <c:pt idx="2">
                  <c:v>4.5999999999999999E-2</c:v>
                </c:pt>
                <c:pt idx="3">
                  <c:v>0.158</c:v>
                </c:pt>
                <c:pt idx="4">
                  <c:v>8.7999999999999995E-2</c:v>
                </c:pt>
                <c:pt idx="5">
                  <c:v>4.5999999999999999E-2</c:v>
                </c:pt>
                <c:pt idx="6">
                  <c:v>0.19900000000000001</c:v>
                </c:pt>
                <c:pt idx="7">
                  <c:v>4.2999999999999997E-2</c:v>
                </c:pt>
                <c:pt idx="8">
                  <c:v>8.6999999999999994E-2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0.18099999999999999</c:v>
                </c:pt>
                <c:pt idx="40">
                  <c:v>0.12</c:v>
                </c:pt>
                <c:pt idx="41">
                  <c:v>0.224</c:v>
                </c:pt>
                <c:pt idx="42">
                  <c:v>0.374</c:v>
                </c:pt>
                <c:pt idx="43">
                  <c:v>0.25800000000000001</c:v>
                </c:pt>
                <c:pt idx="44">
                  <c:v>0.378</c:v>
                </c:pt>
                <c:pt idx="45">
                  <c:v>0.21099999999999999</c:v>
                </c:pt>
                <c:pt idx="46">
                  <c:v>1.244</c:v>
                </c:pt>
                <c:pt idx="47">
                  <c:v>0.224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F1-46BA-AAF0-A96A0FFD94CA}"/>
            </c:ext>
          </c:extLst>
        </c:ser>
        <c:ser>
          <c:idx val="9"/>
          <c:order val="9"/>
          <c:tx>
            <c:v>BES_TR3_one346_C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Discharge_kW!$L$2:$L$49</c:f>
              <c:numCache>
                <c:formatCode>#,##0.000</c:formatCode>
                <c:ptCount val="48"/>
                <c:pt idx="0">
                  <c:v>9.8000000000000004E-2</c:v>
                </c:pt>
                <c:pt idx="1">
                  <c:v>7.8E-2</c:v>
                </c:pt>
                <c:pt idx="2">
                  <c:v>9.4E-2</c:v>
                </c:pt>
                <c:pt idx="3">
                  <c:v>5.0999999999999997E-2</c:v>
                </c:pt>
                <c:pt idx="4">
                  <c:v>5.0999999999999997E-2</c:v>
                </c:pt>
                <c:pt idx="5">
                  <c:v>5.0999999999999997E-2</c:v>
                </c:pt>
                <c:pt idx="6">
                  <c:v>0.121</c:v>
                </c:pt>
                <c:pt idx="7">
                  <c:v>4.8000000000000001E-2</c:v>
                </c:pt>
                <c:pt idx="8">
                  <c:v>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0.46</c:v>
                </c:pt>
                <c:pt idx="40">
                  <c:v>0.41599999999999998</c:v>
                </c:pt>
                <c:pt idx="41">
                  <c:v>0.68499999999999994</c:v>
                </c:pt>
                <c:pt idx="42">
                  <c:v>0.70200000000000007</c:v>
                </c:pt>
                <c:pt idx="43">
                  <c:v>0.62</c:v>
                </c:pt>
                <c:pt idx="44">
                  <c:v>0.745</c:v>
                </c:pt>
                <c:pt idx="45">
                  <c:v>0.46899999999999997</c:v>
                </c:pt>
                <c:pt idx="46">
                  <c:v>0.56700000000000006</c:v>
                </c:pt>
                <c:pt idx="47">
                  <c:v>0.182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BF1-46BA-AAF0-A96A0FFD94CA}"/>
            </c:ext>
          </c:extLst>
        </c:ser>
        <c:ser>
          <c:idx val="10"/>
          <c:order val="10"/>
          <c:tx>
            <c:v>BES_TR3_one363_C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Discharge_kW!$M$2:$M$49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0.17199999999999999</c:v>
                </c:pt>
                <c:pt idx="2">
                  <c:v>7.9000000000000001E-2</c:v>
                </c:pt>
                <c:pt idx="3">
                  <c:v>8.2000000000000003E-2</c:v>
                </c:pt>
                <c:pt idx="4">
                  <c:v>8.8999999999999996E-2</c:v>
                </c:pt>
                <c:pt idx="5">
                  <c:v>5.3999999999999999E-2</c:v>
                </c:pt>
                <c:pt idx="6">
                  <c:v>5.3999999999999999E-2</c:v>
                </c:pt>
                <c:pt idx="7">
                  <c:v>0.11600000000000001</c:v>
                </c:pt>
                <c:pt idx="8">
                  <c:v>2.9000000000000001E-2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1.9359999999999999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0.26400000000000001</c:v>
                </c:pt>
                <c:pt idx="39">
                  <c:v>0.36</c:v>
                </c:pt>
                <c:pt idx="40">
                  <c:v>0.46200000000000002</c:v>
                </c:pt>
                <c:pt idx="41">
                  <c:v>0.91</c:v>
                </c:pt>
                <c:pt idx="42">
                  <c:v>1.2030000000000001</c:v>
                </c:pt>
                <c:pt idx="43">
                  <c:v>0.433</c:v>
                </c:pt>
                <c:pt idx="44">
                  <c:v>0.442</c:v>
                </c:pt>
                <c:pt idx="45">
                  <c:v>0.34799999999999998</c:v>
                </c:pt>
                <c:pt idx="46">
                  <c:v>8.2000000000000003E-2</c:v>
                </c:pt>
                <c:pt idx="47">
                  <c:v>8.8999999999999996E-2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BF1-46BA-AAF0-A96A0FFD94CA}"/>
            </c:ext>
          </c:extLst>
        </c:ser>
        <c:ser>
          <c:idx val="11"/>
          <c:order val="11"/>
          <c:tx>
            <c:v>BES_TR3_one366_B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Discharge_kW!$N$2:$N$49</c:f>
              <c:numCache>
                <c:formatCode>#,##0.000</c:formatCode>
                <c:ptCount val="48"/>
                <c:pt idx="0">
                  <c:v>0.59899999999999998</c:v>
                </c:pt>
                <c:pt idx="1">
                  <c:v>0.54400000000000004</c:v>
                </c:pt>
                <c:pt idx="2">
                  <c:v>0.54799999999999993</c:v>
                </c:pt>
                <c:pt idx="3">
                  <c:v>0.65600000000000003</c:v>
                </c:pt>
                <c:pt idx="4">
                  <c:v>4.2999999999999997E-2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1.0999999999999999E-2</c:v>
                </c:pt>
                <c:pt idx="39">
                  <c:v>1.218</c:v>
                </c:pt>
                <c:pt idx="40">
                  <c:v>0.314</c:v>
                </c:pt>
                <c:pt idx="41">
                  <c:v>0.45300000000000001</c:v>
                </c:pt>
                <c:pt idx="42">
                  <c:v>0.55199999999999994</c:v>
                </c:pt>
                <c:pt idx="43">
                  <c:v>0.54900000000000004</c:v>
                </c:pt>
                <c:pt idx="44">
                  <c:v>0.36499999999999999</c:v>
                </c:pt>
                <c:pt idx="45">
                  <c:v>0.36099999999999999</c:v>
                </c:pt>
                <c:pt idx="46">
                  <c:v>0.10299999999999999</c:v>
                </c:pt>
                <c:pt idx="47">
                  <c:v>7.3999999999999996E-2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BF1-46BA-AAF0-A96A0FFD94CA}"/>
            </c:ext>
          </c:extLst>
        </c:ser>
        <c:ser>
          <c:idx val="12"/>
          <c:order val="12"/>
          <c:tx>
            <c:v>BES_TR3_one371_C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Discharge_kW!$O$2:$O$49</c:f>
              <c:numCache>
                <c:formatCode>#,##0.000</c:formatCode>
                <c:ptCount val="48"/>
                <c:pt idx="0">
                  <c:v>7.2000000000000008E-2</c:v>
                </c:pt>
                <c:pt idx="1">
                  <c:v>4.2000000000000003E-2</c:v>
                </c:pt>
                <c:pt idx="2">
                  <c:v>4.2000000000000003E-2</c:v>
                </c:pt>
                <c:pt idx="3">
                  <c:v>0.20599999999999999</c:v>
                </c:pt>
                <c:pt idx="4">
                  <c:v>4.2000000000000003E-2</c:v>
                </c:pt>
                <c:pt idx="5">
                  <c:v>8.6999999999999994E-2</c:v>
                </c:pt>
                <c:pt idx="6">
                  <c:v>0.161</c:v>
                </c:pt>
                <c:pt idx="7">
                  <c:v>3.9E-2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0.78900000000000003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1.23</c:v>
                </c:pt>
                <c:pt idx="31">
                  <c:v>0.38100000000000001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0.28199999999999997</c:v>
                </c:pt>
                <c:pt idx="40">
                  <c:v>0.34699999999999998</c:v>
                </c:pt>
                <c:pt idx="41">
                  <c:v>0.36299999999999999</c:v>
                </c:pt>
                <c:pt idx="42">
                  <c:v>0.16200000000000001</c:v>
                </c:pt>
                <c:pt idx="43">
                  <c:v>0.40400000000000003</c:v>
                </c:pt>
                <c:pt idx="44">
                  <c:v>0.36900000000000011</c:v>
                </c:pt>
                <c:pt idx="45">
                  <c:v>0.30099999999999999</c:v>
                </c:pt>
                <c:pt idx="46">
                  <c:v>0.45800000000000002</c:v>
                </c:pt>
                <c:pt idx="47">
                  <c:v>0.109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BF1-46BA-AAF0-A96A0FFD94CA}"/>
            </c:ext>
          </c:extLst>
        </c:ser>
        <c:ser>
          <c:idx val="13"/>
          <c:order val="13"/>
          <c:tx>
            <c:v>BES_TR3_one375_C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Discharge_kW!$P$2:$P$49</c:f>
              <c:numCache>
                <c:formatCode>#,##0.000</c:formatCode>
                <c:ptCount val="48"/>
                <c:pt idx="0">
                  <c:v>0.14399999999999999</c:v>
                </c:pt>
                <c:pt idx="1">
                  <c:v>0.23</c:v>
                </c:pt>
                <c:pt idx="2">
                  <c:v>0.161</c:v>
                </c:pt>
                <c:pt idx="3">
                  <c:v>0.153</c:v>
                </c:pt>
                <c:pt idx="4">
                  <c:v>9.6000000000000002E-2</c:v>
                </c:pt>
                <c:pt idx="5">
                  <c:v>0.30399999999999999</c:v>
                </c:pt>
                <c:pt idx="6">
                  <c:v>9.4E-2</c:v>
                </c:pt>
                <c:pt idx="7">
                  <c:v>0.18</c:v>
                </c:pt>
                <c:pt idx="8">
                  <c:v>0.14099999999999999</c:v>
                </c:pt>
                <c:pt idx="9">
                  <c:v>1.4999999999999999E-2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0.32600000000000001</c:v>
                </c:pt>
                <c:pt idx="40">
                  <c:v>0.50900000000000001</c:v>
                </c:pt>
                <c:pt idx="41">
                  <c:v>0.42099999999999999</c:v>
                </c:pt>
                <c:pt idx="42">
                  <c:v>0.45400000000000001</c:v>
                </c:pt>
                <c:pt idx="43">
                  <c:v>0.41899999999999998</c:v>
                </c:pt>
                <c:pt idx="44">
                  <c:v>0.438</c:v>
                </c:pt>
                <c:pt idx="45">
                  <c:v>0.27500000000000002</c:v>
                </c:pt>
                <c:pt idx="46">
                  <c:v>0.20100000000000001</c:v>
                </c:pt>
                <c:pt idx="47">
                  <c:v>0.14899999999999999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BF1-46BA-AAF0-A96A0FFD94CA}"/>
            </c:ext>
          </c:extLst>
        </c:ser>
        <c:ser>
          <c:idx val="14"/>
          <c:order val="14"/>
          <c:tx>
            <c:v>BES_TR3_one410_B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Discharge_kW!$Q$2:$Q$49</c:f>
              <c:numCache>
                <c:formatCode>#,##0.000</c:formatCode>
                <c:ptCount val="48"/>
                <c:pt idx="0">
                  <c:v>0.16500000000000001</c:v>
                </c:pt>
                <c:pt idx="1">
                  <c:v>4.7E-2</c:v>
                </c:pt>
                <c:pt idx="2">
                  <c:v>0.221</c:v>
                </c:pt>
                <c:pt idx="3">
                  <c:v>0.122</c:v>
                </c:pt>
                <c:pt idx="4">
                  <c:v>8.2000000000000003E-2</c:v>
                </c:pt>
                <c:pt idx="5">
                  <c:v>9.0999999999999998E-2</c:v>
                </c:pt>
                <c:pt idx="6">
                  <c:v>0.192</c:v>
                </c:pt>
                <c:pt idx="7">
                  <c:v>8.2000000000000003E-2</c:v>
                </c:pt>
                <c:pt idx="8">
                  <c:v>0.18</c:v>
                </c:pt>
                <c:pt idx="9">
                  <c:v>7.0000000000000001E-3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8.3999999999999991E-2</c:v>
                </c:pt>
                <c:pt idx="40">
                  <c:v>0.1</c:v>
                </c:pt>
                <c:pt idx="41">
                  <c:v>0.36900000000000011</c:v>
                </c:pt>
                <c:pt idx="42">
                  <c:v>0.21299999999999999</c:v>
                </c:pt>
                <c:pt idx="43">
                  <c:v>0.36900000000000011</c:v>
                </c:pt>
                <c:pt idx="44">
                  <c:v>5.8999999999999997E-2</c:v>
                </c:pt>
                <c:pt idx="45">
                  <c:v>0.182</c:v>
                </c:pt>
                <c:pt idx="46">
                  <c:v>1.538</c:v>
                </c:pt>
                <c:pt idx="47">
                  <c:v>1.405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BF1-46BA-AAF0-A96A0FFD94CA}"/>
            </c:ext>
          </c:extLst>
        </c:ser>
        <c:ser>
          <c:idx val="15"/>
          <c:order val="15"/>
          <c:tx>
            <c:v>BES_TR3_one50_A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Discharge_kW!$R$2:$R$49</c:f>
              <c:numCache>
                <c:formatCode>#,##0.000</c:formatCode>
                <c:ptCount val="48"/>
                <c:pt idx="0">
                  <c:v>0.16</c:v>
                </c:pt>
                <c:pt idx="1">
                  <c:v>5.5E-2</c:v>
                </c:pt>
                <c:pt idx="2">
                  <c:v>5.5E-2</c:v>
                </c:pt>
                <c:pt idx="3">
                  <c:v>0.112</c:v>
                </c:pt>
                <c:pt idx="4">
                  <c:v>0.17699999999999999</c:v>
                </c:pt>
                <c:pt idx="5">
                  <c:v>5.5E-2</c:v>
                </c:pt>
                <c:pt idx="6">
                  <c:v>0.23300000000000001</c:v>
                </c:pt>
                <c:pt idx="7">
                  <c:v>5.2999999999999999E-2</c:v>
                </c:pt>
                <c:pt idx="8">
                  <c:v>0.625</c:v>
                </c:pt>
                <c:pt idx="9">
                  <c:v>0.76900000000000002</c:v>
                </c:pt>
                <c:pt idx="10">
                  <c:v>9.6000000000000002E-2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0.13700000000000001</c:v>
                </c:pt>
                <c:pt idx="22">
                  <c:v>0.443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0.14399999999999999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1.6E-2</c:v>
                </c:pt>
                <c:pt idx="38">
                  <c:v>0.41899999999999998</c:v>
                </c:pt>
                <c:pt idx="39">
                  <c:v>0.79600000000000004</c:v>
                </c:pt>
                <c:pt idx="40">
                  <c:v>0.91400000000000003</c:v>
                </c:pt>
                <c:pt idx="41">
                  <c:v>2.4159999999999999</c:v>
                </c:pt>
                <c:pt idx="42">
                  <c:v>2.2719999999999998</c:v>
                </c:pt>
                <c:pt idx="43">
                  <c:v>0.33800000000000002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BF1-46BA-AAF0-A96A0FFD94CA}"/>
            </c:ext>
          </c:extLst>
        </c:ser>
        <c:ser>
          <c:idx val="16"/>
          <c:order val="16"/>
          <c:tx>
            <c:v>BES_TR3_one423_B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Discharge_kW!$S$2:$S$49</c:f>
              <c:numCache>
                <c:formatCode>#,##0.000</c:formatCode>
                <c:ptCount val="48"/>
                <c:pt idx="0">
                  <c:v>0.13100000000000001</c:v>
                </c:pt>
                <c:pt idx="1">
                  <c:v>5.5E-2</c:v>
                </c:pt>
                <c:pt idx="2">
                  <c:v>8.6999999999999994E-2</c:v>
                </c:pt>
                <c:pt idx="3">
                  <c:v>0.16300000000000001</c:v>
                </c:pt>
                <c:pt idx="4">
                  <c:v>5.5E-2</c:v>
                </c:pt>
                <c:pt idx="5">
                  <c:v>5.5E-2</c:v>
                </c:pt>
                <c:pt idx="6">
                  <c:v>0.19500000000000001</c:v>
                </c:pt>
                <c:pt idx="7">
                  <c:v>5.1999999999999998E-2</c:v>
                </c:pt>
                <c:pt idx="8">
                  <c:v>7.4999999999999997E-2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0.46500000000000002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0.128</c:v>
                </c:pt>
                <c:pt idx="40">
                  <c:v>0.33</c:v>
                </c:pt>
                <c:pt idx="41">
                  <c:v>0.52800000000000002</c:v>
                </c:pt>
                <c:pt idx="42">
                  <c:v>0.36699999999999999</c:v>
                </c:pt>
                <c:pt idx="43">
                  <c:v>0.39700000000000002</c:v>
                </c:pt>
                <c:pt idx="44">
                  <c:v>1.034</c:v>
                </c:pt>
                <c:pt idx="45">
                  <c:v>0.30499999999999999</c:v>
                </c:pt>
                <c:pt idx="46">
                  <c:v>0.50600000000000001</c:v>
                </c:pt>
                <c:pt idx="47">
                  <c:v>0.17100000000000001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BF1-46BA-AAF0-A96A0FFD94CA}"/>
            </c:ext>
          </c:extLst>
        </c:ser>
        <c:ser>
          <c:idx val="17"/>
          <c:order val="17"/>
          <c:tx>
            <c:v>BES_TR3_one446_B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Discharge_kW!$T$2:$T$49</c:f>
              <c:numCache>
                <c:formatCode>#,##0.000</c:formatCode>
                <c:ptCount val="48"/>
                <c:pt idx="0">
                  <c:v>0.14899999999999999</c:v>
                </c:pt>
                <c:pt idx="1">
                  <c:v>0.17</c:v>
                </c:pt>
                <c:pt idx="2">
                  <c:v>0.22</c:v>
                </c:pt>
                <c:pt idx="3">
                  <c:v>0.17699999999999999</c:v>
                </c:pt>
                <c:pt idx="4">
                  <c:v>4.8000000000000001E-2</c:v>
                </c:pt>
                <c:pt idx="5">
                  <c:v>0.22</c:v>
                </c:pt>
                <c:pt idx="6">
                  <c:v>0.17699999999999999</c:v>
                </c:pt>
                <c:pt idx="7">
                  <c:v>0.13100000000000001</c:v>
                </c:pt>
                <c:pt idx="8">
                  <c:v>0.2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0.17599999999999999</c:v>
                </c:pt>
                <c:pt idx="39">
                  <c:v>0.49199999999999999</c:v>
                </c:pt>
                <c:pt idx="40">
                  <c:v>0.56300000000000006</c:v>
                </c:pt>
                <c:pt idx="41">
                  <c:v>0.80500000000000005</c:v>
                </c:pt>
                <c:pt idx="42">
                  <c:v>0.622</c:v>
                </c:pt>
                <c:pt idx="43">
                  <c:v>0.80199999999999994</c:v>
                </c:pt>
                <c:pt idx="44">
                  <c:v>0.9</c:v>
                </c:pt>
                <c:pt idx="45">
                  <c:v>0.76200000000000001</c:v>
                </c:pt>
                <c:pt idx="46">
                  <c:v>0.57999999999999996</c:v>
                </c:pt>
                <c:pt idx="47">
                  <c:v>0.99099999999999988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BF1-46BA-AAF0-A96A0FFD94CA}"/>
            </c:ext>
          </c:extLst>
        </c:ser>
        <c:ser>
          <c:idx val="18"/>
          <c:order val="18"/>
          <c:tx>
            <c:v>BES_TR3_one469_A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Discharge_kW!$U$2:$U$49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9.0999999999999998E-2</c:v>
                </c:pt>
                <c:pt idx="2">
                  <c:v>0.16300000000000001</c:v>
                </c:pt>
                <c:pt idx="3">
                  <c:v>0.126</c:v>
                </c:pt>
                <c:pt idx="4">
                  <c:v>0.20599999999999999</c:v>
                </c:pt>
                <c:pt idx="5">
                  <c:v>0.126</c:v>
                </c:pt>
                <c:pt idx="6">
                  <c:v>4.8000000000000001E-2</c:v>
                </c:pt>
                <c:pt idx="7">
                  <c:v>0.26300000000000001</c:v>
                </c:pt>
                <c:pt idx="8">
                  <c:v>2.1999999999999999E-2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0.45200000000000001</c:v>
                </c:pt>
                <c:pt idx="40">
                  <c:v>0.30599999999999999</c:v>
                </c:pt>
                <c:pt idx="41">
                  <c:v>4.8000000000000001E-2</c:v>
                </c:pt>
                <c:pt idx="42">
                  <c:v>0.28399999999999997</c:v>
                </c:pt>
                <c:pt idx="43">
                  <c:v>4.8000000000000001E-2</c:v>
                </c:pt>
                <c:pt idx="44">
                  <c:v>9.6000000000000002E-2</c:v>
                </c:pt>
                <c:pt idx="45">
                  <c:v>0.23599999999999999</c:v>
                </c:pt>
                <c:pt idx="46">
                  <c:v>4.8000000000000001E-2</c:v>
                </c:pt>
                <c:pt idx="47">
                  <c:v>0.23300000000000001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BF1-46BA-AAF0-A96A0FFD94CA}"/>
            </c:ext>
          </c:extLst>
        </c:ser>
        <c:ser>
          <c:idx val="19"/>
          <c:order val="19"/>
          <c:tx>
            <c:v>BES_TR3_one477_A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Discharge_kW!$V$2:$V$49</c:f>
              <c:numCache>
                <c:formatCode>#,##0.000</c:formatCode>
                <c:ptCount val="48"/>
                <c:pt idx="0">
                  <c:v>0.14899999999999999</c:v>
                </c:pt>
                <c:pt idx="1">
                  <c:v>0.13900000000000001</c:v>
                </c:pt>
                <c:pt idx="2">
                  <c:v>8.3000000000000004E-2</c:v>
                </c:pt>
                <c:pt idx="3">
                  <c:v>3.4000000000000002E-2</c:v>
                </c:pt>
                <c:pt idx="4">
                  <c:v>0.191</c:v>
                </c:pt>
                <c:pt idx="5">
                  <c:v>0.14599999999999999</c:v>
                </c:pt>
                <c:pt idx="6">
                  <c:v>3.4000000000000002E-2</c:v>
                </c:pt>
                <c:pt idx="7">
                  <c:v>0.187</c:v>
                </c:pt>
                <c:pt idx="8">
                  <c:v>8.3999999999999991E-2</c:v>
                </c:pt>
                <c:pt idx="9">
                  <c:v>0</c:v>
                </c:pt>
                <c:pt idx="10">
                  <c:v>1.4999999999999999E-2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0.30499999999999999</c:v>
                </c:pt>
                <c:pt idx="35">
                  <c:v>1.47</c:v>
                </c:pt>
                <c:pt idx="36">
                  <c:v>0.115</c:v>
                </c:pt>
                <c:pt idx="37">
                  <c:v>0</c:v>
                </c:pt>
                <c:pt idx="38">
                  <c:v>1.0389999999999999</c:v>
                </c:pt>
                <c:pt idx="39">
                  <c:v>0.72099999999999997</c:v>
                </c:pt>
                <c:pt idx="40">
                  <c:v>0.67300000000000004</c:v>
                </c:pt>
                <c:pt idx="41">
                  <c:v>0.77700000000000002</c:v>
                </c:pt>
                <c:pt idx="42">
                  <c:v>0.98</c:v>
                </c:pt>
                <c:pt idx="43">
                  <c:v>0.70100000000000007</c:v>
                </c:pt>
                <c:pt idx="44">
                  <c:v>0.39300000000000002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BF1-46BA-AAF0-A96A0FFD94CA}"/>
            </c:ext>
          </c:extLst>
        </c:ser>
        <c:ser>
          <c:idx val="20"/>
          <c:order val="20"/>
          <c:tx>
            <c:v>BES_TR3_one480_A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Discharge_kW!$W$2:$W$49</c:f>
              <c:numCache>
                <c:formatCode>#,##0.000</c:formatCode>
                <c:ptCount val="48"/>
                <c:pt idx="0">
                  <c:v>0.15</c:v>
                </c:pt>
                <c:pt idx="1">
                  <c:v>0.05</c:v>
                </c:pt>
                <c:pt idx="2">
                  <c:v>0.05</c:v>
                </c:pt>
                <c:pt idx="3">
                  <c:v>0.105</c:v>
                </c:pt>
                <c:pt idx="4">
                  <c:v>9.5000000000000001E-2</c:v>
                </c:pt>
                <c:pt idx="5">
                  <c:v>0.05</c:v>
                </c:pt>
                <c:pt idx="6">
                  <c:v>0.13500000000000001</c:v>
                </c:pt>
                <c:pt idx="7">
                  <c:v>6.2E-2</c:v>
                </c:pt>
                <c:pt idx="8">
                  <c:v>2.6552889999999999E-4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1.5760000000000001</c:v>
                </c:pt>
                <c:pt idx="40">
                  <c:v>0.27100000000000002</c:v>
                </c:pt>
                <c:pt idx="41">
                  <c:v>0.307</c:v>
                </c:pt>
                <c:pt idx="42">
                  <c:v>0.28199999999999997</c:v>
                </c:pt>
                <c:pt idx="43">
                  <c:v>0.37</c:v>
                </c:pt>
                <c:pt idx="44">
                  <c:v>0.308</c:v>
                </c:pt>
                <c:pt idx="45">
                  <c:v>0.94899999999999995</c:v>
                </c:pt>
                <c:pt idx="46">
                  <c:v>0.81700000000000006</c:v>
                </c:pt>
                <c:pt idx="47">
                  <c:v>0.23899999999999999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BF1-46BA-AAF0-A96A0FFD94CA}"/>
            </c:ext>
          </c:extLst>
        </c:ser>
        <c:ser>
          <c:idx val="21"/>
          <c:order val="21"/>
          <c:tx>
            <c:v>BES_TR3_one482_B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Discharge_kW!$X$2:$X$49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5.2999999999999999E-2</c:v>
                </c:pt>
                <c:pt idx="2">
                  <c:v>0.161</c:v>
                </c:pt>
                <c:pt idx="3">
                  <c:v>5.2999999999999999E-2</c:v>
                </c:pt>
                <c:pt idx="4">
                  <c:v>0.14499999999999999</c:v>
                </c:pt>
                <c:pt idx="5">
                  <c:v>6.8000000000000005E-2</c:v>
                </c:pt>
                <c:pt idx="6">
                  <c:v>5.2999999999999999E-2</c:v>
                </c:pt>
                <c:pt idx="7">
                  <c:v>0.14899999999999999</c:v>
                </c:pt>
                <c:pt idx="8">
                  <c:v>1.0999999999999999E-2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0.49799999999999989</c:v>
                </c:pt>
                <c:pt idx="38">
                  <c:v>0.23</c:v>
                </c:pt>
                <c:pt idx="39">
                  <c:v>0.13300000000000001</c:v>
                </c:pt>
                <c:pt idx="40">
                  <c:v>3.3000000000000002E-2</c:v>
                </c:pt>
                <c:pt idx="41">
                  <c:v>5.2999999999999999E-2</c:v>
                </c:pt>
                <c:pt idx="42">
                  <c:v>0.161</c:v>
                </c:pt>
                <c:pt idx="43">
                  <c:v>5.2999999999999999E-2</c:v>
                </c:pt>
                <c:pt idx="44">
                  <c:v>0.161</c:v>
                </c:pt>
                <c:pt idx="45">
                  <c:v>5.2999999999999999E-2</c:v>
                </c:pt>
                <c:pt idx="46">
                  <c:v>6.0999999999999999E-2</c:v>
                </c:pt>
                <c:pt idx="47">
                  <c:v>0.153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BF1-46BA-AAF0-A96A0FFD94CA}"/>
            </c:ext>
          </c:extLst>
        </c:ser>
        <c:ser>
          <c:idx val="22"/>
          <c:order val="22"/>
          <c:tx>
            <c:v>BES_TR3_one521_C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Discharge_kW!$Y$2:$Y$49</c:f>
              <c:numCache>
                <c:formatCode>#,##0.000</c:formatCode>
                <c:ptCount val="48"/>
                <c:pt idx="0">
                  <c:v>0.14799999999999999</c:v>
                </c:pt>
                <c:pt idx="1">
                  <c:v>0.106</c:v>
                </c:pt>
                <c:pt idx="2">
                  <c:v>0.05</c:v>
                </c:pt>
                <c:pt idx="3">
                  <c:v>0.05</c:v>
                </c:pt>
                <c:pt idx="4">
                  <c:v>0.20399999999999999</c:v>
                </c:pt>
                <c:pt idx="5">
                  <c:v>0.05</c:v>
                </c:pt>
                <c:pt idx="6">
                  <c:v>0.127</c:v>
                </c:pt>
                <c:pt idx="7">
                  <c:v>0.123</c:v>
                </c:pt>
                <c:pt idx="8">
                  <c:v>2.6552889999999999E-4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0.247</c:v>
                </c:pt>
                <c:pt idx="40">
                  <c:v>1.19</c:v>
                </c:pt>
                <c:pt idx="41">
                  <c:v>0.23499999999999999</c:v>
                </c:pt>
                <c:pt idx="42">
                  <c:v>0.70200000000000007</c:v>
                </c:pt>
                <c:pt idx="43">
                  <c:v>0.443</c:v>
                </c:pt>
                <c:pt idx="44">
                  <c:v>0.32100000000000001</c:v>
                </c:pt>
                <c:pt idx="45">
                  <c:v>0.19900000000000001</c:v>
                </c:pt>
                <c:pt idx="46">
                  <c:v>0.222</c:v>
                </c:pt>
                <c:pt idx="47">
                  <c:v>0.57200000000000006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BF1-46BA-AAF0-A96A0FFD94CA}"/>
            </c:ext>
          </c:extLst>
        </c:ser>
        <c:ser>
          <c:idx val="23"/>
          <c:order val="23"/>
          <c:tx>
            <c:v>BES_TR3_one528_C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Discharge_kW!$Z$2:$Z$49</c:f>
              <c:numCache>
                <c:formatCode>#,##0.000</c:formatCode>
                <c:ptCount val="48"/>
                <c:pt idx="0">
                  <c:v>0.11</c:v>
                </c:pt>
                <c:pt idx="1">
                  <c:v>5.1999999999999998E-2</c:v>
                </c:pt>
                <c:pt idx="2">
                  <c:v>0.16800000000000001</c:v>
                </c:pt>
                <c:pt idx="3">
                  <c:v>0.111</c:v>
                </c:pt>
                <c:pt idx="4">
                  <c:v>9.6000000000000002E-2</c:v>
                </c:pt>
                <c:pt idx="5">
                  <c:v>0.14000000000000001</c:v>
                </c:pt>
                <c:pt idx="6">
                  <c:v>9.5000000000000001E-2</c:v>
                </c:pt>
                <c:pt idx="7">
                  <c:v>0.11600000000000001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0.435</c:v>
                </c:pt>
                <c:pt idx="40">
                  <c:v>0.55900000000000005</c:v>
                </c:pt>
                <c:pt idx="41">
                  <c:v>0.50600000000000001</c:v>
                </c:pt>
                <c:pt idx="42">
                  <c:v>0.13200000000000001</c:v>
                </c:pt>
                <c:pt idx="43">
                  <c:v>7.5999999999999998E-2</c:v>
                </c:pt>
                <c:pt idx="44">
                  <c:v>0.29599999999999999</c:v>
                </c:pt>
                <c:pt idx="45">
                  <c:v>0.34200000000000003</c:v>
                </c:pt>
                <c:pt idx="46">
                  <c:v>0.39400000000000002</c:v>
                </c:pt>
                <c:pt idx="47">
                  <c:v>0.17899999999999999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BF1-46BA-AAF0-A96A0FFD94CA}"/>
            </c:ext>
          </c:extLst>
        </c:ser>
        <c:ser>
          <c:idx val="24"/>
          <c:order val="24"/>
          <c:tx>
            <c:v>BES_TR3_one61_A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Discharge_kW!$AA$2:$AA$49</c:f>
              <c:numCache>
                <c:formatCode>#,##0.000</c:formatCode>
                <c:ptCount val="48"/>
                <c:pt idx="0">
                  <c:v>8.1000000000000003E-2</c:v>
                </c:pt>
                <c:pt idx="1">
                  <c:v>0.28000000000000003</c:v>
                </c:pt>
                <c:pt idx="2">
                  <c:v>4.9000000000000002E-2</c:v>
                </c:pt>
                <c:pt idx="3">
                  <c:v>0.20300000000000001</c:v>
                </c:pt>
                <c:pt idx="4">
                  <c:v>0.158</c:v>
                </c:pt>
                <c:pt idx="5">
                  <c:v>4.9000000000000002E-2</c:v>
                </c:pt>
                <c:pt idx="6">
                  <c:v>0.13600000000000001</c:v>
                </c:pt>
                <c:pt idx="7">
                  <c:v>0.19900000000000001</c:v>
                </c:pt>
                <c:pt idx="8">
                  <c:v>4.2000000000000003E-2</c:v>
                </c:pt>
                <c:pt idx="9">
                  <c:v>5.2999999999999999E-2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2.4E-2</c:v>
                </c:pt>
                <c:pt idx="40">
                  <c:v>0.25800000000000001</c:v>
                </c:pt>
                <c:pt idx="41">
                  <c:v>4.9000000000000002E-2</c:v>
                </c:pt>
                <c:pt idx="42">
                  <c:v>0.312</c:v>
                </c:pt>
                <c:pt idx="43">
                  <c:v>4.9000000000000002E-2</c:v>
                </c:pt>
                <c:pt idx="44">
                  <c:v>0.17699999999999999</c:v>
                </c:pt>
                <c:pt idx="45">
                  <c:v>9.7000000000000003E-2</c:v>
                </c:pt>
                <c:pt idx="46">
                  <c:v>8.1000000000000003E-2</c:v>
                </c:pt>
                <c:pt idx="47">
                  <c:v>0.193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BF1-46BA-AAF0-A96A0FFD94CA}"/>
            </c:ext>
          </c:extLst>
        </c:ser>
        <c:ser>
          <c:idx val="25"/>
          <c:order val="25"/>
          <c:tx>
            <c:v>BES_TR3_one544_A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Discharge_kW!$AB$2:$AB$49</c:f>
              <c:numCache>
                <c:formatCode>#,##0.000</c:formatCode>
                <c:ptCount val="48"/>
                <c:pt idx="0">
                  <c:v>0.33500000000000002</c:v>
                </c:pt>
                <c:pt idx="1">
                  <c:v>1.2989999999999999</c:v>
                </c:pt>
                <c:pt idx="2">
                  <c:v>0.42399999999999999</c:v>
                </c:pt>
                <c:pt idx="3">
                  <c:v>0.108</c:v>
                </c:pt>
                <c:pt idx="4">
                  <c:v>0.129</c:v>
                </c:pt>
                <c:pt idx="5">
                  <c:v>9.6000000000000002E-2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0.21099999999999999</c:v>
                </c:pt>
                <c:pt idx="40">
                  <c:v>0.48599999999999999</c:v>
                </c:pt>
                <c:pt idx="41">
                  <c:v>0.43</c:v>
                </c:pt>
                <c:pt idx="42">
                  <c:v>0.48799999999999999</c:v>
                </c:pt>
                <c:pt idx="43">
                  <c:v>0.32100000000000001</c:v>
                </c:pt>
                <c:pt idx="44">
                  <c:v>0.63200000000000001</c:v>
                </c:pt>
                <c:pt idx="45">
                  <c:v>0.45</c:v>
                </c:pt>
                <c:pt idx="46">
                  <c:v>0.46300000000000002</c:v>
                </c:pt>
                <c:pt idx="47">
                  <c:v>0.28299999999999997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BF1-46BA-AAF0-A96A0FFD94CA}"/>
            </c:ext>
          </c:extLst>
        </c:ser>
        <c:ser>
          <c:idx val="26"/>
          <c:order val="26"/>
          <c:tx>
            <c:v>BES_TR3_one552_B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Discharge_kW!$AC$2:$AC$49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5.3999999999999999E-2</c:v>
                </c:pt>
                <c:pt idx="2">
                  <c:v>0.22900000000000001</c:v>
                </c:pt>
                <c:pt idx="3">
                  <c:v>5.3999999999999999E-2</c:v>
                </c:pt>
                <c:pt idx="4">
                  <c:v>0.20499999999999999</c:v>
                </c:pt>
                <c:pt idx="5">
                  <c:v>7.8E-2</c:v>
                </c:pt>
                <c:pt idx="6">
                  <c:v>5.3999999999999999E-2</c:v>
                </c:pt>
                <c:pt idx="7">
                  <c:v>0.22600000000000001</c:v>
                </c:pt>
                <c:pt idx="8">
                  <c:v>0.01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1.6E-2</c:v>
                </c:pt>
                <c:pt idx="39">
                  <c:v>0.26300000000000001</c:v>
                </c:pt>
                <c:pt idx="40">
                  <c:v>0.38200000000000001</c:v>
                </c:pt>
                <c:pt idx="41">
                  <c:v>0.58200000000000007</c:v>
                </c:pt>
                <c:pt idx="42">
                  <c:v>0.64</c:v>
                </c:pt>
                <c:pt idx="43">
                  <c:v>0.54</c:v>
                </c:pt>
                <c:pt idx="44">
                  <c:v>0.6130000000000001</c:v>
                </c:pt>
                <c:pt idx="45">
                  <c:v>0.39700000000000002</c:v>
                </c:pt>
                <c:pt idx="46">
                  <c:v>0.42899999999999999</c:v>
                </c:pt>
                <c:pt idx="47">
                  <c:v>9.4E-2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BF1-46BA-AAF0-A96A0FFD94CA}"/>
            </c:ext>
          </c:extLst>
        </c:ser>
        <c:ser>
          <c:idx val="27"/>
          <c:order val="27"/>
          <c:tx>
            <c:v>BES_TR3_one559_C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Discharge_kW!$AD$2:$AD$49</c:f>
              <c:numCache>
                <c:formatCode>#,##0.000</c:formatCode>
                <c:ptCount val="48"/>
                <c:pt idx="0">
                  <c:v>0.06</c:v>
                </c:pt>
                <c:pt idx="1">
                  <c:v>0.24299999999999999</c:v>
                </c:pt>
                <c:pt idx="2">
                  <c:v>0.152</c:v>
                </c:pt>
                <c:pt idx="3">
                  <c:v>0.19</c:v>
                </c:pt>
                <c:pt idx="4">
                  <c:v>0.185</c:v>
                </c:pt>
                <c:pt idx="5">
                  <c:v>0.21</c:v>
                </c:pt>
                <c:pt idx="6">
                  <c:v>0.06</c:v>
                </c:pt>
                <c:pt idx="7">
                  <c:v>0.33100000000000002</c:v>
                </c:pt>
                <c:pt idx="8">
                  <c:v>0.01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0.28100000000000003</c:v>
                </c:pt>
                <c:pt idx="39">
                  <c:v>0.56200000000000006</c:v>
                </c:pt>
                <c:pt idx="40">
                  <c:v>1.331</c:v>
                </c:pt>
                <c:pt idx="41">
                  <c:v>1.3380000000000001</c:v>
                </c:pt>
                <c:pt idx="42">
                  <c:v>0.79699999999999993</c:v>
                </c:pt>
                <c:pt idx="43">
                  <c:v>1.002</c:v>
                </c:pt>
                <c:pt idx="44">
                  <c:v>1.3009999999999999</c:v>
                </c:pt>
                <c:pt idx="45">
                  <c:v>0.56099999999999994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BF1-46BA-AAF0-A96A0FFD94CA}"/>
            </c:ext>
          </c:extLst>
        </c:ser>
        <c:ser>
          <c:idx val="28"/>
          <c:order val="28"/>
          <c:tx>
            <c:v>BES_TR3_one570_B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Discharge_kW!$AE$2:$AE$49</c:f>
              <c:numCache>
                <c:formatCode>#,##0.000</c:formatCode>
                <c:ptCount val="48"/>
                <c:pt idx="0">
                  <c:v>4.1000000000000002E-2</c:v>
                </c:pt>
                <c:pt idx="1">
                  <c:v>0.112</c:v>
                </c:pt>
                <c:pt idx="2">
                  <c:v>4.1000000000000002E-2</c:v>
                </c:pt>
                <c:pt idx="3">
                  <c:v>0.112</c:v>
                </c:pt>
                <c:pt idx="4">
                  <c:v>4.1000000000000002E-2</c:v>
                </c:pt>
                <c:pt idx="5">
                  <c:v>0.112</c:v>
                </c:pt>
                <c:pt idx="6">
                  <c:v>4.1000000000000002E-2</c:v>
                </c:pt>
                <c:pt idx="7">
                  <c:v>3.7999999999999999E-2</c:v>
                </c:pt>
                <c:pt idx="8">
                  <c:v>4.0000000000000001E-3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0.60599999999999998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0.63500000000000001</c:v>
                </c:pt>
                <c:pt idx="37">
                  <c:v>1.37</c:v>
                </c:pt>
                <c:pt idx="38">
                  <c:v>0.45500000000000002</c:v>
                </c:pt>
                <c:pt idx="39">
                  <c:v>0.17199999999999999</c:v>
                </c:pt>
                <c:pt idx="40">
                  <c:v>0.36499999999999999</c:v>
                </c:pt>
                <c:pt idx="41">
                  <c:v>0.37</c:v>
                </c:pt>
                <c:pt idx="42">
                  <c:v>0.32200000000000001</c:v>
                </c:pt>
                <c:pt idx="43">
                  <c:v>0.36099999999999999</c:v>
                </c:pt>
                <c:pt idx="44">
                  <c:v>0.19400000000000001</c:v>
                </c:pt>
                <c:pt idx="45">
                  <c:v>4.1000000000000002E-2</c:v>
                </c:pt>
                <c:pt idx="46">
                  <c:v>0.112</c:v>
                </c:pt>
                <c:pt idx="47">
                  <c:v>4.1000000000000002E-2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BF1-46BA-AAF0-A96A0FFD94CA}"/>
            </c:ext>
          </c:extLst>
        </c:ser>
        <c:ser>
          <c:idx val="29"/>
          <c:order val="29"/>
          <c:tx>
            <c:v>BES_TR3_one605_A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Discharge_kW!$AF$2:$AF$49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0.05</c:v>
                </c:pt>
                <c:pt idx="8">
                  <c:v>3.0000000000000001E-3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0.35799999999999998</c:v>
                </c:pt>
                <c:pt idx="40">
                  <c:v>0.27800000000000002</c:v>
                </c:pt>
                <c:pt idx="41">
                  <c:v>0.1</c:v>
                </c:pt>
                <c:pt idx="42">
                  <c:v>5.2999999999999999E-2</c:v>
                </c:pt>
                <c:pt idx="43">
                  <c:v>5.2999999999999999E-2</c:v>
                </c:pt>
                <c:pt idx="44">
                  <c:v>0.48599999999999999</c:v>
                </c:pt>
                <c:pt idx="45">
                  <c:v>0.45200000000000001</c:v>
                </c:pt>
                <c:pt idx="46">
                  <c:v>0.71299999999999997</c:v>
                </c:pt>
                <c:pt idx="47">
                  <c:v>0.161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BF1-46BA-AAF0-A96A0FFD94CA}"/>
            </c:ext>
          </c:extLst>
        </c:ser>
        <c:ser>
          <c:idx val="30"/>
          <c:order val="30"/>
          <c:tx>
            <c:v>BES_TR3_one614_B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Discharge_kW!$AG$2:$AG$49</c:f>
              <c:numCache>
                <c:formatCode>#,##0.000</c:formatCode>
                <c:ptCount val="48"/>
                <c:pt idx="0">
                  <c:v>5.8999999999999997E-2</c:v>
                </c:pt>
                <c:pt idx="1">
                  <c:v>0.14799999999999999</c:v>
                </c:pt>
                <c:pt idx="2">
                  <c:v>0.12</c:v>
                </c:pt>
                <c:pt idx="3">
                  <c:v>7.9000000000000001E-2</c:v>
                </c:pt>
                <c:pt idx="4">
                  <c:v>0.188</c:v>
                </c:pt>
                <c:pt idx="5">
                  <c:v>5.8999999999999997E-2</c:v>
                </c:pt>
                <c:pt idx="6">
                  <c:v>5.8999999999999997E-2</c:v>
                </c:pt>
                <c:pt idx="7">
                  <c:v>0.20599999999999999</c:v>
                </c:pt>
                <c:pt idx="8">
                  <c:v>2.1999999999999999E-2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1.3009999999999999</c:v>
                </c:pt>
                <c:pt idx="38">
                  <c:v>0.11799999999999999</c:v>
                </c:pt>
                <c:pt idx="39">
                  <c:v>0.40300000000000002</c:v>
                </c:pt>
                <c:pt idx="40">
                  <c:v>1.659</c:v>
                </c:pt>
                <c:pt idx="41">
                  <c:v>0.53700000000000003</c:v>
                </c:pt>
                <c:pt idx="42">
                  <c:v>0.66100000000000003</c:v>
                </c:pt>
                <c:pt idx="43">
                  <c:v>0.99099999999999988</c:v>
                </c:pt>
                <c:pt idx="44">
                  <c:v>1.502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BF1-46BA-AAF0-A96A0FFD94CA}"/>
            </c:ext>
          </c:extLst>
        </c:ser>
        <c:ser>
          <c:idx val="31"/>
          <c:order val="31"/>
          <c:tx>
            <c:v>BES_TR3_one617_A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Discharge_kW!$AH$2:$AH$49</c:f>
              <c:numCache>
                <c:formatCode>#,##0.000</c:formatCode>
                <c:ptCount val="48"/>
                <c:pt idx="0">
                  <c:v>0.111</c:v>
                </c:pt>
                <c:pt idx="1">
                  <c:v>0.14099999999999999</c:v>
                </c:pt>
                <c:pt idx="2">
                  <c:v>3.5999999999999997E-2</c:v>
                </c:pt>
                <c:pt idx="3">
                  <c:v>6.6000000000000003E-2</c:v>
                </c:pt>
                <c:pt idx="4">
                  <c:v>0.17</c:v>
                </c:pt>
                <c:pt idx="5">
                  <c:v>3.5999999999999997E-2</c:v>
                </c:pt>
                <c:pt idx="6">
                  <c:v>0.2</c:v>
                </c:pt>
                <c:pt idx="7">
                  <c:v>3.3000000000000002E-2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0.16400000000000001</c:v>
                </c:pt>
                <c:pt idx="40">
                  <c:v>0.38100000000000001</c:v>
                </c:pt>
                <c:pt idx="41">
                  <c:v>0.39500000000000002</c:v>
                </c:pt>
                <c:pt idx="42">
                  <c:v>0.57099999999999995</c:v>
                </c:pt>
                <c:pt idx="43">
                  <c:v>0.59299999999999997</c:v>
                </c:pt>
                <c:pt idx="44">
                  <c:v>0.42199999999999999</c:v>
                </c:pt>
                <c:pt idx="45">
                  <c:v>0.438</c:v>
                </c:pt>
                <c:pt idx="46">
                  <c:v>0.30599999999999999</c:v>
                </c:pt>
                <c:pt idx="47">
                  <c:v>0.30499999999999999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BF1-46BA-AAF0-A96A0FFD94CA}"/>
            </c:ext>
          </c:extLst>
        </c:ser>
        <c:ser>
          <c:idx val="32"/>
          <c:order val="32"/>
          <c:tx>
            <c:v>BES_TR3_one73_A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Discharge_kW!$AI$2:$AI$49</c:f>
              <c:numCache>
                <c:formatCode>#,##0.000</c:formatCode>
                <c:ptCount val="48"/>
                <c:pt idx="0">
                  <c:v>0.499</c:v>
                </c:pt>
                <c:pt idx="1">
                  <c:v>0.621</c:v>
                </c:pt>
                <c:pt idx="2">
                  <c:v>0.26800000000000002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0.27200000000000002</c:v>
                </c:pt>
                <c:pt idx="6">
                  <c:v>0.17899999999999999</c:v>
                </c:pt>
                <c:pt idx="7">
                  <c:v>0.188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0.27700000000000002</c:v>
                </c:pt>
                <c:pt idx="39">
                  <c:v>0.81200000000000006</c:v>
                </c:pt>
                <c:pt idx="40">
                  <c:v>0.50800000000000001</c:v>
                </c:pt>
                <c:pt idx="41">
                  <c:v>0.96599999999999997</c:v>
                </c:pt>
                <c:pt idx="42">
                  <c:v>0.81300000000000006</c:v>
                </c:pt>
                <c:pt idx="43">
                  <c:v>0.72199999999999998</c:v>
                </c:pt>
                <c:pt idx="44">
                  <c:v>0.85899999999999999</c:v>
                </c:pt>
                <c:pt idx="45">
                  <c:v>0.92100000000000004</c:v>
                </c:pt>
                <c:pt idx="46">
                  <c:v>0.82200000000000006</c:v>
                </c:pt>
                <c:pt idx="47">
                  <c:v>0.23599999999999999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BF1-46BA-AAF0-A96A0FFD94CA}"/>
            </c:ext>
          </c:extLst>
        </c:ser>
        <c:ser>
          <c:idx val="33"/>
          <c:order val="33"/>
          <c:tx>
            <c:v>BES_TR3_one76_A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Discharge_kW!$AJ$2:$AJ$49</c:f>
              <c:numCache>
                <c:formatCode>#,##0.000</c:formatCode>
                <c:ptCount val="48"/>
                <c:pt idx="0">
                  <c:v>0.152</c:v>
                </c:pt>
                <c:pt idx="1">
                  <c:v>4.1000000000000002E-2</c:v>
                </c:pt>
                <c:pt idx="2">
                  <c:v>0.24299999999999999</c:v>
                </c:pt>
                <c:pt idx="3">
                  <c:v>4.1000000000000002E-2</c:v>
                </c:pt>
                <c:pt idx="4">
                  <c:v>4.1000000000000002E-2</c:v>
                </c:pt>
                <c:pt idx="5">
                  <c:v>0.21299999999999999</c:v>
                </c:pt>
                <c:pt idx="6">
                  <c:v>7.1000000000000008E-2</c:v>
                </c:pt>
                <c:pt idx="7">
                  <c:v>5.0999999999999997E-2</c:v>
                </c:pt>
                <c:pt idx="8">
                  <c:v>0.14399999999999999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0.24199999999999999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6.3E-2</c:v>
                </c:pt>
                <c:pt idx="38">
                  <c:v>4.5999999999999999E-2</c:v>
                </c:pt>
                <c:pt idx="39">
                  <c:v>0.42699999999999999</c:v>
                </c:pt>
                <c:pt idx="40">
                  <c:v>2.9000000000000001E-2</c:v>
                </c:pt>
                <c:pt idx="41">
                  <c:v>0.13600000000000001</c:v>
                </c:pt>
                <c:pt idx="42">
                  <c:v>0.41399999999999998</c:v>
                </c:pt>
                <c:pt idx="43">
                  <c:v>0.30199999999999999</c:v>
                </c:pt>
                <c:pt idx="44">
                  <c:v>0.57499999999999996</c:v>
                </c:pt>
                <c:pt idx="45">
                  <c:v>0.67599999999999993</c:v>
                </c:pt>
                <c:pt idx="46">
                  <c:v>0.441</c:v>
                </c:pt>
                <c:pt idx="47">
                  <c:v>0.47299999999999998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FBF1-46BA-AAF0-A96A0FFD94CA}"/>
            </c:ext>
          </c:extLst>
        </c:ser>
        <c:ser>
          <c:idx val="34"/>
          <c:order val="34"/>
          <c:tx>
            <c:v>BES_TR3_one137_A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Discharge_kW!$AK$2:$AK$49</c:f>
              <c:numCache>
                <c:formatCode>#,##0.000</c:formatCode>
                <c:ptCount val="48"/>
                <c:pt idx="0">
                  <c:v>4.2999999999999997E-2</c:v>
                </c:pt>
                <c:pt idx="1">
                  <c:v>4.2999999999999997E-2</c:v>
                </c:pt>
                <c:pt idx="2">
                  <c:v>0.39100000000000001</c:v>
                </c:pt>
                <c:pt idx="3">
                  <c:v>0.219</c:v>
                </c:pt>
                <c:pt idx="4">
                  <c:v>0.22500000000000001</c:v>
                </c:pt>
                <c:pt idx="5">
                  <c:v>0.11799999999999999</c:v>
                </c:pt>
                <c:pt idx="6">
                  <c:v>4.2999999999999997E-2</c:v>
                </c:pt>
                <c:pt idx="7">
                  <c:v>0.04</c:v>
                </c:pt>
                <c:pt idx="8">
                  <c:v>6.8000000000000005E-2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1.0309999999999999</c:v>
                </c:pt>
                <c:pt idx="37">
                  <c:v>0</c:v>
                </c:pt>
                <c:pt idx="38">
                  <c:v>0</c:v>
                </c:pt>
                <c:pt idx="39">
                  <c:v>1.0309999999999999</c:v>
                </c:pt>
                <c:pt idx="40">
                  <c:v>0.215</c:v>
                </c:pt>
                <c:pt idx="41">
                  <c:v>0.27400000000000002</c:v>
                </c:pt>
                <c:pt idx="42">
                  <c:v>0.39300000000000002</c:v>
                </c:pt>
                <c:pt idx="43">
                  <c:v>0.41699999999999998</c:v>
                </c:pt>
                <c:pt idx="44">
                  <c:v>0.34699999999999998</c:v>
                </c:pt>
                <c:pt idx="45">
                  <c:v>0.11799999999999999</c:v>
                </c:pt>
                <c:pt idx="46">
                  <c:v>4.2999999999999997E-2</c:v>
                </c:pt>
                <c:pt idx="47">
                  <c:v>4.2999999999999997E-2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BF1-46BA-AAF0-A96A0FFD94CA}"/>
            </c:ext>
          </c:extLst>
        </c:ser>
        <c:ser>
          <c:idx val="35"/>
          <c:order val="35"/>
          <c:tx>
            <c:v>BES_TR3_one176_A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Discharge_kW!$AL$2:$AL$49</c:f>
              <c:numCache>
                <c:formatCode>#,##0.000</c:formatCode>
                <c:ptCount val="48"/>
                <c:pt idx="0">
                  <c:v>0.14899999999999999</c:v>
                </c:pt>
                <c:pt idx="1">
                  <c:v>8.2000000000000003E-2</c:v>
                </c:pt>
                <c:pt idx="2">
                  <c:v>4.2000000000000003E-2</c:v>
                </c:pt>
                <c:pt idx="3">
                  <c:v>0.189</c:v>
                </c:pt>
                <c:pt idx="4">
                  <c:v>4.2000000000000003E-2</c:v>
                </c:pt>
                <c:pt idx="5">
                  <c:v>4.2000000000000003E-2</c:v>
                </c:pt>
                <c:pt idx="6">
                  <c:v>0.122</c:v>
                </c:pt>
                <c:pt idx="7">
                  <c:v>0.107</c:v>
                </c:pt>
                <c:pt idx="8">
                  <c:v>4.3999999999999997E-2</c:v>
                </c:pt>
                <c:pt idx="9">
                  <c:v>4.5999999999999999E-2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0.375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1.343</c:v>
                </c:pt>
                <c:pt idx="38">
                  <c:v>0</c:v>
                </c:pt>
                <c:pt idx="39">
                  <c:v>2.1999999999999999E-2</c:v>
                </c:pt>
                <c:pt idx="40">
                  <c:v>0.21299999999999999</c:v>
                </c:pt>
                <c:pt idx="41">
                  <c:v>0.55999999999999994</c:v>
                </c:pt>
                <c:pt idx="42">
                  <c:v>0.42799999999999999</c:v>
                </c:pt>
                <c:pt idx="43">
                  <c:v>0.50800000000000001</c:v>
                </c:pt>
                <c:pt idx="44">
                  <c:v>0.69399999999999995</c:v>
                </c:pt>
                <c:pt idx="45">
                  <c:v>1.359</c:v>
                </c:pt>
                <c:pt idx="46">
                  <c:v>0.32100000000000001</c:v>
                </c:pt>
                <c:pt idx="47">
                  <c:v>0.16900000000000001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FBF1-46BA-AAF0-A96A0FFD94CA}"/>
            </c:ext>
          </c:extLst>
        </c:ser>
        <c:ser>
          <c:idx val="36"/>
          <c:order val="36"/>
          <c:tx>
            <c:v>BES_TR3_two130_C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Discharge_kW!$AM$2:$AM$49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0.223</c:v>
                </c:pt>
                <c:pt idx="2">
                  <c:v>4.9000000000000002E-2</c:v>
                </c:pt>
                <c:pt idx="3">
                  <c:v>4.9000000000000002E-2</c:v>
                </c:pt>
                <c:pt idx="4">
                  <c:v>0.223</c:v>
                </c:pt>
                <c:pt idx="5">
                  <c:v>4.9000000000000002E-2</c:v>
                </c:pt>
                <c:pt idx="6">
                  <c:v>4.9000000000000002E-2</c:v>
                </c:pt>
                <c:pt idx="7">
                  <c:v>0.188</c:v>
                </c:pt>
                <c:pt idx="8">
                  <c:v>3.1E-2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1.2450000000000001</c:v>
                </c:pt>
                <c:pt idx="40">
                  <c:v>1.248</c:v>
                </c:pt>
                <c:pt idx="41">
                  <c:v>0.46100000000000002</c:v>
                </c:pt>
                <c:pt idx="42">
                  <c:v>0.71899999999999997</c:v>
                </c:pt>
                <c:pt idx="43">
                  <c:v>0.5</c:v>
                </c:pt>
                <c:pt idx="44">
                  <c:v>0.46600000000000003</c:v>
                </c:pt>
                <c:pt idx="45">
                  <c:v>0.30099999999999999</c:v>
                </c:pt>
                <c:pt idx="46">
                  <c:v>0.30399999999999999</c:v>
                </c:pt>
                <c:pt idx="47">
                  <c:v>0.48299999999999998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BF1-46BA-AAF0-A96A0FFD94CA}"/>
            </c:ext>
          </c:extLst>
        </c:ser>
        <c:ser>
          <c:idx val="37"/>
          <c:order val="37"/>
          <c:tx>
            <c:v>BES_TR3_two249_A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Discharge_kW!$AN$2:$AN$49</c:f>
              <c:numCache>
                <c:formatCode>#,##0.000</c:formatCode>
                <c:ptCount val="48"/>
                <c:pt idx="0">
                  <c:v>7.9000000000000001E-2</c:v>
                </c:pt>
                <c:pt idx="1">
                  <c:v>0.19600000000000001</c:v>
                </c:pt>
                <c:pt idx="2">
                  <c:v>0.13700000000000001</c:v>
                </c:pt>
                <c:pt idx="3">
                  <c:v>0.185</c:v>
                </c:pt>
                <c:pt idx="4">
                  <c:v>0.17699999999999999</c:v>
                </c:pt>
                <c:pt idx="5">
                  <c:v>6.0999999999999999E-2</c:v>
                </c:pt>
                <c:pt idx="6">
                  <c:v>0.254</c:v>
                </c:pt>
                <c:pt idx="7">
                  <c:v>9.2999999999999999E-2</c:v>
                </c:pt>
                <c:pt idx="8">
                  <c:v>2.6552880000000001E-4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0.33100000000000002</c:v>
                </c:pt>
                <c:pt idx="40">
                  <c:v>0.312</c:v>
                </c:pt>
                <c:pt idx="41">
                  <c:v>0.39600000000000002</c:v>
                </c:pt>
                <c:pt idx="42">
                  <c:v>0.48599999999999999</c:v>
                </c:pt>
                <c:pt idx="43">
                  <c:v>0.495</c:v>
                </c:pt>
                <c:pt idx="44">
                  <c:v>0.623</c:v>
                </c:pt>
                <c:pt idx="45">
                  <c:v>0.876</c:v>
                </c:pt>
                <c:pt idx="46">
                  <c:v>0.55199999999999994</c:v>
                </c:pt>
                <c:pt idx="47">
                  <c:v>0.79400000000000004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FBF1-46BA-AAF0-A96A0FFD94CA}"/>
            </c:ext>
          </c:extLst>
        </c:ser>
        <c:ser>
          <c:idx val="38"/>
          <c:order val="38"/>
          <c:tx>
            <c:v>BES_TR3_two267_C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Discharge_kW!$AO$2:$AO$49</c:f>
              <c:numCache>
                <c:formatCode>#,##0.000</c:formatCode>
                <c:ptCount val="48"/>
                <c:pt idx="0">
                  <c:v>0.13800000000000001</c:v>
                </c:pt>
                <c:pt idx="1">
                  <c:v>7.9000000000000001E-2</c:v>
                </c:pt>
                <c:pt idx="2">
                  <c:v>5.7000000000000002E-2</c:v>
                </c:pt>
                <c:pt idx="3">
                  <c:v>0.16</c:v>
                </c:pt>
                <c:pt idx="4">
                  <c:v>5.7000000000000002E-2</c:v>
                </c:pt>
                <c:pt idx="5">
                  <c:v>7.9000000000000001E-2</c:v>
                </c:pt>
                <c:pt idx="6">
                  <c:v>0.13800000000000001</c:v>
                </c:pt>
                <c:pt idx="7">
                  <c:v>5.3999999999999999E-2</c:v>
                </c:pt>
                <c:pt idx="8">
                  <c:v>7.0000000000000001E-3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0.28799999999999998</c:v>
                </c:pt>
                <c:pt idx="33">
                  <c:v>1.032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0.252</c:v>
                </c:pt>
                <c:pt idx="40">
                  <c:v>0.39400000000000002</c:v>
                </c:pt>
                <c:pt idx="41">
                  <c:v>0.56999999999999995</c:v>
                </c:pt>
                <c:pt idx="42">
                  <c:v>0.61399999999999999</c:v>
                </c:pt>
                <c:pt idx="43">
                  <c:v>0.52899999999999991</c:v>
                </c:pt>
                <c:pt idx="44">
                  <c:v>0.71399999999999997</c:v>
                </c:pt>
                <c:pt idx="45">
                  <c:v>0.73699999999999999</c:v>
                </c:pt>
                <c:pt idx="46">
                  <c:v>0.70399999999999996</c:v>
                </c:pt>
                <c:pt idx="47">
                  <c:v>0.123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BF1-46BA-AAF0-A96A0FFD94CA}"/>
            </c:ext>
          </c:extLst>
        </c:ser>
        <c:ser>
          <c:idx val="39"/>
          <c:order val="39"/>
          <c:tx>
            <c:v>BES_TR3_two292_B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Discharge_kW!$AP$2:$AP$49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0.05</c:v>
                </c:pt>
                <c:pt idx="8">
                  <c:v>3.0000000000000001E-3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3.3000000000000002E-2</c:v>
                </c:pt>
                <c:pt idx="41">
                  <c:v>5.2999999999999999E-2</c:v>
                </c:pt>
                <c:pt idx="42">
                  <c:v>5.2999999999999999E-2</c:v>
                </c:pt>
                <c:pt idx="43">
                  <c:v>5.2999999999999999E-2</c:v>
                </c:pt>
                <c:pt idx="44">
                  <c:v>5.2999999999999999E-2</c:v>
                </c:pt>
                <c:pt idx="45">
                  <c:v>5.2999999999999999E-2</c:v>
                </c:pt>
                <c:pt idx="46">
                  <c:v>5.2999999999999999E-2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FBF1-46BA-AAF0-A96A0FFD94CA}"/>
            </c:ext>
          </c:extLst>
        </c:ser>
        <c:ser>
          <c:idx val="40"/>
          <c:order val="40"/>
          <c:tx>
            <c:v>BES_TR3_two308_A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Discharge_kW!$AQ$2:$AQ$49</c:f>
              <c:numCache>
                <c:formatCode>#,##0.000</c:formatCode>
                <c:ptCount val="48"/>
                <c:pt idx="0">
                  <c:v>0.63900000000000001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4.7E-2</c:v>
                </c:pt>
                <c:pt idx="8">
                  <c:v>1.2999999999999999E-2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3.5000000000000003E-2</c:v>
                </c:pt>
                <c:pt idx="41">
                  <c:v>0.25700000000000001</c:v>
                </c:pt>
                <c:pt idx="42">
                  <c:v>0.27500000000000002</c:v>
                </c:pt>
                <c:pt idx="43">
                  <c:v>0.35899999999999999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BF1-46BA-AAF0-A96A0FFD94CA}"/>
            </c:ext>
          </c:extLst>
        </c:ser>
        <c:ser>
          <c:idx val="41"/>
          <c:order val="41"/>
          <c:tx>
            <c:v>BES_TR3_two313_C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Discharge_kW!$AR$2:$AR$49</c:f>
              <c:numCache>
                <c:formatCode>#,##0.000</c:formatCode>
                <c:ptCount val="48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5.0999999999999997E-2</c:v>
                </c:pt>
                <c:pt idx="8">
                  <c:v>2.1999999999999999E-2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0.107</c:v>
                </c:pt>
                <c:pt idx="39">
                  <c:v>0.38200000000000001</c:v>
                </c:pt>
                <c:pt idx="40">
                  <c:v>0.44700000000000001</c:v>
                </c:pt>
                <c:pt idx="41">
                  <c:v>0.442</c:v>
                </c:pt>
                <c:pt idx="42">
                  <c:v>0.73699999999999999</c:v>
                </c:pt>
                <c:pt idx="43">
                  <c:v>0.34499999999999997</c:v>
                </c:pt>
                <c:pt idx="44">
                  <c:v>0.29799999999999999</c:v>
                </c:pt>
                <c:pt idx="45">
                  <c:v>0.34699999999999998</c:v>
                </c:pt>
                <c:pt idx="46">
                  <c:v>5.2999999999999999E-2</c:v>
                </c:pt>
                <c:pt idx="47">
                  <c:v>6.3E-2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FBF1-46BA-AAF0-A96A0FFD94CA}"/>
            </c:ext>
          </c:extLst>
        </c:ser>
        <c:ser>
          <c:idx val="42"/>
          <c:order val="42"/>
          <c:tx>
            <c:v>BES_TR3_two137_B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Discharge_kW!$AS$2:$AS$49</c:f>
              <c:numCache>
                <c:formatCode>#,##0.000</c:formatCode>
                <c:ptCount val="48"/>
                <c:pt idx="0">
                  <c:v>0.55199999999999994</c:v>
                </c:pt>
                <c:pt idx="1">
                  <c:v>0.53399999999999992</c:v>
                </c:pt>
                <c:pt idx="2">
                  <c:v>7.9000000000000001E-2</c:v>
                </c:pt>
                <c:pt idx="3">
                  <c:v>8.5000000000000006E-2</c:v>
                </c:pt>
                <c:pt idx="4">
                  <c:v>4.7E-2</c:v>
                </c:pt>
                <c:pt idx="5">
                  <c:v>0.16400000000000001</c:v>
                </c:pt>
                <c:pt idx="6">
                  <c:v>0.111</c:v>
                </c:pt>
                <c:pt idx="7">
                  <c:v>0.17399999999999999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0.17899999999999999</c:v>
                </c:pt>
                <c:pt idx="41">
                  <c:v>6.8000000000000005E-2</c:v>
                </c:pt>
                <c:pt idx="42">
                  <c:v>0.33800000000000002</c:v>
                </c:pt>
                <c:pt idx="43">
                  <c:v>0.26100000000000001</c:v>
                </c:pt>
                <c:pt idx="44">
                  <c:v>0.47399999999999998</c:v>
                </c:pt>
                <c:pt idx="45">
                  <c:v>0.75</c:v>
                </c:pt>
                <c:pt idx="46">
                  <c:v>0.41</c:v>
                </c:pt>
                <c:pt idx="47">
                  <c:v>0.54900000000000004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BF1-46BA-AAF0-A96A0FFD94CA}"/>
            </c:ext>
          </c:extLst>
        </c:ser>
        <c:ser>
          <c:idx val="43"/>
          <c:order val="43"/>
          <c:tx>
            <c:v>BES_TR3_two316_A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Discharge_kW!$AT$2:$AT$49</c:f>
              <c:numCache>
                <c:formatCode>#,##0.000</c:formatCode>
                <c:ptCount val="48"/>
                <c:pt idx="0">
                  <c:v>0.68300000000000005</c:v>
                </c:pt>
                <c:pt idx="1">
                  <c:v>0.14899999999999999</c:v>
                </c:pt>
                <c:pt idx="2">
                  <c:v>0.14299999999999999</c:v>
                </c:pt>
                <c:pt idx="3">
                  <c:v>5.3999999999999999E-2</c:v>
                </c:pt>
                <c:pt idx="4">
                  <c:v>5.3999999999999999E-2</c:v>
                </c:pt>
                <c:pt idx="5">
                  <c:v>0.14299999999999999</c:v>
                </c:pt>
                <c:pt idx="6">
                  <c:v>5.3999999999999999E-2</c:v>
                </c:pt>
                <c:pt idx="7">
                  <c:v>9.6000000000000002E-2</c:v>
                </c:pt>
                <c:pt idx="8">
                  <c:v>6.0999999999999999E-2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0.374</c:v>
                </c:pt>
                <c:pt idx="40">
                  <c:v>0.30299999999999999</c:v>
                </c:pt>
                <c:pt idx="41">
                  <c:v>0.435</c:v>
                </c:pt>
                <c:pt idx="42">
                  <c:v>0.72900000000000009</c:v>
                </c:pt>
                <c:pt idx="43">
                  <c:v>0.56200000000000006</c:v>
                </c:pt>
                <c:pt idx="44">
                  <c:v>0.67199999999999993</c:v>
                </c:pt>
                <c:pt idx="45">
                  <c:v>0.59100000000000008</c:v>
                </c:pt>
                <c:pt idx="46">
                  <c:v>0.50700000000000001</c:v>
                </c:pt>
                <c:pt idx="47">
                  <c:v>0.64600000000000002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FBF1-46BA-AAF0-A96A0FFD94CA}"/>
            </c:ext>
          </c:extLst>
        </c:ser>
        <c:ser>
          <c:idx val="44"/>
          <c:order val="44"/>
          <c:tx>
            <c:v>BES_TR3_two339_A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Discharge_kW!$AU$2:$AU$49</c:f>
              <c:numCache>
                <c:formatCode>#,##0.000</c:formatCode>
                <c:ptCount val="48"/>
                <c:pt idx="0">
                  <c:v>0.73399999999999999</c:v>
                </c:pt>
                <c:pt idx="1">
                  <c:v>0.438</c:v>
                </c:pt>
                <c:pt idx="2">
                  <c:v>0.83100000000000007</c:v>
                </c:pt>
                <c:pt idx="3">
                  <c:v>0.38700000000000001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2.9000000000000001E-2</c:v>
                </c:pt>
                <c:pt idx="39">
                  <c:v>0.60599999999999998</c:v>
                </c:pt>
                <c:pt idx="40">
                  <c:v>0.91400000000000003</c:v>
                </c:pt>
                <c:pt idx="41">
                  <c:v>0.625</c:v>
                </c:pt>
                <c:pt idx="42">
                  <c:v>0.495</c:v>
                </c:pt>
                <c:pt idx="43">
                  <c:v>0.47099999999999997</c:v>
                </c:pt>
                <c:pt idx="44">
                  <c:v>1.1719999999999999</c:v>
                </c:pt>
                <c:pt idx="45">
                  <c:v>0.48399999999999999</c:v>
                </c:pt>
                <c:pt idx="46">
                  <c:v>0.76300000000000001</c:v>
                </c:pt>
                <c:pt idx="47">
                  <c:v>0.16200000000000001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BF1-46BA-AAF0-A96A0FFD94CA}"/>
            </c:ext>
          </c:extLst>
        </c:ser>
        <c:ser>
          <c:idx val="45"/>
          <c:order val="45"/>
          <c:tx>
            <c:v>BES_TR3_two149_B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Discharge_kW!$AV$2:$AV$49</c:f>
              <c:numCache>
                <c:formatCode>#,##0.000</c:formatCode>
                <c:ptCount val="48"/>
                <c:pt idx="0">
                  <c:v>0.10199999999999999</c:v>
                </c:pt>
                <c:pt idx="1">
                  <c:v>0.13400000000000001</c:v>
                </c:pt>
                <c:pt idx="2">
                  <c:v>0.151</c:v>
                </c:pt>
                <c:pt idx="3">
                  <c:v>0.05</c:v>
                </c:pt>
                <c:pt idx="4">
                  <c:v>0.23400000000000001</c:v>
                </c:pt>
                <c:pt idx="5">
                  <c:v>0.05</c:v>
                </c:pt>
                <c:pt idx="6">
                  <c:v>0.05</c:v>
                </c:pt>
                <c:pt idx="7">
                  <c:v>0.125</c:v>
                </c:pt>
                <c:pt idx="8">
                  <c:v>0.113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0.17799999999999999</c:v>
                </c:pt>
                <c:pt idx="41">
                  <c:v>0.05</c:v>
                </c:pt>
                <c:pt idx="42">
                  <c:v>0.05</c:v>
                </c:pt>
                <c:pt idx="43">
                  <c:v>0.377</c:v>
                </c:pt>
                <c:pt idx="44">
                  <c:v>0.23</c:v>
                </c:pt>
                <c:pt idx="45">
                  <c:v>0.25600000000000001</c:v>
                </c:pt>
                <c:pt idx="46">
                  <c:v>0.38900000000000001</c:v>
                </c:pt>
                <c:pt idx="47">
                  <c:v>0.45300000000000001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FBF1-46BA-AAF0-A96A0FFD94CA}"/>
            </c:ext>
          </c:extLst>
        </c:ser>
        <c:ser>
          <c:idx val="46"/>
          <c:order val="46"/>
          <c:tx>
            <c:v>BES_TR3_two225_C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Discharge_kW!$AW$2:$AW$49</c:f>
              <c:numCache>
                <c:formatCode>#,##0.000</c:formatCode>
                <c:ptCount val="48"/>
                <c:pt idx="0">
                  <c:v>0.16</c:v>
                </c:pt>
                <c:pt idx="1">
                  <c:v>0.14599999999999999</c:v>
                </c:pt>
                <c:pt idx="2">
                  <c:v>9.8999999999999991E-2</c:v>
                </c:pt>
                <c:pt idx="3">
                  <c:v>0.246</c:v>
                </c:pt>
                <c:pt idx="4">
                  <c:v>0.14899999999999999</c:v>
                </c:pt>
                <c:pt idx="5">
                  <c:v>0.246</c:v>
                </c:pt>
                <c:pt idx="6">
                  <c:v>0.05</c:v>
                </c:pt>
                <c:pt idx="7">
                  <c:v>8.7999999999999995E-2</c:v>
                </c:pt>
                <c:pt idx="8">
                  <c:v>0.154</c:v>
                </c:pt>
                <c:pt idx="9">
                  <c:v>0.06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0.216</c:v>
                </c:pt>
                <c:pt idx="30">
                  <c:v>2.1019999999999999</c:v>
                </c:pt>
                <c:pt idx="31">
                  <c:v>1.3360000000000001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0.17699999999999999</c:v>
                </c:pt>
                <c:pt idx="36">
                  <c:v>1E-3</c:v>
                </c:pt>
                <c:pt idx="37">
                  <c:v>2.5000000000000001E-2</c:v>
                </c:pt>
                <c:pt idx="38">
                  <c:v>0.114</c:v>
                </c:pt>
                <c:pt idx="39">
                  <c:v>0.51200000000000001</c:v>
                </c:pt>
                <c:pt idx="40">
                  <c:v>0.316</c:v>
                </c:pt>
                <c:pt idx="41">
                  <c:v>0.31900000000000001</c:v>
                </c:pt>
                <c:pt idx="42">
                  <c:v>0.49299999999999988</c:v>
                </c:pt>
                <c:pt idx="43">
                  <c:v>0.4</c:v>
                </c:pt>
                <c:pt idx="44">
                  <c:v>0.42499999999999999</c:v>
                </c:pt>
                <c:pt idx="45">
                  <c:v>0.42699999999999999</c:v>
                </c:pt>
                <c:pt idx="46">
                  <c:v>0.05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BF1-46BA-AAF0-A96A0FFD94CA}"/>
            </c:ext>
          </c:extLst>
        </c:ser>
        <c:ser>
          <c:idx val="47"/>
          <c:order val="47"/>
          <c:tx>
            <c:v>BES_TR3_two229_A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Discharge_kW!$AX$2:$AX$49</c:f>
              <c:numCache>
                <c:formatCode>#,##0.000</c:formatCode>
                <c:ptCount val="48"/>
                <c:pt idx="0">
                  <c:v>0.13300000000000001</c:v>
                </c:pt>
                <c:pt idx="1">
                  <c:v>0.17299999999999999</c:v>
                </c:pt>
                <c:pt idx="2">
                  <c:v>0.104</c:v>
                </c:pt>
                <c:pt idx="3">
                  <c:v>9.0000000000000011E-2</c:v>
                </c:pt>
                <c:pt idx="4">
                  <c:v>0.20899999999999999</c:v>
                </c:pt>
                <c:pt idx="5">
                  <c:v>0.14399999999999999</c:v>
                </c:pt>
                <c:pt idx="6">
                  <c:v>4.9000000000000002E-2</c:v>
                </c:pt>
                <c:pt idx="7">
                  <c:v>0.17899999999999999</c:v>
                </c:pt>
                <c:pt idx="8">
                  <c:v>0.155</c:v>
                </c:pt>
                <c:pt idx="9">
                  <c:v>2.7E-2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1.3</c:v>
                </c:pt>
                <c:pt idx="38">
                  <c:v>0.78</c:v>
                </c:pt>
                <c:pt idx="39">
                  <c:v>0.14599999999999999</c:v>
                </c:pt>
                <c:pt idx="40">
                  <c:v>0.33100000000000002</c:v>
                </c:pt>
                <c:pt idx="41">
                  <c:v>0.38900000000000001</c:v>
                </c:pt>
                <c:pt idx="42">
                  <c:v>0.57600000000000007</c:v>
                </c:pt>
                <c:pt idx="43">
                  <c:v>0.76800000000000002</c:v>
                </c:pt>
                <c:pt idx="44">
                  <c:v>1.7010000000000001</c:v>
                </c:pt>
                <c:pt idx="45">
                  <c:v>0.79299999999999993</c:v>
                </c:pt>
                <c:pt idx="46">
                  <c:v>0.26300000000000001</c:v>
                </c:pt>
                <c:pt idx="47">
                  <c:v>5.6000000000000001E-2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FBF1-46BA-AAF0-A96A0FFD94CA}"/>
            </c:ext>
          </c:extLst>
        </c:ser>
        <c:ser>
          <c:idx val="48"/>
          <c:order val="48"/>
          <c:tx>
            <c:v>BES_TR3_two242_B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Discharge_kW!$AY$2:$AY$49</c:f>
              <c:numCache>
                <c:formatCode>#,##0.000</c:formatCode>
                <c:ptCount val="48"/>
                <c:pt idx="0">
                  <c:v>0.76900000000000002</c:v>
                </c:pt>
                <c:pt idx="1">
                  <c:v>0.109</c:v>
                </c:pt>
                <c:pt idx="2">
                  <c:v>0.217</c:v>
                </c:pt>
                <c:pt idx="3">
                  <c:v>0.109</c:v>
                </c:pt>
                <c:pt idx="4">
                  <c:v>3.3000000000000002E-2</c:v>
                </c:pt>
                <c:pt idx="5">
                  <c:v>0.109</c:v>
                </c:pt>
                <c:pt idx="6">
                  <c:v>5.8000000000000003E-2</c:v>
                </c:pt>
                <c:pt idx="7">
                  <c:v>0.19</c:v>
                </c:pt>
                <c:pt idx="8">
                  <c:v>6.8000000000000005E-2</c:v>
                </c:pt>
                <c:pt idx="9">
                  <c:v>9.2999999999999999E-2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0.33700000000000002</c:v>
                </c:pt>
                <c:pt idx="39">
                  <c:v>1.3859999999999999</c:v>
                </c:pt>
                <c:pt idx="40">
                  <c:v>1.333</c:v>
                </c:pt>
                <c:pt idx="41">
                  <c:v>0.41499999999999998</c:v>
                </c:pt>
                <c:pt idx="42">
                  <c:v>0.20300000000000001</c:v>
                </c:pt>
                <c:pt idx="43">
                  <c:v>0.40200000000000002</c:v>
                </c:pt>
                <c:pt idx="44">
                  <c:v>0.26700000000000002</c:v>
                </c:pt>
                <c:pt idx="45">
                  <c:v>0.54</c:v>
                </c:pt>
                <c:pt idx="46">
                  <c:v>0.51700000000000002</c:v>
                </c:pt>
                <c:pt idx="47">
                  <c:v>0.16800000000000001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BF1-46BA-AAF0-A96A0FFD94CA}"/>
            </c:ext>
          </c:extLst>
        </c:ser>
        <c:ser>
          <c:idx val="49"/>
          <c:order val="49"/>
          <c:tx>
            <c:v>fleet average</c:v>
          </c:tx>
          <c:spPr>
            <a:ln w="28575">
              <a:solidFill>
                <a:srgbClr val="F05A28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ChartData!$X$2:$X$49</c:f>
              <c:numCache>
                <c:formatCode>#,##0.000</c:formatCode>
                <c:ptCount val="48"/>
                <c:pt idx="0">
                  <c:v>0.18865306122448983</c:v>
                </c:pt>
                <c:pt idx="1">
                  <c:v>0.17973469387755103</c:v>
                </c:pt>
                <c:pt idx="2">
                  <c:v>0.14316326530612247</c:v>
                </c:pt>
                <c:pt idx="3">
                  <c:v>0.13173469387755099</c:v>
                </c:pt>
                <c:pt idx="4">
                  <c:v>0.11708163265306122</c:v>
                </c:pt>
                <c:pt idx="5">
                  <c:v>9.8510204081632649E-2</c:v>
                </c:pt>
                <c:pt idx="6">
                  <c:v>0.10293877551020407</c:v>
                </c:pt>
                <c:pt idx="7">
                  <c:v>0.10842857142857144</c:v>
                </c:pt>
                <c:pt idx="8">
                  <c:v>6.7138705848979574E-2</c:v>
                </c:pt>
                <c:pt idx="9">
                  <c:v>2.3081632653061224E-2</c:v>
                </c:pt>
                <c:pt idx="10">
                  <c:v>2.2653061224489797E-3</c:v>
                </c:pt>
                <c:pt idx="11">
                  <c:v>0</c:v>
                </c:pt>
                <c:pt idx="12">
                  <c:v>1.236734693877551E-2</c:v>
                </c:pt>
                <c:pt idx="13">
                  <c:v>0</c:v>
                </c:pt>
                <c:pt idx="14">
                  <c:v>1.6224489795918368E-2</c:v>
                </c:pt>
                <c:pt idx="15">
                  <c:v>0</c:v>
                </c:pt>
                <c:pt idx="16">
                  <c:v>2.5387755102040815E-2</c:v>
                </c:pt>
                <c:pt idx="17">
                  <c:v>0</c:v>
                </c:pt>
                <c:pt idx="18">
                  <c:v>4.9387755102040815E-3</c:v>
                </c:pt>
                <c:pt idx="19">
                  <c:v>2.0408163265306123E-4</c:v>
                </c:pt>
                <c:pt idx="20">
                  <c:v>0</c:v>
                </c:pt>
                <c:pt idx="21">
                  <c:v>2.795918367346939E-3</c:v>
                </c:pt>
                <c:pt idx="22">
                  <c:v>1.2061224489795918E-2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1.6102040816326532E-2</c:v>
                </c:pt>
                <c:pt idx="27">
                  <c:v>0</c:v>
                </c:pt>
                <c:pt idx="28">
                  <c:v>6.1224489795918364E-3</c:v>
                </c:pt>
                <c:pt idx="29">
                  <c:v>4.4081632653061222E-3</c:v>
                </c:pt>
                <c:pt idx="30">
                  <c:v>7.5653061224489795E-2</c:v>
                </c:pt>
                <c:pt idx="31">
                  <c:v>3.7979591836734695E-2</c:v>
                </c:pt>
                <c:pt idx="32">
                  <c:v>5.877551020408163E-3</c:v>
                </c:pt>
                <c:pt idx="33">
                  <c:v>6.0571428571428568E-2</c:v>
                </c:pt>
                <c:pt idx="34">
                  <c:v>3.9836734693877551E-2</c:v>
                </c:pt>
                <c:pt idx="35">
                  <c:v>5.1693877551020409E-2</c:v>
                </c:pt>
                <c:pt idx="36">
                  <c:v>7.6530612244897947E-2</c:v>
                </c:pt>
                <c:pt idx="37">
                  <c:v>0.15744897959183674</c:v>
                </c:pt>
                <c:pt idx="38">
                  <c:v>9.9918367346938777E-2</c:v>
                </c:pt>
                <c:pt idx="39">
                  <c:v>0.39714285714285719</c:v>
                </c:pt>
                <c:pt idx="40">
                  <c:v>0.44646938775510192</c:v>
                </c:pt>
                <c:pt idx="41">
                  <c:v>0.47965306122448981</c:v>
                </c:pt>
                <c:pt idx="42">
                  <c:v>0.52181632653061227</c:v>
                </c:pt>
                <c:pt idx="43">
                  <c:v>0.45244897959183678</c:v>
                </c:pt>
                <c:pt idx="44">
                  <c:v>0.53524489795918373</c:v>
                </c:pt>
                <c:pt idx="45">
                  <c:v>0.41608163265306131</c:v>
                </c:pt>
                <c:pt idx="46">
                  <c:v>0.34422448979591846</c:v>
                </c:pt>
                <c:pt idx="47">
                  <c:v>0.25022448979591838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BF1-46BA-AAF0-A96A0FFD9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.7"/>
          <c:min val="-0.1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Discharging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8</xdr:col>
      <xdr:colOff>0</xdr:colOff>
      <xdr:row>59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showGridLines="0" workbookViewId="0"/>
  </sheetViews>
  <sheetFormatPr defaultRowHeight="15" x14ac:dyDescent="0.25"/>
  <cols>
    <col min="1" max="1" width="118" customWidth="1"/>
  </cols>
  <sheetData>
    <row r="1" spans="1:1" ht="27.95" customHeight="1" x14ac:dyDescent="0.25">
      <c r="A1" s="1" t="s">
        <v>0</v>
      </c>
    </row>
    <row r="2" spans="1:1" ht="33.950000000000003" customHeight="1" x14ac:dyDescent="0.25">
      <c r="A2" s="2" t="s">
        <v>1</v>
      </c>
    </row>
    <row r="3" spans="1:1" ht="33.950000000000003" customHeight="1" x14ac:dyDescent="0.25">
      <c r="A3" s="2" t="s">
        <v>2</v>
      </c>
    </row>
    <row r="4" spans="1:1" ht="33.950000000000003" customHeight="1" x14ac:dyDescent="0.25">
      <c r="A4" s="2" t="s">
        <v>3</v>
      </c>
    </row>
    <row r="5" spans="1:1" ht="33.950000000000003" customHeight="1" x14ac:dyDescent="0.25">
      <c r="A5" s="2" t="s">
        <v>4</v>
      </c>
    </row>
    <row r="6" spans="1:1" ht="33.950000000000003" customHeight="1" x14ac:dyDescent="0.25">
      <c r="A6" s="2" t="s">
        <v>5</v>
      </c>
    </row>
    <row r="7" spans="1:1" ht="33.950000000000003" customHeight="1" x14ac:dyDescent="0.25">
      <c r="A7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workbookViewId="0"/>
  </sheetViews>
  <sheetFormatPr defaultRowHeight="15" x14ac:dyDescent="0.25"/>
  <cols>
    <col min="1" max="1" width="30" customWidth="1"/>
    <col min="2" max="2" width="82" customWidth="1"/>
  </cols>
  <sheetData>
    <row r="1" spans="1:2" ht="30" customHeight="1" x14ac:dyDescent="0.25">
      <c r="A1" s="8" t="s">
        <v>7</v>
      </c>
      <c r="B1" s="9" t="s">
        <v>8</v>
      </c>
    </row>
    <row r="2" spans="1:2" x14ac:dyDescent="0.25">
      <c r="A2" s="10" t="s">
        <v>9</v>
      </c>
      <c r="B2" s="13" t="s">
        <v>10</v>
      </c>
    </row>
    <row r="3" spans="1:2" x14ac:dyDescent="0.25">
      <c r="A3" s="10" t="s">
        <v>11</v>
      </c>
      <c r="B3" s="13" t="s">
        <v>12</v>
      </c>
    </row>
    <row r="4" spans="1:2" x14ac:dyDescent="0.25">
      <c r="A4" s="10" t="s">
        <v>13</v>
      </c>
      <c r="B4" s="13" t="s">
        <v>14</v>
      </c>
    </row>
    <row r="5" spans="1:2" x14ac:dyDescent="0.25">
      <c r="A5" s="14" t="s">
        <v>15</v>
      </c>
      <c r="B5" s="16">
        <v>49</v>
      </c>
    </row>
    <row r="6" spans="1:2" x14ac:dyDescent="0.25">
      <c r="A6" s="14" t="s">
        <v>16</v>
      </c>
      <c r="B6" s="16">
        <v>1316.4</v>
      </c>
    </row>
    <row r="7" spans="1:2" x14ac:dyDescent="0.25">
      <c r="A7" s="14" t="s">
        <v>17</v>
      </c>
      <c r="B7" s="16">
        <v>352.4</v>
      </c>
    </row>
    <row r="8" spans="1:2" x14ac:dyDescent="0.25">
      <c r="A8" s="14" t="s">
        <v>18</v>
      </c>
      <c r="B8" s="16">
        <v>942.2</v>
      </c>
    </row>
    <row r="9" spans="1:2" x14ac:dyDescent="0.25">
      <c r="A9" s="14" t="s">
        <v>19</v>
      </c>
      <c r="B9" s="16">
        <v>7</v>
      </c>
    </row>
    <row r="10" spans="1:2" x14ac:dyDescent="0.25">
      <c r="A10" s="14" t="s">
        <v>20</v>
      </c>
      <c r="B10" s="17">
        <v>28.4</v>
      </c>
    </row>
    <row r="11" spans="1:2" x14ac:dyDescent="0.25">
      <c r="A11" s="14" t="s">
        <v>21</v>
      </c>
      <c r="B11" s="17">
        <v>98</v>
      </c>
    </row>
    <row r="12" spans="1:2" x14ac:dyDescent="0.25">
      <c r="A12" s="14" t="s">
        <v>22</v>
      </c>
      <c r="B12" s="17">
        <v>55.6</v>
      </c>
    </row>
    <row r="13" spans="1:2" x14ac:dyDescent="0.25">
      <c r="A13" s="14" t="s">
        <v>23</v>
      </c>
      <c r="B13" s="11" t="s">
        <v>24</v>
      </c>
    </row>
    <row r="14" spans="1:2" x14ac:dyDescent="0.25">
      <c r="A14" s="15" t="s">
        <v>25</v>
      </c>
      <c r="B14" s="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11" width="15" customWidth="1"/>
  </cols>
  <sheetData>
    <row r="1" spans="1:11" ht="30" customHeight="1" x14ac:dyDescent="0.25">
      <c r="A1" s="8" t="s">
        <v>26</v>
      </c>
      <c r="B1" s="21" t="s">
        <v>27</v>
      </c>
      <c r="C1" s="21" t="s">
        <v>28</v>
      </c>
      <c r="D1" s="21" t="s">
        <v>29</v>
      </c>
      <c r="E1" s="21" t="s">
        <v>30</v>
      </c>
      <c r="F1" s="21" t="s">
        <v>31</v>
      </c>
      <c r="G1" s="21" t="s">
        <v>32</v>
      </c>
      <c r="H1" s="21" t="s">
        <v>33</v>
      </c>
      <c r="I1" s="21" t="s">
        <v>34</v>
      </c>
      <c r="J1" s="21" t="s">
        <v>35</v>
      </c>
      <c r="K1" s="9" t="s">
        <v>36</v>
      </c>
    </row>
    <row r="2" spans="1:11" x14ac:dyDescent="0.25">
      <c r="A2" s="24">
        <f>Demand_kW!A2</f>
        <v>1</v>
      </c>
      <c r="B2" s="26">
        <f>Demand_kW!B2</f>
        <v>0</v>
      </c>
      <c r="C2" s="28">
        <f>AVERAGE(Demand_kW!$C2:$AY2)</f>
        <v>0.18860561904761908</v>
      </c>
      <c r="D2" s="28">
        <f>AVERAGE(PV_kW!$C2:$AY2)</f>
        <v>0</v>
      </c>
      <c r="E2" s="28">
        <f>AVERAGE(Charge_kW!$C2:$AY2)</f>
        <v>0</v>
      </c>
      <c r="F2" s="28">
        <f>AVERAGE(Discharge_kW!$C2:$AY2)</f>
        <v>0.18865306122448983</v>
      </c>
      <c r="G2" s="28">
        <f t="shared" ref="G2:G49" si="0">C2-D2+E2-F2</f>
        <v>-4.744217687074892E-5</v>
      </c>
      <c r="H2" s="26">
        <f>AVERAGE(SOC_pct!$C2:$AY2)</f>
        <v>40</v>
      </c>
      <c r="I2" s="30">
        <f>SUM(Demand_kW!$C2:$AY2)</f>
        <v>9.241675333333335</v>
      </c>
      <c r="J2" s="30">
        <f>SUM(PV_kW!$C2:$AY2)</f>
        <v>0</v>
      </c>
      <c r="K2" s="16">
        <f>I2-J2+SUM(Charge_kW!$C2:$AY2)-SUM(Discharge_kW!$C2:$AY2)</f>
        <v>-2.3246666666665305E-3</v>
      </c>
    </row>
    <row r="3" spans="1:11" x14ac:dyDescent="0.25">
      <c r="A3" s="24">
        <f>Demand_kW!A3</f>
        <v>2</v>
      </c>
      <c r="B3" s="26">
        <f>Demand_kW!B3</f>
        <v>0.5</v>
      </c>
      <c r="C3" s="28">
        <f>AVERAGE(Demand_kW!$C3:$AY3)</f>
        <v>0.17969246802721098</v>
      </c>
      <c r="D3" s="28">
        <f>AVERAGE(PV_kW!$C3:$AY3)</f>
        <v>0</v>
      </c>
      <c r="E3" s="28">
        <f>AVERAGE(Charge_kW!$C3:$AY3)</f>
        <v>0</v>
      </c>
      <c r="F3" s="28">
        <f>AVERAGE(Discharge_kW!$C3:$AY3)</f>
        <v>0.17973469387755103</v>
      </c>
      <c r="G3" s="28">
        <f t="shared" si="0"/>
        <v>-4.2225850340055215E-5</v>
      </c>
      <c r="H3" s="26">
        <f>AVERAGE(SOC_pct!$C3:$AY3)</f>
        <v>37.633279591836732</v>
      </c>
      <c r="I3" s="30">
        <f>SUM(Demand_kW!$C3:$AY3)</f>
        <v>8.8049309333333383</v>
      </c>
      <c r="J3" s="30">
        <f>SUM(PV_kW!$C3:$AY3)</f>
        <v>0</v>
      </c>
      <c r="K3" s="16">
        <f>I3-J3+SUM(Charge_kW!$C3:$AY3)-SUM(Discharge_kW!$C3:$AY3)</f>
        <v>-2.0690666666620672E-3</v>
      </c>
    </row>
    <row r="4" spans="1:11" x14ac:dyDescent="0.25">
      <c r="A4" s="24">
        <f>Demand_kW!A4</f>
        <v>3</v>
      </c>
      <c r="B4" s="26">
        <f>Demand_kW!B4</f>
        <v>1</v>
      </c>
      <c r="C4" s="28">
        <f>AVERAGE(Demand_kW!$C4:$AY4)</f>
        <v>0.14316062585034012</v>
      </c>
      <c r="D4" s="28">
        <f>AVERAGE(PV_kW!$C4:$AY4)</f>
        <v>0</v>
      </c>
      <c r="E4" s="28">
        <f>AVERAGE(Charge_kW!$C4:$AY4)</f>
        <v>0</v>
      </c>
      <c r="F4" s="28">
        <f>AVERAGE(Discharge_kW!$C4:$AY4)</f>
        <v>0.14316326530612247</v>
      </c>
      <c r="G4" s="28">
        <f t="shared" si="0"/>
        <v>-2.6394557823550269E-6</v>
      </c>
      <c r="H4" s="26">
        <f>AVERAGE(SOC_pct!$C4:$AY4)</f>
        <v>35.378414285714292</v>
      </c>
      <c r="I4" s="30">
        <f>SUM(Demand_kW!$C4:$AY4)</f>
        <v>7.0148706666666651</v>
      </c>
      <c r="J4" s="30">
        <f>SUM(PV_kW!$C4:$AY4)</f>
        <v>0</v>
      </c>
      <c r="K4" s="16">
        <f>I4-J4+SUM(Charge_kW!$C4:$AY4)-SUM(Discharge_kW!$C4:$AY4)</f>
        <v>-1.2933333333542407E-4</v>
      </c>
    </row>
    <row r="5" spans="1:11" x14ac:dyDescent="0.25">
      <c r="A5" s="24">
        <f>Demand_kW!A5</f>
        <v>4</v>
      </c>
      <c r="B5" s="26">
        <f>Demand_kW!B5</f>
        <v>1.5</v>
      </c>
      <c r="C5" s="28">
        <f>AVERAGE(Demand_kW!$C5:$AY5)</f>
        <v>0.13740688435374149</v>
      </c>
      <c r="D5" s="28">
        <f>AVERAGE(PV_kW!$C5:$AY5)</f>
        <v>0</v>
      </c>
      <c r="E5" s="28">
        <f>AVERAGE(Charge_kW!$C5:$AY5)</f>
        <v>0</v>
      </c>
      <c r="F5" s="28">
        <f>AVERAGE(Discharge_kW!$C5:$AY5)</f>
        <v>0.13173469387755099</v>
      </c>
      <c r="G5" s="28">
        <f t="shared" si="0"/>
        <v>5.6721904761904973E-3</v>
      </c>
      <c r="H5" s="26">
        <f>AVERAGE(SOC_pct!$C5:$AY5)</f>
        <v>33.581959183673462</v>
      </c>
      <c r="I5" s="30">
        <f>SUM(Demand_kW!$C5:$AY5)</f>
        <v>6.7329373333333322</v>
      </c>
      <c r="J5" s="30">
        <f>SUM(PV_kW!$C5:$AY5)</f>
        <v>0</v>
      </c>
      <c r="K5" s="16">
        <f>I5-J5+SUM(Charge_kW!$C5:$AY5)-SUM(Discharge_kW!$C5:$AY5)</f>
        <v>0.27793733333333392</v>
      </c>
    </row>
    <row r="6" spans="1:11" x14ac:dyDescent="0.25">
      <c r="A6" s="24">
        <f>Demand_kW!A6</f>
        <v>5</v>
      </c>
      <c r="B6" s="26">
        <f>Demand_kW!B6</f>
        <v>2</v>
      </c>
      <c r="C6" s="28">
        <f>AVERAGE(Demand_kW!$C6:$AY6)</f>
        <v>0.13301136054421769</v>
      </c>
      <c r="D6" s="28">
        <f>AVERAGE(PV_kW!$C6:$AY6)</f>
        <v>0</v>
      </c>
      <c r="E6" s="28">
        <f>AVERAGE(Charge_kW!$C6:$AY6)</f>
        <v>0</v>
      </c>
      <c r="F6" s="28">
        <f>AVERAGE(Discharge_kW!$C6:$AY6)</f>
        <v>0.11708163265306122</v>
      </c>
      <c r="G6" s="28">
        <f t="shared" si="0"/>
        <v>1.5929727891156473E-2</v>
      </c>
      <c r="H6" s="26">
        <f>AVERAGE(SOC_pct!$C6:$AY6)</f>
        <v>31.928912244897951</v>
      </c>
      <c r="I6" s="30">
        <f>SUM(Demand_kW!$C6:$AY6)</f>
        <v>6.5175566666666667</v>
      </c>
      <c r="J6" s="30">
        <f>SUM(PV_kW!$C6:$AY6)</f>
        <v>0</v>
      </c>
      <c r="K6" s="16">
        <f>I6-J6+SUM(Charge_kW!$C6:$AY6)-SUM(Discharge_kW!$C6:$AY6)</f>
        <v>0.78055666666666657</v>
      </c>
    </row>
    <row r="7" spans="1:11" x14ac:dyDescent="0.25">
      <c r="A7" s="24">
        <f>Demand_kW!A7</f>
        <v>6</v>
      </c>
      <c r="B7" s="26">
        <f>Demand_kW!B7</f>
        <v>2.5</v>
      </c>
      <c r="C7" s="28">
        <f>AVERAGE(Demand_kW!$C7:$AY7)</f>
        <v>0.11409865306122439</v>
      </c>
      <c r="D7" s="28">
        <f>AVERAGE(PV_kW!$C7:$AY7)</f>
        <v>0</v>
      </c>
      <c r="E7" s="28">
        <f>AVERAGE(Charge_kW!$C7:$AY7)</f>
        <v>0</v>
      </c>
      <c r="F7" s="28">
        <f>AVERAGE(Discharge_kW!$C7:$AY7)</f>
        <v>9.8510204081632649E-2</v>
      </c>
      <c r="G7" s="28">
        <f t="shared" si="0"/>
        <v>1.5588448979591746E-2</v>
      </c>
      <c r="H7" s="26">
        <f>AVERAGE(SOC_pct!$C7:$AY7)</f>
        <v>30.459697959183675</v>
      </c>
      <c r="I7" s="30">
        <f>SUM(Demand_kW!$C7:$AY7)</f>
        <v>5.5908339999999956</v>
      </c>
      <c r="J7" s="30">
        <f>SUM(PV_kW!$C7:$AY7)</f>
        <v>0</v>
      </c>
      <c r="K7" s="16">
        <f>I7-J7+SUM(Charge_kW!$C7:$AY7)-SUM(Discharge_kW!$C7:$AY7)</f>
        <v>0.76383399999999568</v>
      </c>
    </row>
    <row r="8" spans="1:11" x14ac:dyDescent="0.25">
      <c r="A8" s="24">
        <f>Demand_kW!A8</f>
        <v>7</v>
      </c>
      <c r="B8" s="26">
        <f>Demand_kW!B8</f>
        <v>3</v>
      </c>
      <c r="C8" s="28">
        <f>AVERAGE(Demand_kW!$C8:$AY8)</f>
        <v>0.10898819727891157</v>
      </c>
      <c r="D8" s="28">
        <f>AVERAGE(PV_kW!$C8:$AY8)</f>
        <v>0</v>
      </c>
      <c r="E8" s="28">
        <f>AVERAGE(Charge_kW!$C8:$AY8)</f>
        <v>0</v>
      </c>
      <c r="F8" s="28">
        <f>AVERAGE(Discharge_kW!$C8:$AY8)</f>
        <v>0.10293877551020407</v>
      </c>
      <c r="G8" s="28">
        <f t="shared" si="0"/>
        <v>6.0494217687074997E-3</v>
      </c>
      <c r="H8" s="26">
        <f>AVERAGE(SOC_pct!$C8:$AY8)</f>
        <v>29.222646938775522</v>
      </c>
      <c r="I8" s="30">
        <f>SUM(Demand_kW!$C8:$AY8)</f>
        <v>5.3404216666666668</v>
      </c>
      <c r="J8" s="30">
        <f>SUM(PV_kW!$C8:$AY8)</f>
        <v>0</v>
      </c>
      <c r="K8" s="16">
        <f>I8-J8+SUM(Charge_kW!$C8:$AY8)-SUM(Discharge_kW!$C8:$AY8)</f>
        <v>0.29642166666666725</v>
      </c>
    </row>
    <row r="9" spans="1:11" x14ac:dyDescent="0.25">
      <c r="A9" s="24">
        <f>Demand_kW!A9</f>
        <v>8</v>
      </c>
      <c r="B9" s="26">
        <f>Demand_kW!B9</f>
        <v>3.5</v>
      </c>
      <c r="C9" s="28">
        <f>AVERAGE(Demand_kW!$C9:$AY9)</f>
        <v>0.12097806122448976</v>
      </c>
      <c r="D9" s="28">
        <f>AVERAGE(PV_kW!$C9:$AY9)</f>
        <v>2.8614845156462597E-3</v>
      </c>
      <c r="E9" s="28">
        <f>AVERAGE(Charge_kW!$C9:$AY9)</f>
        <v>0</v>
      </c>
      <c r="F9" s="28">
        <f>AVERAGE(Discharge_kW!$C9:$AY9)</f>
        <v>0.10842857142857144</v>
      </c>
      <c r="G9" s="28">
        <f t="shared" si="0"/>
        <v>9.6880052802720551E-3</v>
      </c>
      <c r="H9" s="26">
        <f>AVERAGE(SOC_pct!$C9:$AY9)</f>
        <v>27.93054081632652</v>
      </c>
      <c r="I9" s="30">
        <f>SUM(Demand_kW!$C9:$AY9)</f>
        <v>5.9279249999999983</v>
      </c>
      <c r="J9" s="30">
        <f>SUM(PV_kW!$C9:$AY9)</f>
        <v>0.14021274126666672</v>
      </c>
      <c r="K9" s="16">
        <f>I9-J9+SUM(Charge_kW!$C9:$AY9)-SUM(Discharge_kW!$C9:$AY9)</f>
        <v>0.47471225873333101</v>
      </c>
    </row>
    <row r="10" spans="1:11" x14ac:dyDescent="0.25">
      <c r="A10" s="24">
        <f>Demand_kW!A10</f>
        <v>9</v>
      </c>
      <c r="B10" s="26">
        <f>Demand_kW!B10</f>
        <v>4</v>
      </c>
      <c r="C10" s="28">
        <f>AVERAGE(Demand_kW!$C10:$AY10)</f>
        <v>0.11632741496598639</v>
      </c>
      <c r="D10" s="28">
        <f>AVERAGE(PV_kW!$C10:$AY10)</f>
        <v>4.1360827974149549E-2</v>
      </c>
      <c r="E10" s="28">
        <f>AVERAGE(Charge_kW!$C10:$AY10)</f>
        <v>7.3469387755102048E-4</v>
      </c>
      <c r="F10" s="28">
        <f>AVERAGE(Discharge_kW!$C10:$AY10)</f>
        <v>6.7138705848979574E-2</v>
      </c>
      <c r="G10" s="28">
        <f t="shared" si="0"/>
        <v>8.562575020408289E-3</v>
      </c>
      <c r="H10" s="26">
        <f>AVERAGE(SOC_pct!$C10:$AY10)</f>
        <v>26.571010204081634</v>
      </c>
      <c r="I10" s="30">
        <f>SUM(Demand_kW!$C10:$AY10)</f>
        <v>5.7000433333333334</v>
      </c>
      <c r="J10" s="30">
        <f>SUM(PV_kW!$C10:$AY10)</f>
        <v>2.026680570733328</v>
      </c>
      <c r="K10" s="16">
        <f>I10-J10+SUM(Charge_kW!$C10:$AY10)-SUM(Discharge_kW!$C10:$AY10)</f>
        <v>0.41956617600000623</v>
      </c>
    </row>
    <row r="11" spans="1:11" x14ac:dyDescent="0.25">
      <c r="A11" s="24">
        <f>Demand_kW!A11</f>
        <v>10</v>
      </c>
      <c r="B11" s="26">
        <f>Demand_kW!B11</f>
        <v>4.5</v>
      </c>
      <c r="C11" s="28">
        <f>AVERAGE(Demand_kW!$C11:$AY11)</f>
        <v>0.14219854421768707</v>
      </c>
      <c r="D11" s="28">
        <f>AVERAGE(PV_kW!$C11:$AY11)</f>
        <v>0.19341576440612251</v>
      </c>
      <c r="E11" s="28">
        <f>AVERAGE(Charge_kW!$C11:$AY11)</f>
        <v>7.7408163265306126E-2</v>
      </c>
      <c r="F11" s="28">
        <f>AVERAGE(Discharge_kW!$C11:$AY11)</f>
        <v>2.3081632653061224E-2</v>
      </c>
      <c r="G11" s="28">
        <f t="shared" si="0"/>
        <v>3.1093104238094603E-3</v>
      </c>
      <c r="H11" s="26">
        <f>AVERAGE(SOC_pct!$C11:$AY11)</f>
        <v>25.7356387755102</v>
      </c>
      <c r="I11" s="30">
        <f>SUM(Demand_kW!$C11:$AY11)</f>
        <v>6.9677286666666669</v>
      </c>
      <c r="J11" s="30">
        <f>SUM(PV_kW!$C11:$AY11)</f>
        <v>9.477372455900003</v>
      </c>
      <c r="K11" s="16">
        <f>I11-J11+SUM(Charge_kW!$C11:$AY11)-SUM(Discharge_kW!$C11:$AY11)</f>
        <v>0.15235621076666406</v>
      </c>
    </row>
    <row r="12" spans="1:11" x14ac:dyDescent="0.25">
      <c r="A12" s="24">
        <f>Demand_kW!A12</f>
        <v>11</v>
      </c>
      <c r="B12" s="26">
        <f>Demand_kW!B12</f>
        <v>5</v>
      </c>
      <c r="C12" s="28">
        <f>AVERAGE(Demand_kW!$C12:$AY12)</f>
        <v>0.13029317346938776</v>
      </c>
      <c r="D12" s="28">
        <f>AVERAGE(PV_kW!$C12:$AY12)</f>
        <v>0.38366564789523899</v>
      </c>
      <c r="E12" s="28">
        <f>AVERAGE(Charge_kW!$C12:$AY12)</f>
        <v>0.2573673469387755</v>
      </c>
      <c r="F12" s="28">
        <f>AVERAGE(Discharge_kW!$C12:$AY12)</f>
        <v>2.2653061224489797E-3</v>
      </c>
      <c r="G12" s="28">
        <f t="shared" si="0"/>
        <v>1.7295663904753171E-3</v>
      </c>
      <c r="H12" s="26">
        <f>AVERAGE(SOC_pct!$C12:$AY12)</f>
        <v>26.319591836734695</v>
      </c>
      <c r="I12" s="30">
        <f>SUM(Demand_kW!$C12:$AY12)</f>
        <v>6.3843655000000004</v>
      </c>
      <c r="J12" s="30">
        <f>SUM(PV_kW!$C12:$AY12)</f>
        <v>18.799616746866711</v>
      </c>
      <c r="K12" s="16">
        <f>I12-J12+SUM(Charge_kW!$C12:$AY12)-SUM(Discharge_kW!$C12:$AY12)</f>
        <v>8.4748753133289098E-2</v>
      </c>
    </row>
    <row r="13" spans="1:11" x14ac:dyDescent="0.25">
      <c r="A13" s="24">
        <f>Demand_kW!A13</f>
        <v>12</v>
      </c>
      <c r="B13" s="26">
        <f>Demand_kW!B13</f>
        <v>5.5</v>
      </c>
      <c r="C13" s="28">
        <f>AVERAGE(Demand_kW!$C13:$AY13)</f>
        <v>0.11120318367346939</v>
      </c>
      <c r="D13" s="28">
        <f>AVERAGE(PV_kW!$C13:$AY13)</f>
        <v>0.61695331721904634</v>
      </c>
      <c r="E13" s="28">
        <f>AVERAGE(Charge_kW!$C13:$AY13)</f>
        <v>0.5057551020408162</v>
      </c>
      <c r="F13" s="28">
        <f>AVERAGE(Discharge_kW!$C13:$AY13)</f>
        <v>0</v>
      </c>
      <c r="G13" s="28">
        <f t="shared" si="0"/>
        <v>4.9684952392325954E-6</v>
      </c>
      <c r="H13" s="26">
        <f>AVERAGE(SOC_pct!$C13:$AY13)</f>
        <v>29.198575510204076</v>
      </c>
      <c r="I13" s="30">
        <f>SUM(Demand_kW!$C13:$AY13)</f>
        <v>5.4489559999999999</v>
      </c>
      <c r="J13" s="30">
        <f>SUM(PV_kW!$C13:$AY13)</f>
        <v>30.230712543733269</v>
      </c>
      <c r="K13" s="16">
        <f>I13-J13+SUM(Charge_kW!$C13:$AY13)-SUM(Discharge_kW!$C13:$AY13)</f>
        <v>2.4345626672328535E-4</v>
      </c>
    </row>
    <row r="14" spans="1:11" x14ac:dyDescent="0.25">
      <c r="A14" s="24">
        <f>Demand_kW!A14</f>
        <v>13</v>
      </c>
      <c r="B14" s="26">
        <f>Demand_kW!B14</f>
        <v>6</v>
      </c>
      <c r="C14" s="28">
        <f>AVERAGE(Demand_kW!$C14:$AY14)</f>
        <v>0.15649055102040821</v>
      </c>
      <c r="D14" s="28">
        <f>AVERAGE(PV_kW!$C14:$AY14)</f>
        <v>0.87148331941156598</v>
      </c>
      <c r="E14" s="28">
        <f>AVERAGE(Charge_kW!$C14:$AY14)</f>
        <v>0.7273877551020409</v>
      </c>
      <c r="F14" s="28">
        <f>AVERAGE(Discharge_kW!$C14:$AY14)</f>
        <v>1.236734693877551E-2</v>
      </c>
      <c r="G14" s="28">
        <f t="shared" si="0"/>
        <v>2.7639772107616867E-5</v>
      </c>
      <c r="H14" s="26">
        <f>AVERAGE(SOC_pct!$C14:$AY14)</f>
        <v>34.910542857142865</v>
      </c>
      <c r="I14" s="30">
        <f>SUM(Demand_kW!$C14:$AY14)</f>
        <v>7.6680370000000018</v>
      </c>
      <c r="J14" s="30">
        <f>SUM(PV_kW!$C14:$AY14)</f>
        <v>42.702682651166732</v>
      </c>
      <c r="K14" s="16">
        <f>I14-J14+SUM(Charge_kW!$C14:$AY14)-SUM(Discharge_kW!$C14:$AY14)</f>
        <v>1.354348833276009E-3</v>
      </c>
    </row>
    <row r="15" spans="1:11" x14ac:dyDescent="0.25">
      <c r="A15" s="24">
        <f>Demand_kW!A15</f>
        <v>14</v>
      </c>
      <c r="B15" s="26">
        <f>Demand_kW!B15</f>
        <v>6.5</v>
      </c>
      <c r="C15" s="28">
        <f>AVERAGE(Demand_kW!$C15:$AY15)</f>
        <v>0.12688432653061227</v>
      </c>
      <c r="D15" s="28">
        <f>AVERAGE(PV_kW!$C15:$AY15)</f>
        <v>1.1291418894925154</v>
      </c>
      <c r="E15" s="28">
        <f>AVERAGE(Charge_kW!$C15:$AY15)</f>
        <v>1.0022653061224489</v>
      </c>
      <c r="F15" s="28">
        <f>AVERAGE(Discharge_kW!$C15:$AY15)</f>
        <v>0</v>
      </c>
      <c r="G15" s="28">
        <f t="shared" si="0"/>
        <v>7.7431605458588848E-6</v>
      </c>
      <c r="H15" s="26">
        <f>AVERAGE(SOC_pct!$C15:$AY15)</f>
        <v>42.970181632653059</v>
      </c>
      <c r="I15" s="30">
        <f>SUM(Demand_kW!$C15:$AY15)</f>
        <v>6.2173320000000007</v>
      </c>
      <c r="J15" s="30">
        <f>SUM(PV_kW!$C15:$AY15)</f>
        <v>55.327952585133254</v>
      </c>
      <c r="K15" s="16">
        <f>I15-J15+SUM(Charge_kW!$C15:$AY15)-SUM(Discharge_kW!$C15:$AY15)</f>
        <v>3.7941486674242242E-4</v>
      </c>
    </row>
    <row r="16" spans="1:11" x14ac:dyDescent="0.25">
      <c r="A16" s="24">
        <f>Demand_kW!A16</f>
        <v>15</v>
      </c>
      <c r="B16" s="26">
        <f>Demand_kW!B16</f>
        <v>7</v>
      </c>
      <c r="C16" s="28">
        <f>AVERAGE(Demand_kW!$C16:$AY16)</f>
        <v>0.23296099727891159</v>
      </c>
      <c r="D16" s="28">
        <f>AVERAGE(PV_kW!$C16:$AY16)</f>
        <v>1.3854662812877561</v>
      </c>
      <c r="E16" s="28">
        <f>AVERAGE(Charge_kW!$C16:$AY16)</f>
        <v>1.1687551020408162</v>
      </c>
      <c r="F16" s="28">
        <f>AVERAGE(Discharge_kW!$C16:$AY16)</f>
        <v>1.6224489795918368E-2</v>
      </c>
      <c r="G16" s="28">
        <f t="shared" si="0"/>
        <v>2.5328236053306918E-5</v>
      </c>
      <c r="H16" s="26">
        <f>AVERAGE(SOC_pct!$C16:$AY16)</f>
        <v>54.289728571428554</v>
      </c>
      <c r="I16" s="30">
        <f>SUM(Demand_kW!$C16:$AY16)</f>
        <v>11.415088866666668</v>
      </c>
      <c r="J16" s="30">
        <f>SUM(PV_kW!$C16:$AY16)</f>
        <v>67.887847783100042</v>
      </c>
      <c r="K16" s="16">
        <f>I16-J16+SUM(Charge_kW!$C16:$AY16)-SUM(Discharge_kW!$C16:$AY16)</f>
        <v>1.2410835666133435E-3</v>
      </c>
    </row>
    <row r="17" spans="1:11" x14ac:dyDescent="0.25">
      <c r="A17" s="24">
        <f>Demand_kW!A17</f>
        <v>16</v>
      </c>
      <c r="B17" s="26">
        <f>Demand_kW!B17</f>
        <v>7.5</v>
      </c>
      <c r="C17" s="28">
        <f>AVERAGE(Demand_kW!$C17:$AY17)</f>
        <v>0.1777256510204083</v>
      </c>
      <c r="D17" s="28">
        <f>AVERAGE(PV_kW!$C17:$AY17)</f>
        <v>1.6421635340306122</v>
      </c>
      <c r="E17" s="28">
        <f>AVERAGE(Charge_kW!$C17:$AY17)</f>
        <v>1.2758979591836737</v>
      </c>
      <c r="F17" s="28">
        <f>AVERAGE(Discharge_kW!$C17:$AY17)</f>
        <v>0</v>
      </c>
      <c r="G17" s="28">
        <f t="shared" si="0"/>
        <v>-0.18853992382653018</v>
      </c>
      <c r="H17" s="26">
        <f>AVERAGE(SOC_pct!$C17:$AY17)</f>
        <v>67.285818367346934</v>
      </c>
      <c r="I17" s="30">
        <f>SUM(Demand_kW!$C17:$AY17)</f>
        <v>8.7085569000000067</v>
      </c>
      <c r="J17" s="30">
        <f>SUM(PV_kW!$C17:$AY17)</f>
        <v>80.466013167499995</v>
      </c>
      <c r="K17" s="16">
        <f>I17-J17+SUM(Charge_kW!$C17:$AY17)-SUM(Discharge_kW!$C17:$AY17)</f>
        <v>-9.2384562674999842</v>
      </c>
    </row>
    <row r="18" spans="1:11" x14ac:dyDescent="0.25">
      <c r="A18" s="24">
        <f>Demand_kW!A18</f>
        <v>17</v>
      </c>
      <c r="B18" s="26">
        <f>Demand_kW!B18</f>
        <v>8</v>
      </c>
      <c r="C18" s="28">
        <f>AVERAGE(Demand_kW!$C18:$AY18)</f>
        <v>0.30725656054421796</v>
      </c>
      <c r="D18" s="28">
        <f>AVERAGE(PV_kW!$C18:$AY18)</f>
        <v>1.8830902648850352</v>
      </c>
      <c r="E18" s="28">
        <f>AVERAGE(Charge_kW!$C18:$AY18)</f>
        <v>0.68542857142857128</v>
      </c>
      <c r="F18" s="28">
        <f>AVERAGE(Discharge_kW!$C18:$AY18)</f>
        <v>2.5387755102040815E-2</v>
      </c>
      <c r="G18" s="28">
        <f t="shared" si="0"/>
        <v>-0.91579288801428682</v>
      </c>
      <c r="H18" s="26">
        <f>AVERAGE(SOC_pct!$C18:$AY18)</f>
        <v>81.696265306122456</v>
      </c>
      <c r="I18" s="30">
        <f>SUM(Demand_kW!$C18:$AY18)</f>
        <v>15.055571466666681</v>
      </c>
      <c r="J18" s="30">
        <f>SUM(PV_kW!$C18:$AY18)</f>
        <v>92.271422979366719</v>
      </c>
      <c r="K18" s="16">
        <f>I18-J18+SUM(Charge_kW!$C18:$AY18)-SUM(Discharge_kW!$C18:$AY18)</f>
        <v>-44.87385151270005</v>
      </c>
    </row>
    <row r="19" spans="1:11" x14ac:dyDescent="0.25">
      <c r="A19" s="24">
        <f>Demand_kW!A19</f>
        <v>18</v>
      </c>
      <c r="B19" s="26">
        <f>Demand_kW!B19</f>
        <v>8.5</v>
      </c>
      <c r="C19" s="28">
        <f>AVERAGE(Demand_kW!$C19:$AY19)</f>
        <v>0.27185874149659878</v>
      </c>
      <c r="D19" s="28">
        <f>AVERAGE(PV_kW!$C19:$AY19)</f>
        <v>2.1095617457999998</v>
      </c>
      <c r="E19" s="28">
        <f>AVERAGE(Charge_kW!$C19:$AY19)</f>
        <v>0.42030612244897958</v>
      </c>
      <c r="F19" s="28">
        <f>AVERAGE(Discharge_kW!$C19:$AY19)</f>
        <v>0</v>
      </c>
      <c r="G19" s="28">
        <f t="shared" si="0"/>
        <v>-1.4173968818544216</v>
      </c>
      <c r="H19" s="26">
        <f>AVERAGE(SOC_pct!$C19:$AY19)</f>
        <v>89.119316326530623</v>
      </c>
      <c r="I19" s="30">
        <f>SUM(Demand_kW!$C19:$AY19)</f>
        <v>13.321078333333341</v>
      </c>
      <c r="J19" s="30">
        <f>SUM(PV_kW!$C19:$AY19)</f>
        <v>103.3685255442</v>
      </c>
      <c r="K19" s="16">
        <f>I19-J19+SUM(Charge_kW!$C19:$AY19)-SUM(Discharge_kW!$C19:$AY19)</f>
        <v>-69.452447210866652</v>
      </c>
    </row>
    <row r="20" spans="1:11" x14ac:dyDescent="0.25">
      <c r="A20" s="24">
        <f>Demand_kW!A20</f>
        <v>19</v>
      </c>
      <c r="B20" s="26">
        <f>Demand_kW!B20</f>
        <v>9</v>
      </c>
      <c r="C20" s="28">
        <f>AVERAGE(Demand_kW!$C20:$AY20)</f>
        <v>0.38909634829931955</v>
      </c>
      <c r="D20" s="28">
        <f>AVERAGE(PV_kW!$C20:$AY20)</f>
        <v>2.3024376740544232</v>
      </c>
      <c r="E20" s="28">
        <f>AVERAGE(Charge_kW!$C20:$AY20)</f>
        <v>0.27651020408163268</v>
      </c>
      <c r="F20" s="28">
        <f>AVERAGE(Discharge_kW!$C20:$AY20)</f>
        <v>4.9387755102040815E-3</v>
      </c>
      <c r="G20" s="28">
        <f t="shared" si="0"/>
        <v>-1.6417698971836752</v>
      </c>
      <c r="H20" s="26">
        <f>AVERAGE(SOC_pct!$C20:$AY20)</f>
        <v>93.866087755102043</v>
      </c>
      <c r="I20" s="30">
        <f>SUM(Demand_kW!$C20:$AY20)</f>
        <v>19.065721066666658</v>
      </c>
      <c r="J20" s="30">
        <f>SUM(PV_kW!$C20:$AY20)</f>
        <v>112.81944602866673</v>
      </c>
      <c r="K20" s="16">
        <f>I20-J20+SUM(Charge_kW!$C20:$AY20)-SUM(Discharge_kW!$C20:$AY20)</f>
        <v>-80.446724962000076</v>
      </c>
    </row>
    <row r="21" spans="1:11" x14ac:dyDescent="0.25">
      <c r="A21" s="24">
        <f>Demand_kW!A21</f>
        <v>20</v>
      </c>
      <c r="B21" s="26">
        <f>Demand_kW!B21</f>
        <v>9.5</v>
      </c>
      <c r="C21" s="28">
        <f>AVERAGE(Demand_kW!$C21:$AY21)</f>
        <v>0.34987377687074833</v>
      </c>
      <c r="D21" s="28">
        <f>AVERAGE(PV_kW!$C21:$AY21)</f>
        <v>2.4669413020394546</v>
      </c>
      <c r="E21" s="28">
        <f>AVERAGE(Charge_kW!$C21:$AY21)</f>
        <v>0.17834693877551022</v>
      </c>
      <c r="F21" s="28">
        <f>AVERAGE(Discharge_kW!$C21:$AY21)</f>
        <v>2.0408163265306123E-4</v>
      </c>
      <c r="G21" s="28">
        <f t="shared" si="0"/>
        <v>-1.9389246680258492</v>
      </c>
      <c r="H21" s="26">
        <f>AVERAGE(SOC_pct!$C21:$AY21)</f>
        <v>96.927042857142851</v>
      </c>
      <c r="I21" s="30">
        <f>SUM(Demand_kW!$C21:$AY21)</f>
        <v>17.143815066666669</v>
      </c>
      <c r="J21" s="30">
        <f>SUM(PV_kW!$C21:$AY21)</f>
        <v>120.88012379993327</v>
      </c>
      <c r="K21" s="16">
        <f>I21-J21+SUM(Charge_kW!$C21:$AY21)-SUM(Discharge_kW!$C21:$AY21)</f>
        <v>-95.007308733266612</v>
      </c>
    </row>
    <row r="22" spans="1:11" x14ac:dyDescent="0.25">
      <c r="A22" s="24">
        <f>Demand_kW!A22</f>
        <v>21</v>
      </c>
      <c r="B22" s="26">
        <f>Demand_kW!B22</f>
        <v>10</v>
      </c>
      <c r="C22" s="28">
        <f>AVERAGE(Demand_kW!$C22:$AY22)</f>
        <v>0.34486209183673489</v>
      </c>
      <c r="D22" s="28">
        <f>AVERAGE(PV_kW!$C22:$AY22)</f>
        <v>2.6113339679585033</v>
      </c>
      <c r="E22" s="28">
        <f>AVERAGE(Charge_kW!$C22:$AY22)</f>
        <v>5.5122448979591829E-2</v>
      </c>
      <c r="F22" s="28">
        <f>AVERAGE(Discharge_kW!$C22:$AY22)</f>
        <v>0</v>
      </c>
      <c r="G22" s="28">
        <f t="shared" si="0"/>
        <v>-2.2113494271421765</v>
      </c>
      <c r="H22" s="26">
        <f>AVERAGE(SOC_pct!$C22:$AY22)</f>
        <v>98.938975510204074</v>
      </c>
      <c r="I22" s="30">
        <f>SUM(Demand_kW!$C22:$AY22)</f>
        <v>16.898242500000009</v>
      </c>
      <c r="J22" s="30">
        <f>SUM(PV_kW!$C22:$AY22)</f>
        <v>127.95536442996666</v>
      </c>
      <c r="K22" s="16">
        <f>I22-J22+SUM(Charge_kW!$C22:$AY22)-SUM(Discharge_kW!$C22:$AY22)</f>
        <v>-108.35612192996666</v>
      </c>
    </row>
    <row r="23" spans="1:11" x14ac:dyDescent="0.25">
      <c r="A23" s="24">
        <f>Demand_kW!A23</f>
        <v>22</v>
      </c>
      <c r="B23" s="26">
        <f>Demand_kW!B23</f>
        <v>10.5</v>
      </c>
      <c r="C23" s="28">
        <f>AVERAGE(Demand_kW!$C23:$AY23)</f>
        <v>0.29174917482993201</v>
      </c>
      <c r="D23" s="28">
        <f>AVERAGE(PV_kW!$C23:$AY23)</f>
        <v>2.7305037487530628</v>
      </c>
      <c r="E23" s="28">
        <f>AVERAGE(Charge_kW!$C23:$AY23)</f>
        <v>3.8857142857142861E-2</v>
      </c>
      <c r="F23" s="28">
        <f>AVERAGE(Discharge_kW!$C23:$AY23)</f>
        <v>2.795918367346939E-3</v>
      </c>
      <c r="G23" s="28">
        <f t="shared" si="0"/>
        <v>-2.4026933494333349</v>
      </c>
      <c r="H23" s="26">
        <f>AVERAGE(SOC_pct!$C23:$AY23)</f>
        <v>99.561251020408164</v>
      </c>
      <c r="I23" s="30">
        <f>SUM(Demand_kW!$C23:$AY23)</f>
        <v>14.29570956666667</v>
      </c>
      <c r="J23" s="30">
        <f>SUM(PV_kW!$C23:$AY23)</f>
        <v>133.79468368890008</v>
      </c>
      <c r="K23" s="16">
        <f>I23-J23+SUM(Charge_kW!$C23:$AY23)-SUM(Discharge_kW!$C23:$AY23)</f>
        <v>-117.73197412223341</v>
      </c>
    </row>
    <row r="24" spans="1:11" x14ac:dyDescent="0.25">
      <c r="A24" s="24">
        <f>Demand_kW!A24</f>
        <v>23</v>
      </c>
      <c r="B24" s="26">
        <f>Demand_kW!B24</f>
        <v>11</v>
      </c>
      <c r="C24" s="28">
        <f>AVERAGE(Demand_kW!$C24:$AY24)</f>
        <v>0.45374157619047611</v>
      </c>
      <c r="D24" s="28">
        <f>AVERAGE(PV_kW!$C24:$AY24)</f>
        <v>2.8150581720442198</v>
      </c>
      <c r="E24" s="28">
        <f>AVERAGE(Charge_kW!$C24:$AY24)</f>
        <v>0</v>
      </c>
      <c r="F24" s="28">
        <f>AVERAGE(Discharge_kW!$C24:$AY24)</f>
        <v>1.2061224489795918E-2</v>
      </c>
      <c r="G24" s="28">
        <f t="shared" si="0"/>
        <v>-2.3733778203435394</v>
      </c>
      <c r="H24" s="26">
        <f>AVERAGE(SOC_pct!$C24:$AY24)</f>
        <v>99.964902040816327</v>
      </c>
      <c r="I24" s="30">
        <f>SUM(Demand_kW!$C24:$AY24)</f>
        <v>22.23333723333333</v>
      </c>
      <c r="J24" s="30">
        <f>SUM(PV_kW!$C24:$AY24)</f>
        <v>137.93785043016678</v>
      </c>
      <c r="K24" s="16">
        <f>I24-J24+SUM(Charge_kW!$C24:$AY24)-SUM(Discharge_kW!$C24:$AY24)</f>
        <v>-116.29551319683344</v>
      </c>
    </row>
    <row r="25" spans="1:11" x14ac:dyDescent="0.25">
      <c r="A25" s="24">
        <f>Demand_kW!A25</f>
        <v>24</v>
      </c>
      <c r="B25" s="26">
        <f>Demand_kW!B25</f>
        <v>11.5</v>
      </c>
      <c r="C25" s="28">
        <f>AVERAGE(Demand_kW!$C25:$AY25)</f>
        <v>0.44875567551020418</v>
      </c>
      <c r="D25" s="28">
        <f>AVERAGE(PV_kW!$C25:$AY25)</f>
        <v>2.8521396608897955</v>
      </c>
      <c r="E25" s="28">
        <f>AVERAGE(Charge_kW!$C25:$AY25)</f>
        <v>6.7142857142857143E-3</v>
      </c>
      <c r="F25" s="28">
        <f>AVERAGE(Discharge_kW!$C25:$AY25)</f>
        <v>0</v>
      </c>
      <c r="G25" s="28">
        <f t="shared" si="0"/>
        <v>-2.3966696996653059</v>
      </c>
      <c r="H25" s="26">
        <f>AVERAGE(SOC_pct!$C25:$AY25)</f>
        <v>99.81352448979591</v>
      </c>
      <c r="I25" s="30">
        <f>SUM(Demand_kW!$C25:$AY25)</f>
        <v>21.989028100000006</v>
      </c>
      <c r="J25" s="30">
        <f>SUM(PV_kW!$C25:$AY25)</f>
        <v>139.75484338359999</v>
      </c>
      <c r="K25" s="16">
        <f>I25-J25+SUM(Charge_kW!$C25:$AY25)-SUM(Discharge_kW!$C25:$AY25)</f>
        <v>-117.43681528359998</v>
      </c>
    </row>
    <row r="26" spans="1:11" x14ac:dyDescent="0.25">
      <c r="A26" s="24">
        <f>Demand_kW!A26</f>
        <v>25</v>
      </c>
      <c r="B26" s="26">
        <f>Demand_kW!B26</f>
        <v>12</v>
      </c>
      <c r="C26" s="28">
        <f>AVERAGE(Demand_kW!$C26:$AY26)</f>
        <v>0.24394610136054429</v>
      </c>
      <c r="D26" s="28">
        <f>AVERAGE(PV_kW!$C26:$AY26)</f>
        <v>2.8628798808054423</v>
      </c>
      <c r="E26" s="28">
        <f>AVERAGE(Charge_kW!$C26:$AY26)</f>
        <v>9.8163265306122453E-3</v>
      </c>
      <c r="F26" s="28">
        <f>AVERAGE(Discharge_kW!$C26:$AY26)</f>
        <v>0</v>
      </c>
      <c r="G26" s="28">
        <f t="shared" si="0"/>
        <v>-2.609117452914286</v>
      </c>
      <c r="H26" s="26">
        <f>AVERAGE(SOC_pct!$C26:$AY26)</f>
        <v>99.889226530612248</v>
      </c>
      <c r="I26" s="30">
        <f>SUM(Demand_kW!$C26:$AY26)</f>
        <v>11.95335896666667</v>
      </c>
      <c r="J26" s="30">
        <f>SUM(PV_kW!$C26:$AY26)</f>
        <v>140.28111415946668</v>
      </c>
      <c r="K26" s="16">
        <f>I26-J26+SUM(Charge_kW!$C26:$AY26)-SUM(Discharge_kW!$C26:$AY26)</f>
        <v>-127.8467551928</v>
      </c>
    </row>
    <row r="27" spans="1:11" x14ac:dyDescent="0.25">
      <c r="A27" s="24">
        <f>Demand_kW!A27</f>
        <v>26</v>
      </c>
      <c r="B27" s="26">
        <f>Demand_kW!B27</f>
        <v>12.5</v>
      </c>
      <c r="C27" s="28">
        <f>AVERAGE(Demand_kW!$C27:$AY27)</f>
        <v>0.26022106258503402</v>
      </c>
      <c r="D27" s="28">
        <f>AVERAGE(PV_kW!$C27:$AY27)</f>
        <v>2.8427879211020413</v>
      </c>
      <c r="E27" s="28">
        <f>AVERAGE(Charge_kW!$C27:$AY27)</f>
        <v>0</v>
      </c>
      <c r="F27" s="28">
        <f>AVERAGE(Discharge_kW!$C27:$AY27)</f>
        <v>0</v>
      </c>
      <c r="G27" s="28">
        <f t="shared" si="0"/>
        <v>-2.5825668585170072</v>
      </c>
      <c r="H27" s="26">
        <f>AVERAGE(SOC_pct!$C27:$AY27)</f>
        <v>100</v>
      </c>
      <c r="I27" s="30">
        <f>SUM(Demand_kW!$C27:$AY27)</f>
        <v>12.750832066666668</v>
      </c>
      <c r="J27" s="30">
        <f>SUM(PV_kW!$C27:$AY27)</f>
        <v>139.29660813400002</v>
      </c>
      <c r="K27" s="16">
        <f>I27-J27+SUM(Charge_kW!$C27:$AY27)-SUM(Discharge_kW!$C27:$AY27)</f>
        <v>-126.54577606733335</v>
      </c>
    </row>
    <row r="28" spans="1:11" x14ac:dyDescent="0.25">
      <c r="A28" s="24">
        <f>Demand_kW!A28</f>
        <v>27</v>
      </c>
      <c r="B28" s="26">
        <f>Demand_kW!B28</f>
        <v>13</v>
      </c>
      <c r="C28" s="28">
        <f>AVERAGE(Demand_kW!$C28:$AY28)</f>
        <v>0.370112442176871</v>
      </c>
      <c r="D28" s="28">
        <f>AVERAGE(PV_kW!$C28:$AY28)</f>
        <v>2.7752899620714309</v>
      </c>
      <c r="E28" s="28">
        <f>AVERAGE(Charge_kW!$C28:$AY28)</f>
        <v>0</v>
      </c>
      <c r="F28" s="28">
        <f>AVERAGE(Discharge_kW!$C28:$AY28)</f>
        <v>1.6102040816326532E-2</v>
      </c>
      <c r="G28" s="28">
        <f t="shared" si="0"/>
        <v>-2.4212795607108863</v>
      </c>
      <c r="H28" s="26">
        <f>AVERAGE(SOC_pct!$C28:$AY28)</f>
        <v>100</v>
      </c>
      <c r="I28" s="30">
        <f>SUM(Demand_kW!$C28:$AY28)</f>
        <v>18.135509666666678</v>
      </c>
      <c r="J28" s="30">
        <f>SUM(PV_kW!$C28:$AY28)</f>
        <v>135.98920814150011</v>
      </c>
      <c r="K28" s="16">
        <f>I28-J28+SUM(Charge_kW!$C28:$AY28)-SUM(Discharge_kW!$C28:$AY28)</f>
        <v>-118.64269847483344</v>
      </c>
    </row>
    <row r="29" spans="1:11" x14ac:dyDescent="0.25">
      <c r="A29" s="24">
        <f>Demand_kW!A29</f>
        <v>28</v>
      </c>
      <c r="B29" s="26">
        <f>Demand_kW!B29</f>
        <v>13.5</v>
      </c>
      <c r="C29" s="28">
        <f>AVERAGE(Demand_kW!$C29:$AY29)</f>
        <v>0.35529202993197284</v>
      </c>
      <c r="D29" s="28">
        <f>AVERAGE(PV_kW!$C29:$AY29)</f>
        <v>2.6723137519238107</v>
      </c>
      <c r="E29" s="28">
        <f>AVERAGE(Charge_kW!$C29:$AY29)</f>
        <v>1.3918367346938774E-2</v>
      </c>
      <c r="F29" s="28">
        <f>AVERAGE(Discharge_kW!$C29:$AY29)</f>
        <v>0</v>
      </c>
      <c r="G29" s="28">
        <f t="shared" si="0"/>
        <v>-2.3031033546448989</v>
      </c>
      <c r="H29" s="26">
        <f>AVERAGE(SOC_pct!$C29:$AY29)</f>
        <v>99.79785102040816</v>
      </c>
      <c r="I29" s="30">
        <f>SUM(Demand_kW!$C29:$AY29)</f>
        <v>17.40930946666667</v>
      </c>
      <c r="J29" s="30">
        <f>SUM(PV_kW!$C29:$AY29)</f>
        <v>130.94337384426672</v>
      </c>
      <c r="K29" s="16">
        <f>I29-J29+SUM(Charge_kW!$C29:$AY29)-SUM(Discharge_kW!$C29:$AY29)</f>
        <v>-112.85206437760004</v>
      </c>
    </row>
    <row r="30" spans="1:11" x14ac:dyDescent="0.25">
      <c r="A30" s="24">
        <f>Demand_kW!A30</f>
        <v>29</v>
      </c>
      <c r="B30" s="26">
        <f>Demand_kW!B30</f>
        <v>14</v>
      </c>
      <c r="C30" s="28">
        <f>AVERAGE(Demand_kW!$C30:$AY30)</f>
        <v>0.28743067006802736</v>
      </c>
      <c r="D30" s="28">
        <f>AVERAGE(PV_kW!$C30:$AY30)</f>
        <v>2.5493764622020403</v>
      </c>
      <c r="E30" s="28">
        <f>AVERAGE(Charge_kW!$C30:$AY30)</f>
        <v>3.9795918367346939E-3</v>
      </c>
      <c r="F30" s="28">
        <f>AVERAGE(Discharge_kW!$C30:$AY30)</f>
        <v>6.1224489795918364E-3</v>
      </c>
      <c r="G30" s="28">
        <f t="shared" si="0"/>
        <v>-2.2640886492768697</v>
      </c>
      <c r="H30" s="26">
        <f>AVERAGE(SOC_pct!$C30:$AY30)</f>
        <v>99.955077551020423</v>
      </c>
      <c r="I30" s="30">
        <f>SUM(Demand_kW!$C30:$AY30)</f>
        <v>14.08410283333334</v>
      </c>
      <c r="J30" s="30">
        <f>SUM(PV_kW!$C30:$AY30)</f>
        <v>124.91944664789997</v>
      </c>
      <c r="K30" s="16">
        <f>I30-J30+SUM(Charge_kW!$C30:$AY30)-SUM(Discharge_kW!$C30:$AY30)</f>
        <v>-110.94034381456665</v>
      </c>
    </row>
    <row r="31" spans="1:11" x14ac:dyDescent="0.25">
      <c r="A31" s="24">
        <f>Demand_kW!A31</f>
        <v>30</v>
      </c>
      <c r="B31" s="26">
        <f>Demand_kW!B31</f>
        <v>14.5</v>
      </c>
      <c r="C31" s="28">
        <f>AVERAGE(Demand_kW!$C31:$AY31)</f>
        <v>0.31986388707482988</v>
      </c>
      <c r="D31" s="28">
        <f>AVERAGE(PV_kW!$C31:$AY31)</f>
        <v>2.3935969296421788</v>
      </c>
      <c r="E31" s="28">
        <f>AVERAGE(Charge_kW!$C31:$AY31)</f>
        <v>6.7959183673469391E-3</v>
      </c>
      <c r="F31" s="28">
        <f>AVERAGE(Discharge_kW!$C31:$AY31)</f>
        <v>4.4081632653061222E-3</v>
      </c>
      <c r="G31" s="28">
        <f t="shared" si="0"/>
        <v>-2.071345287465308</v>
      </c>
      <c r="H31" s="26">
        <f>AVERAGE(SOC_pct!$C31:$AY31)</f>
        <v>99.923212244897954</v>
      </c>
      <c r="I31" s="30">
        <f>SUM(Demand_kW!$C31:$AY31)</f>
        <v>15.673330466666664</v>
      </c>
      <c r="J31" s="30">
        <f>SUM(PV_kW!$C31:$AY31)</f>
        <v>117.28624955246676</v>
      </c>
      <c r="K31" s="16">
        <f>I31-J31+SUM(Charge_kW!$C31:$AY31)-SUM(Discharge_kW!$C31:$AY31)</f>
        <v>-101.49591908580008</v>
      </c>
    </row>
    <row r="32" spans="1:11" x14ac:dyDescent="0.25">
      <c r="A32" s="24">
        <f>Demand_kW!A32</f>
        <v>31</v>
      </c>
      <c r="B32" s="26">
        <f>Demand_kW!B32</f>
        <v>15</v>
      </c>
      <c r="C32" s="28">
        <f>AVERAGE(Demand_kW!$C32:$AY32)</f>
        <v>0.42077240204081645</v>
      </c>
      <c r="D32" s="28">
        <f>AVERAGE(PV_kW!$C32:$AY32)</f>
        <v>2.2280507380224481</v>
      </c>
      <c r="E32" s="28">
        <f>AVERAGE(Charge_kW!$C32:$AY32)</f>
        <v>0</v>
      </c>
      <c r="F32" s="28">
        <f>AVERAGE(Discharge_kW!$C32:$AY32)</f>
        <v>7.5653061224489795E-2</v>
      </c>
      <c r="G32" s="28">
        <f t="shared" si="0"/>
        <v>-1.8829313972061215</v>
      </c>
      <c r="H32" s="26">
        <f>AVERAGE(SOC_pct!$C32:$AY32)</f>
        <v>99.944789795918382</v>
      </c>
      <c r="I32" s="30">
        <f>SUM(Demand_kW!$C32:$AY32)</f>
        <v>20.617847700000006</v>
      </c>
      <c r="J32" s="30">
        <f>SUM(PV_kW!$C32:$AY32)</f>
        <v>109.17448616309996</v>
      </c>
      <c r="K32" s="16">
        <f>I32-J32+SUM(Charge_kW!$C32:$AY32)-SUM(Discharge_kW!$C32:$AY32)</f>
        <v>-92.263638463099937</v>
      </c>
    </row>
    <row r="33" spans="1:11" x14ac:dyDescent="0.25">
      <c r="A33" s="24">
        <f>Demand_kW!A33</f>
        <v>32</v>
      </c>
      <c r="B33" s="26">
        <f>Demand_kW!B33</f>
        <v>15.5</v>
      </c>
      <c r="C33" s="28">
        <f>AVERAGE(Demand_kW!$C33:$AY33)</f>
        <v>0.33016815374149661</v>
      </c>
      <c r="D33" s="28">
        <f>AVERAGE(PV_kW!$C33:$AY33)</f>
        <v>2.0288375927564628</v>
      </c>
      <c r="E33" s="28">
        <f>AVERAGE(Charge_kW!$C33:$AY33)</f>
        <v>8.4897959183673471E-3</v>
      </c>
      <c r="F33" s="28">
        <f>AVERAGE(Discharge_kW!$C33:$AY33)</f>
        <v>3.7979591836734695E-2</v>
      </c>
      <c r="G33" s="28">
        <f t="shared" si="0"/>
        <v>-1.7281592349333335</v>
      </c>
      <c r="H33" s="26">
        <f>AVERAGE(SOC_pct!$C33:$AY33)</f>
        <v>98.995536734693886</v>
      </c>
      <c r="I33" s="30">
        <f>SUM(Demand_kW!$C33:$AY33)</f>
        <v>16.178239533333333</v>
      </c>
      <c r="J33" s="30">
        <f>SUM(PV_kW!$C33:$AY33)</f>
        <v>99.413042045066675</v>
      </c>
      <c r="K33" s="16">
        <f>I33-J33+SUM(Charge_kW!$C33:$AY33)-SUM(Discharge_kW!$C33:$AY33)</f>
        <v>-84.679802511733342</v>
      </c>
    </row>
    <row r="34" spans="1:11" x14ac:dyDescent="0.25">
      <c r="A34" s="24">
        <f>Demand_kW!A34</f>
        <v>33</v>
      </c>
      <c r="B34" s="26">
        <f>Demand_kW!B34</f>
        <v>16</v>
      </c>
      <c r="C34" s="28">
        <f>AVERAGE(Demand_kW!$C34:$AY34)</f>
        <v>0.32540338911564631</v>
      </c>
      <c r="D34" s="28">
        <f>AVERAGE(PV_kW!$C34:$AY34)</f>
        <v>1.8044765782925161</v>
      </c>
      <c r="E34" s="28">
        <f>AVERAGE(Charge_kW!$C34:$AY34)</f>
        <v>4.8795918367346938E-2</v>
      </c>
      <c r="F34" s="28">
        <f>AVERAGE(Discharge_kW!$C34:$AY34)</f>
        <v>5.877551020408163E-3</v>
      </c>
      <c r="G34" s="28">
        <f t="shared" si="0"/>
        <v>-1.4361548218299309</v>
      </c>
      <c r="H34" s="26">
        <f>AVERAGE(SOC_pct!$C34:$AY34)</f>
        <v>98.614867346938766</v>
      </c>
      <c r="I34" s="30">
        <f>SUM(Demand_kW!$C34:$AY34)</f>
        <v>15.944766066666668</v>
      </c>
      <c r="J34" s="30">
        <f>SUM(PV_kW!$C34:$AY34)</f>
        <v>88.41935233633329</v>
      </c>
      <c r="K34" s="16">
        <f>I34-J34+SUM(Charge_kW!$C34:$AY34)-SUM(Discharge_kW!$C34:$AY34)</f>
        <v>-70.371586269666608</v>
      </c>
    </row>
    <row r="35" spans="1:11" x14ac:dyDescent="0.25">
      <c r="A35" s="24">
        <f>Demand_kW!A35</f>
        <v>34</v>
      </c>
      <c r="B35" s="26">
        <f>Demand_kW!B35</f>
        <v>16.5</v>
      </c>
      <c r="C35" s="28">
        <f>AVERAGE(Demand_kW!$C35:$AY35)</f>
        <v>0.37795886122448985</v>
      </c>
      <c r="D35" s="28">
        <f>AVERAGE(PV_kW!$C35:$AY35)</f>
        <v>1.5335898851435368</v>
      </c>
      <c r="E35" s="28">
        <f>AVERAGE(Charge_kW!$C35:$AY35)</f>
        <v>1.7428571428571432E-2</v>
      </c>
      <c r="F35" s="28">
        <f>AVERAGE(Discharge_kW!$C35:$AY35)</f>
        <v>6.0571428571428568E-2</v>
      </c>
      <c r="G35" s="28">
        <f t="shared" si="0"/>
        <v>-1.198773881061904</v>
      </c>
      <c r="H35" s="26">
        <f>AVERAGE(SOC_pct!$C35:$AY35)</f>
        <v>99.092204081632659</v>
      </c>
      <c r="I35" s="30">
        <f>SUM(Demand_kW!$C35:$AY35)</f>
        <v>18.519984200000003</v>
      </c>
      <c r="J35" s="30">
        <f>SUM(PV_kW!$C35:$AY35)</f>
        <v>75.1459043720333</v>
      </c>
      <c r="K35" s="16">
        <f>I35-J35+SUM(Charge_kW!$C35:$AY35)-SUM(Discharge_kW!$C35:$AY35)</f>
        <v>-58.739920172033294</v>
      </c>
    </row>
    <row r="36" spans="1:11" x14ac:dyDescent="0.25">
      <c r="A36" s="24">
        <f>Demand_kW!A36</f>
        <v>35</v>
      </c>
      <c r="B36" s="26">
        <f>Demand_kW!B36</f>
        <v>17</v>
      </c>
      <c r="C36" s="28">
        <f>AVERAGE(Demand_kW!$C36:$AY36)</f>
        <v>0.35126495646258526</v>
      </c>
      <c r="D36" s="28">
        <f>AVERAGE(PV_kW!$C36:$AY36)</f>
        <v>1.2800587324251682</v>
      </c>
      <c r="E36" s="28">
        <f>AVERAGE(Charge_kW!$C36:$AY36)</f>
        <v>3.5122448979591839E-2</v>
      </c>
      <c r="F36" s="28">
        <f>AVERAGE(Discharge_kW!$C36:$AY36)</f>
        <v>3.9836734693877551E-2</v>
      </c>
      <c r="G36" s="28">
        <f t="shared" si="0"/>
        <v>-0.93350806167686873</v>
      </c>
      <c r="H36" s="26">
        <f>AVERAGE(SOC_pct!$C36:$AY36)</f>
        <v>98.529061224489794</v>
      </c>
      <c r="I36" s="30">
        <f>SUM(Demand_kW!$C36:$AY36)</f>
        <v>17.211982866666677</v>
      </c>
      <c r="J36" s="30">
        <f>SUM(PV_kW!$C36:$AY36)</f>
        <v>62.722877888833246</v>
      </c>
      <c r="K36" s="16">
        <f>I36-J36+SUM(Charge_kW!$C36:$AY36)-SUM(Discharge_kW!$C36:$AY36)</f>
        <v>-45.74189502216656</v>
      </c>
    </row>
    <row r="37" spans="1:11" x14ac:dyDescent="0.25">
      <c r="A37" s="24">
        <f>Demand_kW!A37</f>
        <v>36</v>
      </c>
      <c r="B37" s="26">
        <f>Demand_kW!B37</f>
        <v>17.5</v>
      </c>
      <c r="C37" s="28">
        <f>AVERAGE(Demand_kW!$C37:$AY37)</f>
        <v>0.34511555918367359</v>
      </c>
      <c r="D37" s="28">
        <f>AVERAGE(PV_kW!$C37:$AY37)</f>
        <v>1.0195397359979597</v>
      </c>
      <c r="E37" s="28">
        <f>AVERAGE(Charge_kW!$C37:$AY37)</f>
        <v>2.0204081632653061E-2</v>
      </c>
      <c r="F37" s="28">
        <f>AVERAGE(Discharge_kW!$C37:$AY37)</f>
        <v>5.1693877551020409E-2</v>
      </c>
      <c r="G37" s="28">
        <f t="shared" si="0"/>
        <v>-0.70591397273265333</v>
      </c>
      <c r="H37" s="26">
        <f>AVERAGE(SOC_pct!$C37:$AY37)</f>
        <v>98.42582040816329</v>
      </c>
      <c r="I37" s="30">
        <f>SUM(Demand_kW!$C37:$AY37)</f>
        <v>16.910662400000007</v>
      </c>
      <c r="J37" s="30">
        <f>SUM(PV_kW!$C37:$AY37)</f>
        <v>49.957447063900027</v>
      </c>
      <c r="K37" s="16">
        <f>I37-J37+SUM(Charge_kW!$C37:$AY37)-SUM(Discharge_kW!$C37:$AY37)</f>
        <v>-34.589784663900019</v>
      </c>
    </row>
    <row r="38" spans="1:11" x14ac:dyDescent="0.25">
      <c r="A38" s="24">
        <f>Demand_kW!A38</f>
        <v>37</v>
      </c>
      <c r="B38" s="26">
        <f>Demand_kW!B38</f>
        <v>18</v>
      </c>
      <c r="C38" s="28">
        <f>AVERAGE(Demand_kW!$C38:$AY38)</f>
        <v>0.33905987006802718</v>
      </c>
      <c r="D38" s="28">
        <f>AVERAGE(PV_kW!$C38:$AY38)</f>
        <v>0.76752785893197362</v>
      </c>
      <c r="E38" s="28">
        <f>AVERAGE(Charge_kW!$C38:$AY38)</f>
        <v>1.9102040816326528E-2</v>
      </c>
      <c r="F38" s="28">
        <f>AVERAGE(Discharge_kW!$C38:$AY38)</f>
        <v>7.6530612244897947E-2</v>
      </c>
      <c r="G38" s="28">
        <f t="shared" si="0"/>
        <v>-0.48589656029251782</v>
      </c>
      <c r="H38" s="26">
        <f>AVERAGE(SOC_pct!$C38:$AY38)</f>
        <v>98.005320408163257</v>
      </c>
      <c r="I38" s="30">
        <f>SUM(Demand_kW!$C38:$AY38)</f>
        <v>16.613933633333332</v>
      </c>
      <c r="J38" s="30">
        <f>SUM(PV_kW!$C38:$AY38)</f>
        <v>37.608865087666707</v>
      </c>
      <c r="K38" s="16">
        <f>I38-J38+SUM(Charge_kW!$C38:$AY38)-SUM(Discharge_kW!$C38:$AY38)</f>
        <v>-23.808931454333376</v>
      </c>
    </row>
    <row r="39" spans="1:11" x14ac:dyDescent="0.25">
      <c r="A39" s="24">
        <f>Demand_kW!A39</f>
        <v>38</v>
      </c>
      <c r="B39" s="26">
        <f>Demand_kW!B39</f>
        <v>18.5</v>
      </c>
      <c r="C39" s="28">
        <f>AVERAGE(Demand_kW!$C39:$AY39)</f>
        <v>0.41245702517006799</v>
      </c>
      <c r="D39" s="28">
        <f>AVERAGE(PV_kW!$C39:$AY39)</f>
        <v>0.52455289968367358</v>
      </c>
      <c r="E39" s="28">
        <f>AVERAGE(Charge_kW!$C39:$AY39)</f>
        <v>1.6E-2</v>
      </c>
      <c r="F39" s="28">
        <f>AVERAGE(Discharge_kW!$C39:$AY39)</f>
        <v>0.15744897959183674</v>
      </c>
      <c r="G39" s="28">
        <f t="shared" si="0"/>
        <v>-0.25354485410544231</v>
      </c>
      <c r="H39" s="26">
        <f>AVERAGE(SOC_pct!$C39:$AY39)</f>
        <v>97.260483673469381</v>
      </c>
      <c r="I39" s="30">
        <f>SUM(Demand_kW!$C39:$AY39)</f>
        <v>20.210394233333332</v>
      </c>
      <c r="J39" s="30">
        <f>SUM(PV_kW!$C39:$AY39)</f>
        <v>25.703092084500003</v>
      </c>
      <c r="K39" s="16">
        <f>I39-J39+SUM(Charge_kW!$C39:$AY39)-SUM(Discharge_kW!$C39:$AY39)</f>
        <v>-12.423697851166672</v>
      </c>
    </row>
    <row r="40" spans="1:11" x14ac:dyDescent="0.25">
      <c r="A40" s="24">
        <f>Demand_kW!A40</f>
        <v>39</v>
      </c>
      <c r="B40" s="26">
        <f>Demand_kW!B40</f>
        <v>19</v>
      </c>
      <c r="C40" s="28">
        <f>AVERAGE(Demand_kW!$C40:$AY40)</f>
        <v>0.3053412231292516</v>
      </c>
      <c r="D40" s="28">
        <f>AVERAGE(PV_kW!$C40:$AY40)</f>
        <v>0.30630756061496583</v>
      </c>
      <c r="E40" s="28">
        <f>AVERAGE(Charge_kW!$C40:$AY40)</f>
        <v>1.2857142857142857E-2</v>
      </c>
      <c r="F40" s="28">
        <f>AVERAGE(Discharge_kW!$C40:$AY40)</f>
        <v>9.9918367346938777E-2</v>
      </c>
      <c r="G40" s="28">
        <f t="shared" si="0"/>
        <v>-8.8027561975510149E-2</v>
      </c>
      <c r="H40" s="26">
        <f>AVERAGE(SOC_pct!$C40:$AY40)</f>
        <v>95.465448979591855</v>
      </c>
      <c r="I40" s="30">
        <f>SUM(Demand_kW!$C40:$AY40)</f>
        <v>14.961719933333329</v>
      </c>
      <c r="J40" s="30">
        <f>SUM(PV_kW!$C40:$AY40)</f>
        <v>15.009070470133326</v>
      </c>
      <c r="K40" s="16">
        <f>I40-J40+SUM(Charge_kW!$C40:$AY40)-SUM(Discharge_kW!$C40:$AY40)</f>
        <v>-4.3133505367999962</v>
      </c>
    </row>
    <row r="41" spans="1:11" x14ac:dyDescent="0.25">
      <c r="A41" s="24">
        <f>Demand_kW!A41</f>
        <v>40</v>
      </c>
      <c r="B41" s="26">
        <f>Demand_kW!B41</f>
        <v>19.5</v>
      </c>
      <c r="C41" s="28">
        <f>AVERAGE(Demand_kW!$C41:$AY41)</f>
        <v>0.48293246734693895</v>
      </c>
      <c r="D41" s="28">
        <f>AVERAGE(PV_kW!$C41:$AY41)</f>
        <v>8.9117712189795972E-2</v>
      </c>
      <c r="E41" s="28">
        <f>AVERAGE(Charge_kW!$C41:$AY41)</f>
        <v>4.285714285714286E-4</v>
      </c>
      <c r="F41" s="28">
        <f>AVERAGE(Discharge_kW!$C41:$AY41)</f>
        <v>0.39714285714285719</v>
      </c>
      <c r="G41" s="28">
        <f t="shared" si="0"/>
        <v>-2.8995305571427599E-3</v>
      </c>
      <c r="H41" s="26">
        <f>AVERAGE(SOC_pct!$C41:$AY41)</f>
        <v>94.356675510204084</v>
      </c>
      <c r="I41" s="30">
        <f>SUM(Demand_kW!$C41:$AY41)</f>
        <v>23.66369090000001</v>
      </c>
      <c r="J41" s="30">
        <f>SUM(PV_kW!$C41:$AY41)</f>
        <v>4.3667678973000026</v>
      </c>
      <c r="K41" s="16">
        <f>I41-J41+SUM(Charge_kW!$C41:$AY41)-SUM(Discharge_kW!$C41:$AY41)</f>
        <v>-0.1420769972999949</v>
      </c>
    </row>
    <row r="42" spans="1:11" x14ac:dyDescent="0.25">
      <c r="A42" s="24">
        <f>Demand_kW!A42</f>
        <v>41</v>
      </c>
      <c r="B42" s="26">
        <f>Demand_kW!B42</f>
        <v>20</v>
      </c>
      <c r="C42" s="28">
        <f>AVERAGE(Demand_kW!$C42:$AY42)</f>
        <v>0.46292633877551032</v>
      </c>
      <c r="D42" s="28">
        <f>AVERAGE(PV_kW!$C42:$AY42)</f>
        <v>1.6436201691156473E-2</v>
      </c>
      <c r="E42" s="28">
        <f>AVERAGE(Charge_kW!$C42:$AY42)</f>
        <v>0</v>
      </c>
      <c r="F42" s="28">
        <f>AVERAGE(Discharge_kW!$C42:$AY42)</f>
        <v>0.44646938775510192</v>
      </c>
      <c r="G42" s="28">
        <f t="shared" si="0"/>
        <v>2.0749329251945614E-5</v>
      </c>
      <c r="H42" s="26">
        <f>AVERAGE(SOC_pct!$C42:$AY42)</f>
        <v>89.377702040816317</v>
      </c>
      <c r="I42" s="30">
        <f>SUM(Demand_kW!$C42:$AY42)</f>
        <v>22.683390600000006</v>
      </c>
      <c r="J42" s="30">
        <f>SUM(PV_kW!$C42:$AY42)</f>
        <v>0.80537388286666722</v>
      </c>
      <c r="K42" s="16">
        <f>I42-J42+SUM(Charge_kW!$C42:$AY42)-SUM(Discharge_kW!$C42:$AY42)</f>
        <v>1.0167171333428371E-3</v>
      </c>
    </row>
    <row r="43" spans="1:11" x14ac:dyDescent="0.25">
      <c r="A43" s="24">
        <f>Demand_kW!A43</f>
        <v>42</v>
      </c>
      <c r="B43" s="26">
        <f>Demand_kW!B43</f>
        <v>20.5</v>
      </c>
      <c r="C43" s="28">
        <f>AVERAGE(Demand_kW!$C43:$AY43)</f>
        <v>0.47963098639455792</v>
      </c>
      <c r="D43" s="28">
        <f>AVERAGE(PV_kW!$C43:$AY43)</f>
        <v>0</v>
      </c>
      <c r="E43" s="28">
        <f>AVERAGE(Charge_kW!$C43:$AY43)</f>
        <v>0</v>
      </c>
      <c r="F43" s="28">
        <f>AVERAGE(Discharge_kW!$C43:$AY43)</f>
        <v>0.47965306122448981</v>
      </c>
      <c r="G43" s="28">
        <f t="shared" si="0"/>
        <v>-2.2074829931884032E-5</v>
      </c>
      <c r="H43" s="26">
        <f>AVERAGE(SOC_pct!$C43:$AY43)</f>
        <v>83.77491224489799</v>
      </c>
      <c r="I43" s="30">
        <f>SUM(Demand_kW!$C43:$AY43)</f>
        <v>23.501918333333339</v>
      </c>
      <c r="J43" s="30">
        <f>SUM(PV_kW!$C43:$AY43)</f>
        <v>0</v>
      </c>
      <c r="K43" s="16">
        <f>I43-J43+SUM(Charge_kW!$C43:$AY43)-SUM(Discharge_kW!$C43:$AY43)</f>
        <v>-1.0816666666606523E-3</v>
      </c>
    </row>
    <row r="44" spans="1:11" x14ac:dyDescent="0.25">
      <c r="A44" s="24">
        <f>Demand_kW!A44</f>
        <v>43</v>
      </c>
      <c r="B44" s="26">
        <f>Demand_kW!B44</f>
        <v>21</v>
      </c>
      <c r="C44" s="28">
        <f>AVERAGE(Demand_kW!$C44:$AY44)</f>
        <v>0.52174998639455783</v>
      </c>
      <c r="D44" s="28">
        <f>AVERAGE(PV_kW!$C44:$AY44)</f>
        <v>0</v>
      </c>
      <c r="E44" s="28">
        <f>AVERAGE(Charge_kW!$C44:$AY44)</f>
        <v>0</v>
      </c>
      <c r="F44" s="28">
        <f>AVERAGE(Discharge_kW!$C44:$AY44)</f>
        <v>0.52181632653061227</v>
      </c>
      <c r="G44" s="28">
        <f t="shared" si="0"/>
        <v>-6.6340136054443555E-5</v>
      </c>
      <c r="H44" s="26">
        <f>AVERAGE(SOC_pct!$C44:$AY44)</f>
        <v>77.756263265306131</v>
      </c>
      <c r="I44" s="30">
        <f>SUM(Demand_kW!$C44:$AY44)</f>
        <v>25.565749333333336</v>
      </c>
      <c r="J44" s="30">
        <f>SUM(PV_kW!$C44:$AY44)</f>
        <v>0</v>
      </c>
      <c r="K44" s="16">
        <f>I44-J44+SUM(Charge_kW!$C44:$AY44)-SUM(Discharge_kW!$C44:$AY44)</f>
        <v>-3.2506666666662909E-3</v>
      </c>
    </row>
    <row r="45" spans="1:11" x14ac:dyDescent="0.25">
      <c r="A45" s="24">
        <f>Demand_kW!A45</f>
        <v>44</v>
      </c>
      <c r="B45" s="26">
        <f>Demand_kW!B45</f>
        <v>21.5</v>
      </c>
      <c r="C45" s="28">
        <f>AVERAGE(Demand_kW!$C45:$AY45)</f>
        <v>0.46938805442176845</v>
      </c>
      <c r="D45" s="28">
        <f>AVERAGE(PV_kW!$C45:$AY45)</f>
        <v>0</v>
      </c>
      <c r="E45" s="28">
        <f>AVERAGE(Charge_kW!$C45:$AY45)</f>
        <v>0</v>
      </c>
      <c r="F45" s="28">
        <f>AVERAGE(Discharge_kW!$C45:$AY45)</f>
        <v>0.45244897959183678</v>
      </c>
      <c r="G45" s="28">
        <f t="shared" si="0"/>
        <v>1.6939074829931677E-2</v>
      </c>
      <c r="H45" s="26">
        <f>AVERAGE(SOC_pct!$C45:$AY45)</f>
        <v>71.209075510204073</v>
      </c>
      <c r="I45" s="30">
        <f>SUM(Demand_kW!$C45:$AY45)</f>
        <v>23.000014666666655</v>
      </c>
      <c r="J45" s="30">
        <f>SUM(PV_kW!$C45:$AY45)</f>
        <v>0</v>
      </c>
      <c r="K45" s="16">
        <f>I45-J45+SUM(Charge_kW!$C45:$AY45)-SUM(Discharge_kW!$C45:$AY45)</f>
        <v>0.8300146666666528</v>
      </c>
    </row>
    <row r="46" spans="1:11" x14ac:dyDescent="0.25">
      <c r="A46" s="24">
        <f>Demand_kW!A46</f>
        <v>45</v>
      </c>
      <c r="B46" s="26">
        <f>Demand_kW!B46</f>
        <v>22</v>
      </c>
      <c r="C46" s="28">
        <f>AVERAGE(Demand_kW!$C46:$AY46)</f>
        <v>0.56727900680272147</v>
      </c>
      <c r="D46" s="28">
        <f>AVERAGE(PV_kW!$C46:$AY46)</f>
        <v>0</v>
      </c>
      <c r="E46" s="28">
        <f>AVERAGE(Charge_kW!$C46:$AY46)</f>
        <v>0</v>
      </c>
      <c r="F46" s="28">
        <f>AVERAGE(Discharge_kW!$C46:$AY46)</f>
        <v>0.53524489795918373</v>
      </c>
      <c r="G46" s="28">
        <f t="shared" si="0"/>
        <v>3.2034108843537745E-2</v>
      </c>
      <c r="H46" s="26">
        <f>AVERAGE(SOC_pct!$C46:$AY46)</f>
        <v>65.531736734693894</v>
      </c>
      <c r="I46" s="30">
        <f>SUM(Demand_kW!$C46:$AY46)</f>
        <v>27.79667133333335</v>
      </c>
      <c r="J46" s="30">
        <f>SUM(PV_kW!$C46:$AY46)</f>
        <v>0</v>
      </c>
      <c r="K46" s="16">
        <f>I46-J46+SUM(Charge_kW!$C46:$AY46)-SUM(Discharge_kW!$C46:$AY46)</f>
        <v>1.5696713333333463</v>
      </c>
    </row>
    <row r="47" spans="1:11" x14ac:dyDescent="0.25">
      <c r="A47" s="24">
        <f>Demand_kW!A47</f>
        <v>46</v>
      </c>
      <c r="B47" s="26">
        <f>Demand_kW!B47</f>
        <v>22.5</v>
      </c>
      <c r="C47" s="28">
        <f>AVERAGE(Demand_kW!$C47:$AY47)</f>
        <v>0.4981532993197279</v>
      </c>
      <c r="D47" s="28">
        <f>AVERAGE(PV_kW!$C47:$AY47)</f>
        <v>0</v>
      </c>
      <c r="E47" s="28">
        <f>AVERAGE(Charge_kW!$C47:$AY47)</f>
        <v>0</v>
      </c>
      <c r="F47" s="28">
        <f>AVERAGE(Discharge_kW!$C47:$AY47)</f>
        <v>0.41608163265306131</v>
      </c>
      <c r="G47" s="28">
        <f t="shared" si="0"/>
        <v>8.2071666666666598E-2</v>
      </c>
      <c r="H47" s="26">
        <f>AVERAGE(SOC_pct!$C47:$AY47)</f>
        <v>58.81475714285714</v>
      </c>
      <c r="I47" s="30">
        <f>SUM(Demand_kW!$C47:$AY47)</f>
        <v>24.409511666666667</v>
      </c>
      <c r="J47" s="30">
        <f>SUM(PV_kW!$C47:$AY47)</f>
        <v>0</v>
      </c>
      <c r="K47" s="16">
        <f>I47-J47+SUM(Charge_kW!$C47:$AY47)-SUM(Discharge_kW!$C47:$AY47)</f>
        <v>4.0215116666666617</v>
      </c>
    </row>
    <row r="48" spans="1:11" x14ac:dyDescent="0.25">
      <c r="A48" s="24">
        <f>Demand_kW!A48</f>
        <v>47</v>
      </c>
      <c r="B48" s="26">
        <f>Demand_kW!B48</f>
        <v>23</v>
      </c>
      <c r="C48" s="28">
        <f>AVERAGE(Demand_kW!$C48:$AY48)</f>
        <v>0.40095637414966012</v>
      </c>
      <c r="D48" s="28">
        <f>AVERAGE(PV_kW!$C48:$AY48)</f>
        <v>0</v>
      </c>
      <c r="E48" s="28">
        <f>AVERAGE(Charge_kW!$C48:$AY48)</f>
        <v>0</v>
      </c>
      <c r="F48" s="28">
        <f>AVERAGE(Discharge_kW!$C48:$AY48)</f>
        <v>0.34422448979591846</v>
      </c>
      <c r="G48" s="28">
        <f t="shared" si="0"/>
        <v>5.6731884353741657E-2</v>
      </c>
      <c r="H48" s="26">
        <f>AVERAGE(SOC_pct!$C48:$AY48)</f>
        <v>53.59365102040816</v>
      </c>
      <c r="I48" s="30">
        <f>SUM(Demand_kW!$C48:$AY48)</f>
        <v>19.646862333333345</v>
      </c>
      <c r="J48" s="30">
        <f>SUM(PV_kW!$C48:$AY48)</f>
        <v>0</v>
      </c>
      <c r="K48" s="16">
        <f>I48-J48+SUM(Charge_kW!$C48:$AY48)-SUM(Discharge_kW!$C48:$AY48)</f>
        <v>2.779862333333341</v>
      </c>
    </row>
    <row r="49" spans="1:11" x14ac:dyDescent="0.25">
      <c r="A49" s="25">
        <f>Demand_kW!A49</f>
        <v>48</v>
      </c>
      <c r="B49" s="27">
        <f>Demand_kW!B49</f>
        <v>23.5</v>
      </c>
      <c r="C49" s="29">
        <f>AVERAGE(Demand_kW!$C49:$AY49)</f>
        <v>0.27882082040816314</v>
      </c>
      <c r="D49" s="29">
        <f>AVERAGE(PV_kW!$C49:$AY49)</f>
        <v>0</v>
      </c>
      <c r="E49" s="29">
        <f>AVERAGE(Charge_kW!$C49:$AY49)</f>
        <v>0</v>
      </c>
      <c r="F49" s="29">
        <f>AVERAGE(Discharge_kW!$C49:$AY49)</f>
        <v>0.25022448979591838</v>
      </c>
      <c r="G49" s="29">
        <f t="shared" si="0"/>
        <v>2.8596330612244758E-2</v>
      </c>
      <c r="H49" s="27">
        <f>AVERAGE(SOC_pct!$C49:$AY49)</f>
        <v>49.274646938775511</v>
      </c>
      <c r="I49" s="31">
        <f>SUM(Demand_kW!$C49:$AY49)</f>
        <v>13.662220199999995</v>
      </c>
      <c r="J49" s="31">
        <f>SUM(PV_kW!$C49:$AY49)</f>
        <v>0</v>
      </c>
      <c r="K49" s="32">
        <f>I49-J49+SUM(Charge_kW!$C49:$AY49)-SUM(Discharge_kW!$C49:$AY49)</f>
        <v>1.4012201999999938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53" width="15" customWidth="1"/>
  </cols>
  <sheetData>
    <row r="1" spans="1:53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9" t="s">
        <v>87</v>
      </c>
    </row>
    <row r="2" spans="1:53" x14ac:dyDescent="0.25">
      <c r="A2" s="24">
        <v>1</v>
      </c>
      <c r="B2" s="26">
        <v>0</v>
      </c>
      <c r="C2" s="26">
        <v>40</v>
      </c>
      <c r="D2" s="26">
        <v>40</v>
      </c>
      <c r="E2" s="26">
        <v>40</v>
      </c>
      <c r="F2" s="26">
        <v>40</v>
      </c>
      <c r="G2" s="26">
        <v>40</v>
      </c>
      <c r="H2" s="26">
        <v>40</v>
      </c>
      <c r="I2" s="26">
        <v>40</v>
      </c>
      <c r="J2" s="26">
        <v>40</v>
      </c>
      <c r="K2" s="26">
        <v>40</v>
      </c>
      <c r="L2" s="26">
        <v>40</v>
      </c>
      <c r="M2" s="26">
        <v>40</v>
      </c>
      <c r="N2" s="26">
        <v>40</v>
      </c>
      <c r="O2" s="26">
        <v>40</v>
      </c>
      <c r="P2" s="26">
        <v>40</v>
      </c>
      <c r="Q2" s="26">
        <v>40</v>
      </c>
      <c r="R2" s="26">
        <v>40</v>
      </c>
      <c r="S2" s="26">
        <v>40</v>
      </c>
      <c r="T2" s="26">
        <v>40</v>
      </c>
      <c r="U2" s="26">
        <v>40</v>
      </c>
      <c r="V2" s="26">
        <v>40</v>
      </c>
      <c r="W2" s="26">
        <v>40</v>
      </c>
      <c r="X2" s="26">
        <v>40</v>
      </c>
      <c r="Y2" s="26">
        <v>40</v>
      </c>
      <c r="Z2" s="26">
        <v>40</v>
      </c>
      <c r="AA2" s="26">
        <v>40</v>
      </c>
      <c r="AB2" s="26">
        <v>40</v>
      </c>
      <c r="AC2" s="26">
        <v>40</v>
      </c>
      <c r="AD2" s="26">
        <v>40</v>
      </c>
      <c r="AE2" s="26">
        <v>40</v>
      </c>
      <c r="AF2" s="26">
        <v>40</v>
      </c>
      <c r="AG2" s="26">
        <v>40</v>
      </c>
      <c r="AH2" s="26">
        <v>40</v>
      </c>
      <c r="AI2" s="26">
        <v>40</v>
      </c>
      <c r="AJ2" s="26">
        <v>40</v>
      </c>
      <c r="AK2" s="26">
        <v>40</v>
      </c>
      <c r="AL2" s="26">
        <v>40</v>
      </c>
      <c r="AM2" s="26">
        <v>40</v>
      </c>
      <c r="AN2" s="26">
        <v>40</v>
      </c>
      <c r="AO2" s="26">
        <v>40</v>
      </c>
      <c r="AP2" s="26">
        <v>40</v>
      </c>
      <c r="AQ2" s="26">
        <v>40</v>
      </c>
      <c r="AR2" s="26">
        <v>40</v>
      </c>
      <c r="AS2" s="26">
        <v>40</v>
      </c>
      <c r="AT2" s="26">
        <v>40</v>
      </c>
      <c r="AU2" s="26">
        <v>40</v>
      </c>
      <c r="AV2" s="26">
        <v>40</v>
      </c>
      <c r="AW2" s="26">
        <v>40</v>
      </c>
      <c r="AX2" s="26">
        <v>40</v>
      </c>
      <c r="AY2" s="26">
        <v>40</v>
      </c>
      <c r="AZ2" s="26">
        <v>40</v>
      </c>
      <c r="BA2" s="17">
        <v>1960</v>
      </c>
    </row>
    <row r="3" spans="1:53" x14ac:dyDescent="0.25">
      <c r="A3" s="24">
        <v>2</v>
      </c>
      <c r="B3" s="26">
        <v>0.5</v>
      </c>
      <c r="C3" s="26">
        <v>37.620100000000001</v>
      </c>
      <c r="D3" s="26">
        <v>39.422800000000002</v>
      </c>
      <c r="E3" s="26">
        <v>39.422800000000002</v>
      </c>
      <c r="F3" s="26">
        <v>35.2258</v>
      </c>
      <c r="G3" s="26">
        <v>39.3977</v>
      </c>
      <c r="H3" s="26">
        <v>38.700299999999999</v>
      </c>
      <c r="I3" s="26">
        <v>35.736600000000003</v>
      </c>
      <c r="J3" s="26">
        <v>39.585900000000002</v>
      </c>
      <c r="K3" s="26">
        <v>39.422800000000002</v>
      </c>
      <c r="L3" s="26">
        <v>38.775500000000001</v>
      </c>
      <c r="M3" s="26">
        <v>39.322400000000002</v>
      </c>
      <c r="N3" s="26">
        <v>32.478499999999997</v>
      </c>
      <c r="O3" s="26">
        <v>39.098300000000002</v>
      </c>
      <c r="P3" s="26">
        <v>38.187600000000003</v>
      </c>
      <c r="Q3" s="26">
        <v>37.928899999999999</v>
      </c>
      <c r="R3" s="26">
        <v>37.987200000000001</v>
      </c>
      <c r="S3" s="26">
        <v>38.350900000000003</v>
      </c>
      <c r="T3" s="26">
        <v>38.136399999999988</v>
      </c>
      <c r="U3" s="26">
        <v>39.3977</v>
      </c>
      <c r="V3" s="26">
        <v>38.129600000000003</v>
      </c>
      <c r="W3" s="26">
        <v>38.118899999999996</v>
      </c>
      <c r="X3" s="26">
        <v>39.334899999999998</v>
      </c>
      <c r="Y3" s="26">
        <v>38.145099999999999</v>
      </c>
      <c r="Z3" s="26">
        <v>38.625100000000003</v>
      </c>
      <c r="AA3" s="26">
        <v>38.983499999999999</v>
      </c>
      <c r="AB3" s="26">
        <v>35.7988</v>
      </c>
      <c r="AC3" s="26">
        <v>39.322400000000002</v>
      </c>
      <c r="AD3" s="26">
        <v>39.247100000000003</v>
      </c>
      <c r="AE3" s="26">
        <v>39.485500000000002</v>
      </c>
      <c r="AF3" s="26">
        <v>39.334899999999998</v>
      </c>
      <c r="AG3" s="26">
        <v>39.259599999999999</v>
      </c>
      <c r="AH3" s="26">
        <v>38.613</v>
      </c>
      <c r="AI3" s="26">
        <v>33.739999999999988</v>
      </c>
      <c r="AJ3" s="26">
        <v>38.091500000000003</v>
      </c>
      <c r="AK3" s="26">
        <v>39.4604</v>
      </c>
      <c r="AL3" s="26">
        <v>38.131100000000004</v>
      </c>
      <c r="AM3" s="26">
        <v>39.385100000000001</v>
      </c>
      <c r="AN3" s="26">
        <v>39.012799999999999</v>
      </c>
      <c r="AO3" s="26">
        <v>38.2699</v>
      </c>
      <c r="AP3" s="26">
        <v>39.334899999999998</v>
      </c>
      <c r="AQ3" s="26">
        <v>31.9831</v>
      </c>
      <c r="AR3" s="26">
        <v>39.334899999999998</v>
      </c>
      <c r="AS3" s="26">
        <v>33.073399999999999</v>
      </c>
      <c r="AT3" s="26">
        <v>31.430399999999999</v>
      </c>
      <c r="AU3" s="26">
        <v>30.792899999999999</v>
      </c>
      <c r="AV3" s="26">
        <v>38.720199999999998</v>
      </c>
      <c r="AW3" s="26">
        <v>37.9878</v>
      </c>
      <c r="AX3" s="26">
        <v>38.330500000000001</v>
      </c>
      <c r="AY3" s="26">
        <v>30.3552</v>
      </c>
      <c r="AZ3" s="26">
        <v>37.633279591836732</v>
      </c>
      <c r="BA3" s="17">
        <v>1844.0307</v>
      </c>
    </row>
    <row r="4" spans="1:53" x14ac:dyDescent="0.25">
      <c r="A4" s="24">
        <v>3</v>
      </c>
      <c r="B4" s="26">
        <v>1</v>
      </c>
      <c r="C4" s="26">
        <v>34.343299999999999</v>
      </c>
      <c r="D4" s="26">
        <v>38.078200000000002</v>
      </c>
      <c r="E4" s="26">
        <v>35.535299999999999</v>
      </c>
      <c r="F4" s="26">
        <v>33.660699999999999</v>
      </c>
      <c r="G4" s="26">
        <v>36.7682</v>
      </c>
      <c r="H4" s="26">
        <v>36.559199999999997</v>
      </c>
      <c r="I4" s="26">
        <v>35.0715</v>
      </c>
      <c r="J4" s="26">
        <v>39.171799999999998</v>
      </c>
      <c r="K4" s="26">
        <v>36.920499999999997</v>
      </c>
      <c r="L4" s="26">
        <v>37.794499999999999</v>
      </c>
      <c r="M4" s="26">
        <v>37.165300000000002</v>
      </c>
      <c r="N4" s="26">
        <v>25.6494</v>
      </c>
      <c r="O4" s="26">
        <v>38.571199999999997</v>
      </c>
      <c r="P4" s="26">
        <v>35.303400000000003</v>
      </c>
      <c r="Q4" s="26">
        <v>37.339099999999988</v>
      </c>
      <c r="R4" s="26">
        <v>37.2971</v>
      </c>
      <c r="S4" s="26">
        <v>37.660700000000013</v>
      </c>
      <c r="T4" s="26">
        <v>35.997999999999998</v>
      </c>
      <c r="U4" s="26">
        <v>38.255299999999998</v>
      </c>
      <c r="V4" s="26">
        <v>36.384599999999999</v>
      </c>
      <c r="W4" s="26">
        <v>37.491500000000002</v>
      </c>
      <c r="X4" s="26">
        <v>38.669899999999998</v>
      </c>
      <c r="Y4" s="26">
        <v>36.816299999999998</v>
      </c>
      <c r="Z4" s="26">
        <v>37.972799999999999</v>
      </c>
      <c r="AA4" s="26">
        <v>35.475299999999997</v>
      </c>
      <c r="AB4" s="26">
        <v>19.503</v>
      </c>
      <c r="AC4" s="26">
        <v>38.644799999999996</v>
      </c>
      <c r="AD4" s="26">
        <v>36.200699999999998</v>
      </c>
      <c r="AE4" s="26">
        <v>38.080500000000001</v>
      </c>
      <c r="AF4" s="26">
        <v>38.669899999999998</v>
      </c>
      <c r="AG4" s="26">
        <v>37.408099999999997</v>
      </c>
      <c r="AH4" s="26">
        <v>36.844499999999996</v>
      </c>
      <c r="AI4" s="26">
        <v>25.943200000000001</v>
      </c>
      <c r="AJ4" s="26">
        <v>37.576999999999998</v>
      </c>
      <c r="AK4" s="26">
        <v>38.9208</v>
      </c>
      <c r="AL4" s="26">
        <v>37.100900000000003</v>
      </c>
      <c r="AM4" s="26">
        <v>36.590699999999998</v>
      </c>
      <c r="AN4" s="26">
        <v>36.549900000000001</v>
      </c>
      <c r="AO4" s="26">
        <v>37.277799999999999</v>
      </c>
      <c r="AP4" s="26">
        <v>38.669899999999998</v>
      </c>
      <c r="AQ4" s="26">
        <v>31.355699999999999</v>
      </c>
      <c r="AR4" s="26">
        <v>38.669899999999998</v>
      </c>
      <c r="AS4" s="26">
        <v>26.377199999999998</v>
      </c>
      <c r="AT4" s="26">
        <v>29.565100000000001</v>
      </c>
      <c r="AU4" s="26">
        <v>25.2944</v>
      </c>
      <c r="AV4" s="26">
        <v>37.044199999999996</v>
      </c>
      <c r="AW4" s="26">
        <v>36.155099999999997</v>
      </c>
      <c r="AX4" s="26">
        <v>36.1646</v>
      </c>
      <c r="AY4" s="26">
        <v>28.981300000000001</v>
      </c>
      <c r="AZ4" s="26">
        <v>35.378414285714292</v>
      </c>
      <c r="BA4" s="17">
        <v>1733.5423000000001</v>
      </c>
    </row>
    <row r="5" spans="1:53" x14ac:dyDescent="0.25">
      <c r="A5" s="24">
        <v>4</v>
      </c>
      <c r="B5" s="26">
        <v>1.5</v>
      </c>
      <c r="C5" s="26">
        <v>33.3504</v>
      </c>
      <c r="D5" s="26">
        <v>35.684399999999997</v>
      </c>
      <c r="E5" s="26">
        <v>34.816599999999987</v>
      </c>
      <c r="F5" s="26">
        <v>33.058399999999999</v>
      </c>
      <c r="G5" s="26">
        <v>36.165799999999997</v>
      </c>
      <c r="H5" s="26">
        <v>35.334700000000012</v>
      </c>
      <c r="I5" s="26">
        <v>33.042099999999998</v>
      </c>
      <c r="J5" s="26">
        <v>38.7577</v>
      </c>
      <c r="K5" s="26">
        <v>36.343299999999999</v>
      </c>
      <c r="L5" s="26">
        <v>36.618699999999997</v>
      </c>
      <c r="M5" s="26">
        <v>36.178600000000003</v>
      </c>
      <c r="N5" s="26">
        <v>18.779</v>
      </c>
      <c r="O5" s="26">
        <v>38.044199999999996</v>
      </c>
      <c r="P5" s="26">
        <v>33.2821</v>
      </c>
      <c r="Q5" s="26">
        <v>34.570300000000003</v>
      </c>
      <c r="R5" s="26">
        <v>36.606900000000003</v>
      </c>
      <c r="S5" s="26">
        <v>36.570999999999998</v>
      </c>
      <c r="T5" s="26">
        <v>33.2316</v>
      </c>
      <c r="U5" s="26">
        <v>36.212800000000001</v>
      </c>
      <c r="V5" s="26">
        <v>35.342700000000001</v>
      </c>
      <c r="W5" s="26">
        <v>36.863999999999997</v>
      </c>
      <c r="X5" s="26">
        <v>36.654599999999988</v>
      </c>
      <c r="Y5" s="26">
        <v>36.188800000000001</v>
      </c>
      <c r="Z5" s="26">
        <v>35.863999999999997</v>
      </c>
      <c r="AA5" s="26">
        <v>34.860400000000013</v>
      </c>
      <c r="AB5" s="26">
        <v>14.178000000000001</v>
      </c>
      <c r="AC5" s="26">
        <v>35.768300000000004</v>
      </c>
      <c r="AD5" s="26">
        <v>34.292900000000003</v>
      </c>
      <c r="AE5" s="26">
        <v>37.566000000000003</v>
      </c>
      <c r="AF5" s="26">
        <v>38.004800000000003</v>
      </c>
      <c r="AG5" s="26">
        <v>35.898499999999999</v>
      </c>
      <c r="AH5" s="26">
        <v>36.392699999999998</v>
      </c>
      <c r="AI5" s="26">
        <v>22.581600000000002</v>
      </c>
      <c r="AJ5" s="26">
        <v>34.526600000000002</v>
      </c>
      <c r="AK5" s="26">
        <v>34.008500000000012</v>
      </c>
      <c r="AL5" s="26">
        <v>36.573799999999999</v>
      </c>
      <c r="AM5" s="26">
        <v>35.9758</v>
      </c>
      <c r="AN5" s="26">
        <v>34.830100000000002</v>
      </c>
      <c r="AO5" s="26">
        <v>36.562600000000003</v>
      </c>
      <c r="AP5" s="26">
        <v>38.004800000000003</v>
      </c>
      <c r="AQ5" s="26">
        <v>30.728300000000001</v>
      </c>
      <c r="AR5" s="26">
        <v>38.004800000000003</v>
      </c>
      <c r="AS5" s="26">
        <v>25.384899999999998</v>
      </c>
      <c r="AT5" s="26">
        <v>27.766400000000001</v>
      </c>
      <c r="AU5" s="26">
        <v>14.8607</v>
      </c>
      <c r="AV5" s="26">
        <v>35.152200000000001</v>
      </c>
      <c r="AW5" s="26">
        <v>34.908999999999999</v>
      </c>
      <c r="AX5" s="26">
        <v>34.8658</v>
      </c>
      <c r="AY5" s="26">
        <v>26.255800000000001</v>
      </c>
      <c r="AZ5" s="26">
        <v>33.581959183673462</v>
      </c>
      <c r="BA5" s="17">
        <v>1645.5160000000001</v>
      </c>
    </row>
    <row r="6" spans="1:53" x14ac:dyDescent="0.25">
      <c r="A6" s="24">
        <v>5</v>
      </c>
      <c r="B6" s="26">
        <v>2</v>
      </c>
      <c r="C6" s="26">
        <v>30.0944</v>
      </c>
      <c r="D6" s="26">
        <v>34.7744</v>
      </c>
      <c r="E6" s="26">
        <v>33.3384</v>
      </c>
      <c r="F6" s="26">
        <v>30.974799999999998</v>
      </c>
      <c r="G6" s="26">
        <v>35.563499999999998</v>
      </c>
      <c r="H6" s="26">
        <v>34.599200000000003</v>
      </c>
      <c r="I6" s="26">
        <v>29.994399999999999</v>
      </c>
      <c r="J6" s="26">
        <v>37.892600000000002</v>
      </c>
      <c r="K6" s="26">
        <v>34.366</v>
      </c>
      <c r="L6" s="26">
        <v>35.978700000000003</v>
      </c>
      <c r="M6" s="26">
        <v>35.1477</v>
      </c>
      <c r="N6" s="26">
        <v>10.5436</v>
      </c>
      <c r="O6" s="26">
        <v>35.456400000000002</v>
      </c>
      <c r="P6" s="26">
        <v>31.362300000000001</v>
      </c>
      <c r="Q6" s="26">
        <v>33.045200000000001</v>
      </c>
      <c r="R6" s="26">
        <v>35.204500000000003</v>
      </c>
      <c r="S6" s="26">
        <v>34.522300000000001</v>
      </c>
      <c r="T6" s="26">
        <v>31.0124</v>
      </c>
      <c r="U6" s="26">
        <v>34.633099999999999</v>
      </c>
      <c r="V6" s="26">
        <v>34.9161</v>
      </c>
      <c r="W6" s="26">
        <v>35.5471</v>
      </c>
      <c r="X6" s="26">
        <v>35.989600000000003</v>
      </c>
      <c r="Y6" s="26">
        <v>35.561399999999999</v>
      </c>
      <c r="Z6" s="26">
        <v>34.473399999999998</v>
      </c>
      <c r="AA6" s="26">
        <v>32.317700000000002</v>
      </c>
      <c r="AB6" s="26">
        <v>12.827500000000001</v>
      </c>
      <c r="AC6" s="26">
        <v>35.090600000000002</v>
      </c>
      <c r="AD6" s="26">
        <v>31.906500000000001</v>
      </c>
      <c r="AE6" s="26">
        <v>36.161000000000001</v>
      </c>
      <c r="AF6" s="26">
        <v>37.339700000000001</v>
      </c>
      <c r="AG6" s="26">
        <v>34.901800000000001</v>
      </c>
      <c r="AH6" s="26">
        <v>35.566899999999997</v>
      </c>
      <c r="AI6" s="26">
        <v>20.367100000000001</v>
      </c>
      <c r="AJ6" s="26">
        <v>34.012099999999997</v>
      </c>
      <c r="AK6" s="26">
        <v>31.2576</v>
      </c>
      <c r="AL6" s="26">
        <v>34.201799999999999</v>
      </c>
      <c r="AM6" s="26">
        <v>35.360900000000001</v>
      </c>
      <c r="AN6" s="26">
        <v>32.511600000000001</v>
      </c>
      <c r="AO6" s="26">
        <v>34.555599999999998</v>
      </c>
      <c r="AP6" s="26">
        <v>37.339700000000001</v>
      </c>
      <c r="AQ6" s="26">
        <v>30.100899999999999</v>
      </c>
      <c r="AR6" s="26">
        <v>37.339700000000001</v>
      </c>
      <c r="AS6" s="26">
        <v>24.315999999999999</v>
      </c>
      <c r="AT6" s="26">
        <v>27.088799999999999</v>
      </c>
      <c r="AU6" s="26">
        <v>10</v>
      </c>
      <c r="AV6" s="26">
        <v>34.524700000000003</v>
      </c>
      <c r="AW6" s="26">
        <v>31.817299999999999</v>
      </c>
      <c r="AX6" s="26">
        <v>33.737900000000003</v>
      </c>
      <c r="AY6" s="26">
        <v>24.881799999999998</v>
      </c>
      <c r="AZ6" s="26">
        <v>31.928912244897951</v>
      </c>
      <c r="BA6" s="17">
        <v>1564.5166999999999</v>
      </c>
    </row>
    <row r="7" spans="1:53" x14ac:dyDescent="0.25">
      <c r="A7" s="24">
        <v>6</v>
      </c>
      <c r="B7" s="26">
        <v>2.5</v>
      </c>
      <c r="C7" s="26">
        <v>27.9588</v>
      </c>
      <c r="D7" s="26">
        <v>32.278700000000001</v>
      </c>
      <c r="E7" s="26">
        <v>31.313300000000002</v>
      </c>
      <c r="F7" s="26">
        <v>30.372499999999999</v>
      </c>
      <c r="G7" s="26">
        <v>34.661999999999999</v>
      </c>
      <c r="H7" s="26">
        <v>31.334599999999998</v>
      </c>
      <c r="I7" s="26">
        <v>28.907299999999999</v>
      </c>
      <c r="J7" s="26">
        <v>37.0276</v>
      </c>
      <c r="K7" s="26">
        <v>33.263800000000003</v>
      </c>
      <c r="L7" s="26">
        <v>35.338700000000003</v>
      </c>
      <c r="M7" s="26">
        <v>34.028500000000001</v>
      </c>
      <c r="N7" s="26">
        <v>10</v>
      </c>
      <c r="O7" s="26">
        <v>34.929400000000001</v>
      </c>
      <c r="P7" s="26">
        <v>30.153400000000001</v>
      </c>
      <c r="Q7" s="26">
        <v>32.0105</v>
      </c>
      <c r="R7" s="26">
        <v>32.988300000000002</v>
      </c>
      <c r="S7" s="26">
        <v>33.832099999999997</v>
      </c>
      <c r="T7" s="26">
        <v>30.41</v>
      </c>
      <c r="U7" s="26">
        <v>32.0505</v>
      </c>
      <c r="V7" s="26">
        <v>32.518300000000004</v>
      </c>
      <c r="W7" s="26">
        <v>34.355499999999999</v>
      </c>
      <c r="X7" s="26">
        <v>34.167199999999987</v>
      </c>
      <c r="Y7" s="26">
        <v>33.005099999999999</v>
      </c>
      <c r="Z7" s="26">
        <v>33.2714</v>
      </c>
      <c r="AA7" s="26">
        <v>30.335699999999999</v>
      </c>
      <c r="AB7" s="26">
        <v>11.2096</v>
      </c>
      <c r="AC7" s="26">
        <v>32.514000000000003</v>
      </c>
      <c r="AD7" s="26">
        <v>29.586200000000002</v>
      </c>
      <c r="AE7" s="26">
        <v>35.646500000000003</v>
      </c>
      <c r="AF7" s="26">
        <v>36.674599999999998</v>
      </c>
      <c r="AG7" s="26">
        <v>32.537399999999998</v>
      </c>
      <c r="AH7" s="26">
        <v>33.431699999999999</v>
      </c>
      <c r="AI7" s="26">
        <v>18.0261</v>
      </c>
      <c r="AJ7" s="26">
        <v>33.497599999999998</v>
      </c>
      <c r="AK7" s="26">
        <v>28.438700000000001</v>
      </c>
      <c r="AL7" s="26">
        <v>33.674700000000001</v>
      </c>
      <c r="AM7" s="26">
        <v>32.566499999999998</v>
      </c>
      <c r="AN7" s="26">
        <v>30.287600000000001</v>
      </c>
      <c r="AO7" s="26">
        <v>33.840400000000002</v>
      </c>
      <c r="AP7" s="26">
        <v>36.674599999999998</v>
      </c>
      <c r="AQ7" s="26">
        <v>29.473400000000002</v>
      </c>
      <c r="AR7" s="26">
        <v>36.674599999999998</v>
      </c>
      <c r="AS7" s="26">
        <v>23.726299999999998</v>
      </c>
      <c r="AT7" s="26">
        <v>26.411200000000001</v>
      </c>
      <c r="AU7" s="26">
        <v>10</v>
      </c>
      <c r="AV7" s="26">
        <v>31.584199999999999</v>
      </c>
      <c r="AW7" s="26">
        <v>29.952500000000001</v>
      </c>
      <c r="AX7" s="26">
        <v>31.1159</v>
      </c>
      <c r="AY7" s="26">
        <v>24.467700000000001</v>
      </c>
      <c r="AZ7" s="26">
        <v>30.459697959183671</v>
      </c>
      <c r="BA7" s="17">
        <v>1492.5252</v>
      </c>
    </row>
    <row r="8" spans="1:53" x14ac:dyDescent="0.25">
      <c r="A8" s="24">
        <v>7</v>
      </c>
      <c r="B8" s="26">
        <v>3</v>
      </c>
      <c r="C8" s="26">
        <v>26.0227</v>
      </c>
      <c r="D8" s="26">
        <v>31.701499999999999</v>
      </c>
      <c r="E8" s="26">
        <v>30.523900000000001</v>
      </c>
      <c r="F8" s="26">
        <v>28.288900000000002</v>
      </c>
      <c r="G8" s="26">
        <v>32.863</v>
      </c>
      <c r="H8" s="26">
        <v>30.669499999999999</v>
      </c>
      <c r="I8" s="26">
        <v>27.8202</v>
      </c>
      <c r="J8" s="26">
        <v>36.613500000000002</v>
      </c>
      <c r="K8" s="26">
        <v>32.686599999999999</v>
      </c>
      <c r="L8" s="26">
        <v>34.698799999999999</v>
      </c>
      <c r="M8" s="26">
        <v>33.350900000000003</v>
      </c>
      <c r="N8" s="26">
        <v>10</v>
      </c>
      <c r="O8" s="26">
        <v>33.840299999999999</v>
      </c>
      <c r="P8" s="26">
        <v>26.3431</v>
      </c>
      <c r="Q8" s="26">
        <v>30.8645</v>
      </c>
      <c r="R8" s="26">
        <v>32.298100000000012</v>
      </c>
      <c r="S8" s="26">
        <v>33.142000000000003</v>
      </c>
      <c r="T8" s="26">
        <v>27.643599999999999</v>
      </c>
      <c r="U8" s="26">
        <v>30.4709</v>
      </c>
      <c r="V8" s="26">
        <v>30.685500000000001</v>
      </c>
      <c r="W8" s="26">
        <v>33.728099999999998</v>
      </c>
      <c r="X8" s="26">
        <v>33.3093</v>
      </c>
      <c r="Y8" s="26">
        <v>32.377699999999997</v>
      </c>
      <c r="Z8" s="26">
        <v>31.5153</v>
      </c>
      <c r="AA8" s="26">
        <v>29.7209</v>
      </c>
      <c r="AB8" s="26">
        <v>10</v>
      </c>
      <c r="AC8" s="26">
        <v>31.5365</v>
      </c>
      <c r="AD8" s="26">
        <v>26.952400000000001</v>
      </c>
      <c r="AE8" s="26">
        <v>34.241399999999999</v>
      </c>
      <c r="AF8" s="26">
        <v>36.009600000000013</v>
      </c>
      <c r="AG8" s="26">
        <v>31.7971</v>
      </c>
      <c r="AH8" s="26">
        <v>32.979999999999997</v>
      </c>
      <c r="AI8" s="26">
        <v>14.611800000000001</v>
      </c>
      <c r="AJ8" s="26">
        <v>30.8203</v>
      </c>
      <c r="AK8" s="26">
        <v>26.955300000000001</v>
      </c>
      <c r="AL8" s="26">
        <v>33.1477</v>
      </c>
      <c r="AM8" s="26">
        <v>31.951599999999999</v>
      </c>
      <c r="AN8" s="26">
        <v>29.516300000000001</v>
      </c>
      <c r="AO8" s="26">
        <v>32.848300000000002</v>
      </c>
      <c r="AP8" s="26">
        <v>36.009600000000013</v>
      </c>
      <c r="AQ8" s="26">
        <v>28.846</v>
      </c>
      <c r="AR8" s="26">
        <v>36.009600000000013</v>
      </c>
      <c r="AS8" s="26">
        <v>21.669499999999999</v>
      </c>
      <c r="AT8" s="26">
        <v>24.6126</v>
      </c>
      <c r="AU8" s="26">
        <v>10</v>
      </c>
      <c r="AV8" s="26">
        <v>30.956700000000001</v>
      </c>
      <c r="AW8" s="26">
        <v>26.860800000000001</v>
      </c>
      <c r="AX8" s="26">
        <v>29.303999999999998</v>
      </c>
      <c r="AY8" s="26">
        <v>23.093800000000002</v>
      </c>
      <c r="AZ8" s="26">
        <v>29.222646938775519</v>
      </c>
      <c r="BA8" s="17">
        <v>1431.9097000000011</v>
      </c>
    </row>
    <row r="9" spans="1:53" x14ac:dyDescent="0.25">
      <c r="A9" s="24">
        <v>8</v>
      </c>
      <c r="B9" s="26">
        <v>3.5</v>
      </c>
      <c r="C9" s="26">
        <v>23.458500000000001</v>
      </c>
      <c r="D9" s="26">
        <v>28.651299999999999</v>
      </c>
      <c r="E9" s="26">
        <v>27.5625</v>
      </c>
      <c r="F9" s="26">
        <v>27.686599999999999</v>
      </c>
      <c r="G9" s="26">
        <v>32.2607</v>
      </c>
      <c r="H9" s="26">
        <v>29.009899999999998</v>
      </c>
      <c r="I9" s="26">
        <v>25.371500000000001</v>
      </c>
      <c r="J9" s="26">
        <v>36.199399999999997</v>
      </c>
      <c r="K9" s="26">
        <v>30.1843</v>
      </c>
      <c r="L9" s="26">
        <v>33.181899999999999</v>
      </c>
      <c r="M9" s="26">
        <v>32.673299999999998</v>
      </c>
      <c r="N9" s="26">
        <v>10</v>
      </c>
      <c r="O9" s="26">
        <v>31.814599999999999</v>
      </c>
      <c r="P9" s="26">
        <v>25.163699999999999</v>
      </c>
      <c r="Q9" s="26">
        <v>28.4496</v>
      </c>
      <c r="R9" s="26">
        <v>29.369700000000002</v>
      </c>
      <c r="S9" s="26">
        <v>30.6937</v>
      </c>
      <c r="T9" s="26">
        <v>25.424399999999999</v>
      </c>
      <c r="U9" s="26">
        <v>29.868500000000001</v>
      </c>
      <c r="V9" s="26">
        <v>30.258800000000001</v>
      </c>
      <c r="W9" s="26">
        <v>32.034999999999997</v>
      </c>
      <c r="X9" s="26">
        <v>32.644199999999998</v>
      </c>
      <c r="Y9" s="26">
        <v>30.785799999999998</v>
      </c>
      <c r="Z9" s="26">
        <v>30.3217</v>
      </c>
      <c r="AA9" s="26">
        <v>28.0198</v>
      </c>
      <c r="AB9" s="26">
        <v>10</v>
      </c>
      <c r="AC9" s="26">
        <v>30.858899999999998</v>
      </c>
      <c r="AD9" s="26">
        <v>26.1995</v>
      </c>
      <c r="AE9" s="26">
        <v>33.726999999999997</v>
      </c>
      <c r="AF9" s="26">
        <v>35.344499999999996</v>
      </c>
      <c r="AG9" s="26">
        <v>31.056699999999999</v>
      </c>
      <c r="AH9" s="26">
        <v>30.470700000000001</v>
      </c>
      <c r="AI9" s="26">
        <v>12.360300000000001</v>
      </c>
      <c r="AJ9" s="26">
        <v>29.932700000000001</v>
      </c>
      <c r="AK9" s="26">
        <v>26.415700000000001</v>
      </c>
      <c r="AL9" s="26">
        <v>31.6143</v>
      </c>
      <c r="AM9" s="26">
        <v>31.3368</v>
      </c>
      <c r="AN9" s="26">
        <v>26.333400000000001</v>
      </c>
      <c r="AO9" s="26">
        <v>31.118200000000002</v>
      </c>
      <c r="AP9" s="26">
        <v>35.344499999999996</v>
      </c>
      <c r="AQ9" s="26">
        <v>28.218599999999999</v>
      </c>
      <c r="AR9" s="26">
        <v>35.344499999999996</v>
      </c>
      <c r="AS9" s="26">
        <v>20.279499999999999</v>
      </c>
      <c r="AT9" s="26">
        <v>23.934999999999999</v>
      </c>
      <c r="AU9" s="26">
        <v>10</v>
      </c>
      <c r="AV9" s="26">
        <v>30.3293</v>
      </c>
      <c r="AW9" s="26">
        <v>26.2334</v>
      </c>
      <c r="AX9" s="26">
        <v>28.6891</v>
      </c>
      <c r="AY9" s="26">
        <v>22.3645</v>
      </c>
      <c r="AZ9" s="26">
        <v>27.93054081632652</v>
      </c>
      <c r="BA9" s="17">
        <v>1368.596499999999</v>
      </c>
    </row>
    <row r="10" spans="1:53" x14ac:dyDescent="0.25">
      <c r="A10" s="24">
        <v>9</v>
      </c>
      <c r="B10" s="26">
        <v>4</v>
      </c>
      <c r="C10" s="26">
        <v>21.2197</v>
      </c>
      <c r="D10" s="26">
        <v>27.673500000000001</v>
      </c>
      <c r="E10" s="26">
        <v>25.960899999999999</v>
      </c>
      <c r="F10" s="26">
        <v>26.820399999999999</v>
      </c>
      <c r="G10" s="26">
        <v>31.701499999999999</v>
      </c>
      <c r="H10" s="26">
        <v>26.712499999999999</v>
      </c>
      <c r="I10" s="26">
        <v>23.444400000000002</v>
      </c>
      <c r="J10" s="26">
        <v>35.823099999999997</v>
      </c>
      <c r="K10" s="26">
        <v>29.650300000000001</v>
      </c>
      <c r="L10" s="26">
        <v>32.585099999999997</v>
      </c>
      <c r="M10" s="26">
        <v>31.2224</v>
      </c>
      <c r="N10" s="26">
        <v>10</v>
      </c>
      <c r="O10" s="26">
        <v>31.3307</v>
      </c>
      <c r="P10" s="26">
        <v>22.910499999999999</v>
      </c>
      <c r="Q10" s="26">
        <v>27.426400000000001</v>
      </c>
      <c r="R10" s="26">
        <v>28.706499999999998</v>
      </c>
      <c r="S10" s="26">
        <v>30.0413</v>
      </c>
      <c r="T10" s="26">
        <v>23.783200000000001</v>
      </c>
      <c r="U10" s="26">
        <v>26.563600000000001</v>
      </c>
      <c r="V10" s="26">
        <v>27.9148</v>
      </c>
      <c r="W10" s="26">
        <v>31.262699999999999</v>
      </c>
      <c r="X10" s="26">
        <v>30.768599999999999</v>
      </c>
      <c r="Y10" s="26">
        <v>29.237100000000002</v>
      </c>
      <c r="Z10" s="26">
        <v>28.863</v>
      </c>
      <c r="AA10" s="26">
        <v>25.5243</v>
      </c>
      <c r="AB10" s="26">
        <v>10</v>
      </c>
      <c r="AC10" s="26">
        <v>28.020199999999999</v>
      </c>
      <c r="AD10" s="26">
        <v>22.041399999999999</v>
      </c>
      <c r="AE10" s="26">
        <v>33.244800000000012</v>
      </c>
      <c r="AF10" s="26">
        <v>34.7226</v>
      </c>
      <c r="AG10" s="26">
        <v>28.468299999999999</v>
      </c>
      <c r="AH10" s="26">
        <v>30.062100000000001</v>
      </c>
      <c r="AI10" s="26">
        <v>10</v>
      </c>
      <c r="AJ10" s="26">
        <v>29.296600000000002</v>
      </c>
      <c r="AK10" s="26">
        <v>25.9193</v>
      </c>
      <c r="AL10" s="26">
        <v>30.270099999999999</v>
      </c>
      <c r="AM10" s="26">
        <v>28.9818</v>
      </c>
      <c r="AN10" s="26">
        <v>25.160900000000002</v>
      </c>
      <c r="AO10" s="26">
        <v>30.446100000000001</v>
      </c>
      <c r="AP10" s="26">
        <v>34.7226</v>
      </c>
      <c r="AQ10" s="26">
        <v>27.6235</v>
      </c>
      <c r="AR10" s="26">
        <v>34.706400000000002</v>
      </c>
      <c r="AS10" s="26">
        <v>18.0974</v>
      </c>
      <c r="AT10" s="26">
        <v>22.729199999999999</v>
      </c>
      <c r="AU10" s="26">
        <v>10</v>
      </c>
      <c r="AV10" s="26">
        <v>28.760999999999999</v>
      </c>
      <c r="AW10" s="26">
        <v>25.134599999999999</v>
      </c>
      <c r="AX10" s="26">
        <v>26.4483</v>
      </c>
      <c r="AY10" s="26">
        <v>19.9758</v>
      </c>
      <c r="AZ10" s="26">
        <v>26.571010204081631</v>
      </c>
      <c r="BA10" s="17">
        <v>1301.9794999999999</v>
      </c>
    </row>
    <row r="11" spans="1:53" x14ac:dyDescent="0.25">
      <c r="A11" s="24">
        <v>10</v>
      </c>
      <c r="B11" s="26">
        <v>4.5</v>
      </c>
      <c r="C11" s="26">
        <v>20.055700000000002</v>
      </c>
      <c r="D11" s="26">
        <v>27.2212</v>
      </c>
      <c r="E11" s="26">
        <v>20.562100000000001</v>
      </c>
      <c r="F11" s="26">
        <v>25.501200000000001</v>
      </c>
      <c r="G11" s="26">
        <v>31.7211</v>
      </c>
      <c r="H11" s="26">
        <v>26.671500000000002</v>
      </c>
      <c r="I11" s="26">
        <v>21.690999999999999</v>
      </c>
      <c r="J11" s="26">
        <v>35.153300000000002</v>
      </c>
      <c r="K11" s="26">
        <v>28.5596</v>
      </c>
      <c r="L11" s="26">
        <v>32.569299999999998</v>
      </c>
      <c r="M11" s="26">
        <v>30.8568</v>
      </c>
      <c r="N11" s="26">
        <v>10</v>
      </c>
      <c r="O11" s="26">
        <v>31.418099999999999</v>
      </c>
      <c r="P11" s="26">
        <v>21.142800000000001</v>
      </c>
      <c r="Q11" s="26">
        <v>25.161799999999999</v>
      </c>
      <c r="R11" s="26">
        <v>20.860399999999998</v>
      </c>
      <c r="S11" s="26">
        <v>29.098099999999999</v>
      </c>
      <c r="T11" s="26">
        <v>21.267700000000001</v>
      </c>
      <c r="U11" s="26">
        <v>26.290199999999999</v>
      </c>
      <c r="V11" s="26">
        <v>26.855899999999998</v>
      </c>
      <c r="W11" s="26">
        <v>31.259399999999999</v>
      </c>
      <c r="X11" s="26">
        <v>30.6312</v>
      </c>
      <c r="Y11" s="26">
        <v>29.233799999999999</v>
      </c>
      <c r="Z11" s="26">
        <v>28.8826</v>
      </c>
      <c r="AA11" s="26">
        <v>24.9983</v>
      </c>
      <c r="AB11" s="26">
        <v>10</v>
      </c>
      <c r="AC11" s="26">
        <v>27.8887</v>
      </c>
      <c r="AD11" s="26">
        <v>21.912600000000001</v>
      </c>
      <c r="AE11" s="26">
        <v>33.198399999999999</v>
      </c>
      <c r="AF11" s="26">
        <v>34.681600000000003</v>
      </c>
      <c r="AG11" s="26">
        <v>28.196000000000002</v>
      </c>
      <c r="AH11" s="26">
        <v>30.217199999999998</v>
      </c>
      <c r="AI11" s="26">
        <v>10</v>
      </c>
      <c r="AJ11" s="26">
        <v>27.4861</v>
      </c>
      <c r="AK11" s="26">
        <v>25.06</v>
      </c>
      <c r="AL11" s="26">
        <v>29.7197</v>
      </c>
      <c r="AM11" s="26">
        <v>28.5947</v>
      </c>
      <c r="AN11" s="26">
        <v>25.157599999999999</v>
      </c>
      <c r="AO11" s="26">
        <v>30.354900000000001</v>
      </c>
      <c r="AP11" s="26">
        <v>34.681600000000003</v>
      </c>
      <c r="AQ11" s="26">
        <v>27.464200000000002</v>
      </c>
      <c r="AR11" s="26">
        <v>34.431399999999996</v>
      </c>
      <c r="AS11" s="26">
        <v>18.204799999999999</v>
      </c>
      <c r="AT11" s="26">
        <v>21.959199999999999</v>
      </c>
      <c r="AU11" s="26">
        <v>10</v>
      </c>
      <c r="AV11" s="26">
        <v>27.345199999999998</v>
      </c>
      <c r="AW11" s="26">
        <v>23.1966</v>
      </c>
      <c r="AX11" s="26">
        <v>24.505500000000001</v>
      </c>
      <c r="AY11" s="26">
        <v>19.127199999999998</v>
      </c>
      <c r="AZ11" s="26">
        <v>25.7356387755102</v>
      </c>
      <c r="BA11" s="17">
        <v>1261.0463</v>
      </c>
    </row>
    <row r="12" spans="1:53" x14ac:dyDescent="0.25">
      <c r="A12" s="24">
        <v>11</v>
      </c>
      <c r="B12" s="26">
        <v>5</v>
      </c>
      <c r="C12" s="26">
        <v>21.386800000000001</v>
      </c>
      <c r="D12" s="26">
        <v>27.1449</v>
      </c>
      <c r="E12" s="26">
        <v>19.869</v>
      </c>
      <c r="F12" s="26">
        <v>26.929099999999998</v>
      </c>
      <c r="G12" s="26">
        <v>32.459299999999999</v>
      </c>
      <c r="H12" s="26">
        <v>27.333500000000001</v>
      </c>
      <c r="I12" s="26">
        <v>22.6357</v>
      </c>
      <c r="J12" s="26">
        <v>36.988799999999998</v>
      </c>
      <c r="K12" s="26">
        <v>29.957999999999998</v>
      </c>
      <c r="L12" s="26">
        <v>34.619999999999997</v>
      </c>
      <c r="M12" s="26">
        <v>31.560300000000002</v>
      </c>
      <c r="N12" s="26">
        <v>10</v>
      </c>
      <c r="O12" s="26">
        <v>31.715699999999998</v>
      </c>
      <c r="P12" s="26">
        <v>20.9589</v>
      </c>
      <c r="Q12" s="26">
        <v>25.070599999999999</v>
      </c>
      <c r="R12" s="26">
        <v>11.2059</v>
      </c>
      <c r="S12" s="26">
        <v>29.912199999999999</v>
      </c>
      <c r="T12" s="26">
        <v>23.206700000000001</v>
      </c>
      <c r="U12" s="26">
        <v>26.842700000000001</v>
      </c>
      <c r="V12" s="26">
        <v>26.937200000000001</v>
      </c>
      <c r="W12" s="26">
        <v>33.321399999999997</v>
      </c>
      <c r="X12" s="26">
        <v>32.659300000000002</v>
      </c>
      <c r="Y12" s="26">
        <v>29.559699999999999</v>
      </c>
      <c r="Z12" s="26">
        <v>30.157599999999999</v>
      </c>
      <c r="AA12" s="26">
        <v>24.3384</v>
      </c>
      <c r="AB12" s="26">
        <v>11.850099999999999</v>
      </c>
      <c r="AC12" s="26">
        <v>28.227799999999998</v>
      </c>
      <c r="AD12" s="26">
        <v>22.388500000000001</v>
      </c>
      <c r="AE12" s="26">
        <v>34.705399999999997</v>
      </c>
      <c r="AF12" s="26">
        <v>36.709699999999998</v>
      </c>
      <c r="AG12" s="26">
        <v>29.192</v>
      </c>
      <c r="AH12" s="26">
        <v>30.5855</v>
      </c>
      <c r="AI12" s="26">
        <v>10.3527</v>
      </c>
      <c r="AJ12" s="26">
        <v>28.0336</v>
      </c>
      <c r="AK12" s="26">
        <v>27.2011</v>
      </c>
      <c r="AL12" s="26">
        <v>29.142299999999999</v>
      </c>
      <c r="AM12" s="26">
        <v>30.222200000000001</v>
      </c>
      <c r="AN12" s="26">
        <v>25.9892</v>
      </c>
      <c r="AO12" s="26">
        <v>31.1753</v>
      </c>
      <c r="AP12" s="26">
        <v>36.709699999999998</v>
      </c>
      <c r="AQ12" s="26">
        <v>28.869499999999999</v>
      </c>
      <c r="AR12" s="26">
        <v>35.474499999999999</v>
      </c>
      <c r="AS12" s="26">
        <v>19.092099999999999</v>
      </c>
      <c r="AT12" s="26">
        <v>23.319299999999998</v>
      </c>
      <c r="AU12" s="26">
        <v>10</v>
      </c>
      <c r="AV12" s="26">
        <v>29.078800000000001</v>
      </c>
      <c r="AW12" s="26">
        <v>22.442299999999999</v>
      </c>
      <c r="AX12" s="26">
        <v>24.163900000000002</v>
      </c>
      <c r="AY12" s="26">
        <v>17.962800000000001</v>
      </c>
      <c r="AZ12" s="26">
        <v>26.319591836734698</v>
      </c>
      <c r="BA12" s="17">
        <v>1289.6600000000001</v>
      </c>
    </row>
    <row r="13" spans="1:53" x14ac:dyDescent="0.25">
      <c r="A13" s="24">
        <v>12</v>
      </c>
      <c r="B13" s="26">
        <v>5.5</v>
      </c>
      <c r="C13" s="26">
        <v>23.379899999999999</v>
      </c>
      <c r="D13" s="26">
        <v>31.586200000000002</v>
      </c>
      <c r="E13" s="26">
        <v>22.6724</v>
      </c>
      <c r="F13" s="26">
        <v>28.961600000000001</v>
      </c>
      <c r="G13" s="26">
        <v>37.127600000000001</v>
      </c>
      <c r="H13" s="26">
        <v>30.908300000000001</v>
      </c>
      <c r="I13" s="26">
        <v>24.199400000000001</v>
      </c>
      <c r="J13" s="26">
        <v>40.859499999999997</v>
      </c>
      <c r="K13" s="26">
        <v>34.648899999999998</v>
      </c>
      <c r="L13" s="26">
        <v>38.772099999999988</v>
      </c>
      <c r="M13" s="26">
        <v>32.840299999999999</v>
      </c>
      <c r="N13" s="26">
        <v>11.8788</v>
      </c>
      <c r="O13" s="26">
        <v>36.451700000000002</v>
      </c>
      <c r="P13" s="26">
        <v>24.089400000000001</v>
      </c>
      <c r="Q13" s="26">
        <v>26.244</v>
      </c>
      <c r="R13" s="26">
        <v>10</v>
      </c>
      <c r="S13" s="26">
        <v>33.706299999999999</v>
      </c>
      <c r="T13" s="26">
        <v>25.927299999999999</v>
      </c>
      <c r="U13" s="26">
        <v>29.401499999999999</v>
      </c>
      <c r="V13" s="26">
        <v>26.747900000000001</v>
      </c>
      <c r="W13" s="26">
        <v>37.910700000000013</v>
      </c>
      <c r="X13" s="26">
        <v>36.055900000000001</v>
      </c>
      <c r="Y13" s="26">
        <v>34.205399999999997</v>
      </c>
      <c r="Z13" s="26">
        <v>33.3003</v>
      </c>
      <c r="AA13" s="26">
        <v>25.758199999999999</v>
      </c>
      <c r="AB13" s="26">
        <v>14.722099999999999</v>
      </c>
      <c r="AC13" s="26">
        <v>31.5473</v>
      </c>
      <c r="AD13" s="26">
        <v>25.290800000000001</v>
      </c>
      <c r="AE13" s="26">
        <v>37.704900000000002</v>
      </c>
      <c r="AF13" s="26">
        <v>41.321599999999997</v>
      </c>
      <c r="AG13" s="26">
        <v>31.0488</v>
      </c>
      <c r="AH13" s="26">
        <v>35.389299999999999</v>
      </c>
      <c r="AI13" s="26">
        <v>13.004099999999999</v>
      </c>
      <c r="AJ13" s="26">
        <v>30.268799999999999</v>
      </c>
      <c r="AK13" s="26">
        <v>31.453900000000001</v>
      </c>
      <c r="AL13" s="26">
        <v>31.273099999999999</v>
      </c>
      <c r="AM13" s="26">
        <v>33.363300000000002</v>
      </c>
      <c r="AN13" s="26">
        <v>28.906300000000002</v>
      </c>
      <c r="AO13" s="26">
        <v>35.741999999999997</v>
      </c>
      <c r="AP13" s="26">
        <v>41.321599999999997</v>
      </c>
      <c r="AQ13" s="26">
        <v>32.212600000000002</v>
      </c>
      <c r="AR13" s="26">
        <v>38.132399999999997</v>
      </c>
      <c r="AS13" s="26">
        <v>21.813300000000002</v>
      </c>
      <c r="AT13" s="26">
        <v>25.6083</v>
      </c>
      <c r="AU13" s="26">
        <v>12.7118</v>
      </c>
      <c r="AV13" s="26">
        <v>32.1295</v>
      </c>
      <c r="AW13" s="26">
        <v>23.722200000000001</v>
      </c>
      <c r="AX13" s="26">
        <v>24.497</v>
      </c>
      <c r="AY13" s="26">
        <v>19.9116</v>
      </c>
      <c r="AZ13" s="26">
        <v>29.19857551020409</v>
      </c>
      <c r="BA13" s="17">
        <v>1430.7302</v>
      </c>
    </row>
    <row r="14" spans="1:53" x14ac:dyDescent="0.25">
      <c r="A14" s="24">
        <v>13</v>
      </c>
      <c r="B14" s="26">
        <v>6</v>
      </c>
      <c r="C14" s="26">
        <v>30.524999999999999</v>
      </c>
      <c r="D14" s="26">
        <v>37.069699999999997</v>
      </c>
      <c r="E14" s="26">
        <v>27.934899999999999</v>
      </c>
      <c r="F14" s="26">
        <v>34.703400000000002</v>
      </c>
      <c r="G14" s="26">
        <v>44.223599999999998</v>
      </c>
      <c r="H14" s="26">
        <v>38.688299999999998</v>
      </c>
      <c r="I14" s="26">
        <v>28.627600000000001</v>
      </c>
      <c r="J14" s="26">
        <v>47.322000000000003</v>
      </c>
      <c r="K14" s="26">
        <v>42.508000000000003</v>
      </c>
      <c r="L14" s="26">
        <v>46.267800000000001</v>
      </c>
      <c r="M14" s="26">
        <v>36.419699999999999</v>
      </c>
      <c r="N14" s="26">
        <v>15.414400000000001</v>
      </c>
      <c r="O14" s="26">
        <v>43.934399999999997</v>
      </c>
      <c r="P14" s="26">
        <v>30.284099999999999</v>
      </c>
      <c r="Q14" s="26">
        <v>27.950399999999998</v>
      </c>
      <c r="R14" s="26">
        <v>14.615399999999999</v>
      </c>
      <c r="S14" s="26">
        <v>38.977899999999998</v>
      </c>
      <c r="T14" s="26">
        <v>33.108800000000002</v>
      </c>
      <c r="U14" s="26">
        <v>35.311</v>
      </c>
      <c r="V14" s="26">
        <v>28.206399999999999</v>
      </c>
      <c r="W14" s="26">
        <v>44.6526</v>
      </c>
      <c r="X14" s="26">
        <v>43.835900000000002</v>
      </c>
      <c r="Y14" s="26">
        <v>40.283299999999997</v>
      </c>
      <c r="Z14" s="26">
        <v>40.552100000000003</v>
      </c>
      <c r="AA14" s="26">
        <v>29.500299999999999</v>
      </c>
      <c r="AB14" s="26">
        <v>21.885200000000001</v>
      </c>
      <c r="AC14" s="26">
        <v>38.268700000000003</v>
      </c>
      <c r="AD14" s="26">
        <v>32.991700000000002</v>
      </c>
      <c r="AE14" s="26">
        <v>43.169499999999999</v>
      </c>
      <c r="AF14" s="26">
        <v>49.077199999999998</v>
      </c>
      <c r="AG14" s="26">
        <v>36.6663</v>
      </c>
      <c r="AH14" s="26">
        <v>43.3613</v>
      </c>
      <c r="AI14" s="26">
        <v>17.132200000000001</v>
      </c>
      <c r="AJ14" s="26">
        <v>33.318199999999997</v>
      </c>
      <c r="AK14" s="26">
        <v>38.9694</v>
      </c>
      <c r="AL14" s="26">
        <v>33.7804</v>
      </c>
      <c r="AM14" s="26">
        <v>41.188499999999998</v>
      </c>
      <c r="AN14" s="26">
        <v>36.720199999999998</v>
      </c>
      <c r="AO14" s="26">
        <v>43.476799999999997</v>
      </c>
      <c r="AP14" s="26">
        <v>49.101599999999998</v>
      </c>
      <c r="AQ14" s="26">
        <v>37.931800000000003</v>
      </c>
      <c r="AR14" s="26">
        <v>42.770499999999998</v>
      </c>
      <c r="AS14" s="26">
        <v>28.7606</v>
      </c>
      <c r="AT14" s="26">
        <v>31.282299999999999</v>
      </c>
      <c r="AU14" s="26">
        <v>17.2745</v>
      </c>
      <c r="AV14" s="26">
        <v>37.904700000000012</v>
      </c>
      <c r="AW14" s="26">
        <v>25.410699999999999</v>
      </c>
      <c r="AX14" s="26">
        <v>26.392900000000001</v>
      </c>
      <c r="AY14" s="26">
        <v>22.8644</v>
      </c>
      <c r="AZ14" s="26">
        <v>34.910542857142858</v>
      </c>
      <c r="BA14" s="17">
        <v>1710.6166000000001</v>
      </c>
    </row>
    <row r="15" spans="1:53" x14ac:dyDescent="0.25">
      <c r="A15" s="24">
        <v>14</v>
      </c>
      <c r="B15" s="26">
        <v>6.5</v>
      </c>
      <c r="C15" s="26">
        <v>39.924900000000001</v>
      </c>
      <c r="D15" s="26">
        <v>48.385399999999997</v>
      </c>
      <c r="E15" s="26">
        <v>38.130699999999997</v>
      </c>
      <c r="F15" s="26">
        <v>41.704599999999999</v>
      </c>
      <c r="G15" s="26">
        <v>54.910899999999998</v>
      </c>
      <c r="H15" s="26">
        <v>49.141800000000003</v>
      </c>
      <c r="I15" s="26">
        <v>35.645500000000013</v>
      </c>
      <c r="J15" s="26">
        <v>56.764000000000003</v>
      </c>
      <c r="K15" s="26">
        <v>52.091099999999997</v>
      </c>
      <c r="L15" s="26">
        <v>57.526999999999987</v>
      </c>
      <c r="M15" s="26">
        <v>41.369699999999987</v>
      </c>
      <c r="N15" s="26">
        <v>19.369399999999999</v>
      </c>
      <c r="O15" s="26">
        <v>53.862099999999998</v>
      </c>
      <c r="P15" s="26">
        <v>40.4084</v>
      </c>
      <c r="Q15" s="26">
        <v>32.486199999999997</v>
      </c>
      <c r="R15" s="26">
        <v>19.926200000000001</v>
      </c>
      <c r="S15" s="26">
        <v>48.712499999999999</v>
      </c>
      <c r="T15" s="26">
        <v>42.185000000000002</v>
      </c>
      <c r="U15" s="26">
        <v>43.342399999999998</v>
      </c>
      <c r="V15" s="26">
        <v>31.5487</v>
      </c>
      <c r="W15" s="26">
        <v>55.923199999999987</v>
      </c>
      <c r="X15" s="26">
        <v>54.551799999999993</v>
      </c>
      <c r="Y15" s="26">
        <v>51.553800000000003</v>
      </c>
      <c r="Z15" s="26">
        <v>50.423699999999997</v>
      </c>
      <c r="AA15" s="26">
        <v>34.319400000000002</v>
      </c>
      <c r="AB15" s="26">
        <v>31.293900000000001</v>
      </c>
      <c r="AC15" s="26">
        <v>46.035600000000002</v>
      </c>
      <c r="AD15" s="26">
        <v>41.045699999999997</v>
      </c>
      <c r="AE15" s="26">
        <v>35.561</v>
      </c>
      <c r="AF15" s="26">
        <v>59.466799999999999</v>
      </c>
      <c r="AG15" s="26">
        <v>44.876399999999997</v>
      </c>
      <c r="AH15" s="26">
        <v>52.938099999999999</v>
      </c>
      <c r="AI15" s="26">
        <v>26.075500000000002</v>
      </c>
      <c r="AJ15" s="26">
        <v>40.252099999999999</v>
      </c>
      <c r="AK15" s="26">
        <v>50.319000000000003</v>
      </c>
      <c r="AL15" s="26">
        <v>38.770800000000001</v>
      </c>
      <c r="AM15" s="26">
        <v>51.311199999999999</v>
      </c>
      <c r="AN15" s="26">
        <v>46.166200000000003</v>
      </c>
      <c r="AO15" s="26">
        <v>53.588800000000013</v>
      </c>
      <c r="AP15" s="26">
        <v>60.338200000000001</v>
      </c>
      <c r="AQ15" s="26">
        <v>46.243600000000001</v>
      </c>
      <c r="AR15" s="26">
        <v>49.568899999999999</v>
      </c>
      <c r="AS15" s="26">
        <v>38.512300000000003</v>
      </c>
      <c r="AT15" s="26">
        <v>38.7562</v>
      </c>
      <c r="AU15" s="26">
        <v>26.310600000000001</v>
      </c>
      <c r="AV15" s="26">
        <v>47.548999999999999</v>
      </c>
      <c r="AW15" s="26">
        <v>30.128699999999998</v>
      </c>
      <c r="AX15" s="26">
        <v>29.893000000000001</v>
      </c>
      <c r="AY15" s="26">
        <v>26.328900000000001</v>
      </c>
      <c r="AZ15" s="26">
        <v>42.970181632653059</v>
      </c>
      <c r="BA15" s="17">
        <v>2105.5389</v>
      </c>
    </row>
    <row r="16" spans="1:53" x14ac:dyDescent="0.25">
      <c r="A16" s="24">
        <v>15</v>
      </c>
      <c r="B16" s="26">
        <v>7</v>
      </c>
      <c r="C16" s="26">
        <v>53.278199999999998</v>
      </c>
      <c r="D16" s="26">
        <v>62.451500000000003</v>
      </c>
      <c r="E16" s="26">
        <v>52.945600000000013</v>
      </c>
      <c r="F16" s="26">
        <v>52.6633</v>
      </c>
      <c r="G16" s="26">
        <v>69.703199999999995</v>
      </c>
      <c r="H16" s="26">
        <v>57.846400000000003</v>
      </c>
      <c r="I16" s="26">
        <v>44.715000000000003</v>
      </c>
      <c r="J16" s="26">
        <v>69.538299999999992</v>
      </c>
      <c r="K16" s="26">
        <v>66.906000000000006</v>
      </c>
      <c r="L16" s="26">
        <v>71.496200000000002</v>
      </c>
      <c r="M16" s="26">
        <v>48.069299999999998</v>
      </c>
      <c r="N16" s="26">
        <v>25.932700000000001</v>
      </c>
      <c r="O16" s="26">
        <v>68.722099999999998</v>
      </c>
      <c r="P16" s="26">
        <v>53.341200000000001</v>
      </c>
      <c r="Q16" s="26">
        <v>39.017400000000002</v>
      </c>
      <c r="R16" s="26">
        <v>26.853200000000001</v>
      </c>
      <c r="S16" s="26">
        <v>59.425700000000013</v>
      </c>
      <c r="T16" s="26">
        <v>56.446100000000001</v>
      </c>
      <c r="U16" s="26">
        <v>55.338299999999997</v>
      </c>
      <c r="V16" s="26">
        <v>35.886800000000001</v>
      </c>
      <c r="W16" s="26">
        <v>70.692900000000009</v>
      </c>
      <c r="X16" s="26">
        <v>68.593199999999996</v>
      </c>
      <c r="Y16" s="26">
        <v>65.534400000000005</v>
      </c>
      <c r="Z16" s="26">
        <v>64.527199999999993</v>
      </c>
      <c r="AA16" s="26">
        <v>43.35</v>
      </c>
      <c r="AB16" s="26">
        <v>46.142600000000002</v>
      </c>
      <c r="AC16" s="26">
        <v>58.843299999999999</v>
      </c>
      <c r="AD16" s="26">
        <v>55.702399999999997</v>
      </c>
      <c r="AE16" s="26">
        <v>43.789200000000001</v>
      </c>
      <c r="AF16" s="26">
        <v>72.768500000000003</v>
      </c>
      <c r="AG16" s="26">
        <v>54.018500000000003</v>
      </c>
      <c r="AH16" s="26">
        <v>67.865899999999996</v>
      </c>
      <c r="AI16" s="26">
        <v>37.8705</v>
      </c>
      <c r="AJ16" s="26">
        <v>47.090600000000002</v>
      </c>
      <c r="AK16" s="26">
        <v>64.318299999999994</v>
      </c>
      <c r="AL16" s="26">
        <v>44.863799999999998</v>
      </c>
      <c r="AM16" s="26">
        <v>65.289699999999996</v>
      </c>
      <c r="AN16" s="26">
        <v>59.801499999999997</v>
      </c>
      <c r="AO16" s="26">
        <v>68.196399999999997</v>
      </c>
      <c r="AP16" s="26">
        <v>75.073999999999998</v>
      </c>
      <c r="AQ16" s="26">
        <v>57.179699999999997</v>
      </c>
      <c r="AR16" s="26">
        <v>58.554299999999998</v>
      </c>
      <c r="AS16" s="26">
        <v>49.284999999999997</v>
      </c>
      <c r="AT16" s="26">
        <v>49.430900000000001</v>
      </c>
      <c r="AU16" s="26">
        <v>37.880899999999997</v>
      </c>
      <c r="AV16" s="26">
        <v>58.613599999999998</v>
      </c>
      <c r="AW16" s="26">
        <v>37.231200000000001</v>
      </c>
      <c r="AX16" s="26">
        <v>33.776200000000003</v>
      </c>
      <c r="AY16" s="26">
        <v>33.335500000000003</v>
      </c>
      <c r="AZ16" s="26">
        <v>54.289728571428547</v>
      </c>
      <c r="BA16" s="17">
        <v>2660.1966999999991</v>
      </c>
    </row>
    <row r="17" spans="1:53" x14ac:dyDescent="0.25">
      <c r="A17" s="24">
        <v>16</v>
      </c>
      <c r="B17" s="26">
        <v>7.5</v>
      </c>
      <c r="C17" s="26">
        <v>70.7637</v>
      </c>
      <c r="D17" s="26">
        <v>78.871099999999998</v>
      </c>
      <c r="E17" s="26">
        <v>69.407700000000006</v>
      </c>
      <c r="F17" s="26">
        <v>48.516800000000003</v>
      </c>
      <c r="G17" s="26">
        <v>87.438000000000002</v>
      </c>
      <c r="H17" s="26">
        <v>60.095599999999997</v>
      </c>
      <c r="I17" s="26">
        <v>52.584699999999998</v>
      </c>
      <c r="J17" s="26">
        <v>85.629100000000008</v>
      </c>
      <c r="K17" s="26">
        <v>84.149000000000001</v>
      </c>
      <c r="L17" s="26">
        <v>89.735699999999994</v>
      </c>
      <c r="M17" s="26">
        <v>56.867199999999997</v>
      </c>
      <c r="N17" s="26">
        <v>32.853200000000001</v>
      </c>
      <c r="O17" s="26">
        <v>87.063199999999995</v>
      </c>
      <c r="P17" s="26">
        <v>68.707899999999995</v>
      </c>
      <c r="Q17" s="26">
        <v>45.056199999999997</v>
      </c>
      <c r="R17" s="26">
        <v>37.991700000000002</v>
      </c>
      <c r="S17" s="26">
        <v>53.593699999999998</v>
      </c>
      <c r="T17" s="26">
        <v>73.264099999999999</v>
      </c>
      <c r="U17" s="26">
        <v>70.4495</v>
      </c>
      <c r="V17" s="26">
        <v>39.560899999999997</v>
      </c>
      <c r="W17" s="26">
        <v>88.943600000000004</v>
      </c>
      <c r="X17" s="26">
        <v>86.81</v>
      </c>
      <c r="Y17" s="26">
        <v>82.838200000000001</v>
      </c>
      <c r="Z17" s="26">
        <v>82.8005</v>
      </c>
      <c r="AA17" s="26">
        <v>52.568300000000001</v>
      </c>
      <c r="AB17" s="26">
        <v>63.7455</v>
      </c>
      <c r="AC17" s="26">
        <v>72.419899999999998</v>
      </c>
      <c r="AD17" s="26">
        <v>71.254799999999989</v>
      </c>
      <c r="AE17" s="26">
        <v>57.354900000000001</v>
      </c>
      <c r="AF17" s="26">
        <v>90.004300000000001</v>
      </c>
      <c r="AG17" s="26">
        <v>67.463700000000003</v>
      </c>
      <c r="AH17" s="26">
        <v>86.190599999999989</v>
      </c>
      <c r="AI17" s="26">
        <v>51.41</v>
      </c>
      <c r="AJ17" s="26">
        <v>58.387199999999993</v>
      </c>
      <c r="AK17" s="26">
        <v>82.648099999999999</v>
      </c>
      <c r="AL17" s="26">
        <v>52.287499999999987</v>
      </c>
      <c r="AM17" s="26">
        <v>83.551699999999997</v>
      </c>
      <c r="AN17" s="26">
        <v>77.782300000000006</v>
      </c>
      <c r="AO17" s="26">
        <v>86.368099999999998</v>
      </c>
      <c r="AP17" s="26">
        <v>92.748400000000004</v>
      </c>
      <c r="AQ17" s="26">
        <v>70.726500000000001</v>
      </c>
      <c r="AR17" s="26">
        <v>69.715400000000002</v>
      </c>
      <c r="AS17" s="26">
        <v>65.364500000000007</v>
      </c>
      <c r="AT17" s="26">
        <v>62.932600000000008</v>
      </c>
      <c r="AU17" s="26">
        <v>51.566000000000003</v>
      </c>
      <c r="AV17" s="26">
        <v>74.218800000000002</v>
      </c>
      <c r="AW17" s="26">
        <v>43.692799999999998</v>
      </c>
      <c r="AX17" s="26">
        <v>38.708500000000001</v>
      </c>
      <c r="AY17" s="26">
        <v>39.903399999999998</v>
      </c>
      <c r="AZ17" s="26">
        <v>67.285818367346934</v>
      </c>
      <c r="BA17" s="17">
        <v>3297.0050999999999</v>
      </c>
    </row>
    <row r="18" spans="1:53" x14ac:dyDescent="0.25">
      <c r="A18" s="24">
        <v>17</v>
      </c>
      <c r="B18" s="26">
        <v>8</v>
      </c>
      <c r="C18" s="26">
        <v>90.215699999999998</v>
      </c>
      <c r="D18" s="26">
        <v>100</v>
      </c>
      <c r="E18" s="26">
        <v>91.189700000000002</v>
      </c>
      <c r="F18" s="26">
        <v>64.434200000000004</v>
      </c>
      <c r="G18" s="26">
        <v>100</v>
      </c>
      <c r="H18" s="26">
        <v>80.116900000000001</v>
      </c>
      <c r="I18" s="26">
        <v>62.188200000000002</v>
      </c>
      <c r="J18" s="26">
        <v>100</v>
      </c>
      <c r="K18" s="26">
        <v>100</v>
      </c>
      <c r="L18" s="26">
        <v>100</v>
      </c>
      <c r="M18" s="26">
        <v>66.692700000000002</v>
      </c>
      <c r="N18" s="26">
        <v>42.9542</v>
      </c>
      <c r="O18" s="26">
        <v>100</v>
      </c>
      <c r="P18" s="26">
        <v>88.363900000000001</v>
      </c>
      <c r="Q18" s="26">
        <v>54.134899999999988</v>
      </c>
      <c r="R18" s="26">
        <v>49.294499999999999</v>
      </c>
      <c r="S18" s="26">
        <v>62.091200000000001</v>
      </c>
      <c r="T18" s="26">
        <v>93.075800000000001</v>
      </c>
      <c r="U18" s="26">
        <v>88.061900000000009</v>
      </c>
      <c r="V18" s="26">
        <v>42.573700000000002</v>
      </c>
      <c r="W18" s="26">
        <v>100</v>
      </c>
      <c r="X18" s="26">
        <v>100</v>
      </c>
      <c r="Y18" s="26">
        <v>100</v>
      </c>
      <c r="Z18" s="26">
        <v>100</v>
      </c>
      <c r="AA18" s="26">
        <v>65.953400000000002</v>
      </c>
      <c r="AB18" s="26">
        <v>82.252200000000002</v>
      </c>
      <c r="AC18" s="26">
        <v>88.070700000000002</v>
      </c>
      <c r="AD18" s="26">
        <v>92.360500000000002</v>
      </c>
      <c r="AE18" s="26">
        <v>73.039100000000005</v>
      </c>
      <c r="AF18" s="26">
        <v>100</v>
      </c>
      <c r="AG18" s="26">
        <v>81.908000000000001</v>
      </c>
      <c r="AH18" s="26">
        <v>100</v>
      </c>
      <c r="AI18" s="26">
        <v>68.302099999999996</v>
      </c>
      <c r="AJ18" s="26">
        <v>70.984300000000005</v>
      </c>
      <c r="AK18" s="26">
        <v>100</v>
      </c>
      <c r="AL18" s="26">
        <v>62.183200000000006</v>
      </c>
      <c r="AM18" s="26">
        <v>100</v>
      </c>
      <c r="AN18" s="26">
        <v>96.830100000000002</v>
      </c>
      <c r="AO18" s="26">
        <v>100</v>
      </c>
      <c r="AP18" s="26">
        <v>100</v>
      </c>
      <c r="AQ18" s="26">
        <v>86.887900000000002</v>
      </c>
      <c r="AR18" s="26">
        <v>83.055199999999999</v>
      </c>
      <c r="AS18" s="26">
        <v>83.627300000000005</v>
      </c>
      <c r="AT18" s="26">
        <v>79.0488</v>
      </c>
      <c r="AU18" s="26">
        <v>69.457800000000006</v>
      </c>
      <c r="AV18" s="26">
        <v>92.972200000000001</v>
      </c>
      <c r="AW18" s="26">
        <v>54.278899999999993</v>
      </c>
      <c r="AX18" s="26">
        <v>46.025500000000001</v>
      </c>
      <c r="AY18" s="26">
        <v>50.4923</v>
      </c>
      <c r="AZ18" s="26">
        <v>81.696265306122456</v>
      </c>
      <c r="BA18" s="17">
        <v>4003.1170000000002</v>
      </c>
    </row>
    <row r="19" spans="1:53" x14ac:dyDescent="0.25">
      <c r="A19" s="24">
        <v>18</v>
      </c>
      <c r="B19" s="26">
        <v>8.5</v>
      </c>
      <c r="C19" s="26">
        <v>74.602500000000006</v>
      </c>
      <c r="D19" s="26">
        <v>100</v>
      </c>
      <c r="E19" s="26">
        <v>100</v>
      </c>
      <c r="F19" s="26">
        <v>82.072299999999998</v>
      </c>
      <c r="G19" s="26">
        <v>100</v>
      </c>
      <c r="H19" s="26">
        <v>88.169299999999993</v>
      </c>
      <c r="I19" s="26">
        <v>76.719499999999996</v>
      </c>
      <c r="J19" s="26">
        <v>100</v>
      </c>
      <c r="K19" s="26">
        <v>100</v>
      </c>
      <c r="L19" s="26">
        <v>100</v>
      </c>
      <c r="M19" s="26">
        <v>76.025700000000001</v>
      </c>
      <c r="N19" s="26">
        <v>53.9268</v>
      </c>
      <c r="O19" s="26">
        <v>100</v>
      </c>
      <c r="P19" s="26">
        <v>100</v>
      </c>
      <c r="Q19" s="26">
        <v>57.3489</v>
      </c>
      <c r="R19" s="26">
        <v>64.656700000000001</v>
      </c>
      <c r="S19" s="26">
        <v>69.523099999999999</v>
      </c>
      <c r="T19" s="26">
        <v>100</v>
      </c>
      <c r="U19" s="26">
        <v>100</v>
      </c>
      <c r="V19" s="26">
        <v>49.4724</v>
      </c>
      <c r="W19" s="26">
        <v>100</v>
      </c>
      <c r="X19" s="26">
        <v>100</v>
      </c>
      <c r="Y19" s="26">
        <v>100</v>
      </c>
      <c r="Z19" s="26">
        <v>100</v>
      </c>
      <c r="AA19" s="26">
        <v>81.383399999999995</v>
      </c>
      <c r="AB19" s="26">
        <v>100</v>
      </c>
      <c r="AC19" s="26">
        <v>100</v>
      </c>
      <c r="AD19" s="26">
        <v>100</v>
      </c>
      <c r="AE19" s="26">
        <v>91.4876</v>
      </c>
      <c r="AF19" s="26">
        <v>100</v>
      </c>
      <c r="AG19" s="26">
        <v>98.843000000000004</v>
      </c>
      <c r="AH19" s="26">
        <v>100</v>
      </c>
      <c r="AI19" s="26">
        <v>90.023799999999994</v>
      </c>
      <c r="AJ19" s="26">
        <v>85.1006</v>
      </c>
      <c r="AK19" s="26">
        <v>100</v>
      </c>
      <c r="AL19" s="26">
        <v>73.066200000000009</v>
      </c>
      <c r="AM19" s="26">
        <v>100</v>
      </c>
      <c r="AN19" s="26">
        <v>100</v>
      </c>
      <c r="AO19" s="26">
        <v>100</v>
      </c>
      <c r="AP19" s="26">
        <v>100</v>
      </c>
      <c r="AQ19" s="26">
        <v>100</v>
      </c>
      <c r="AR19" s="26">
        <v>98.440000000000012</v>
      </c>
      <c r="AS19" s="26">
        <v>100</v>
      </c>
      <c r="AT19" s="26">
        <v>96.2988</v>
      </c>
      <c r="AU19" s="26">
        <v>90.299399999999991</v>
      </c>
      <c r="AV19" s="26">
        <v>100</v>
      </c>
      <c r="AW19" s="26">
        <v>54.8322</v>
      </c>
      <c r="AX19" s="26">
        <v>53.646599999999999</v>
      </c>
      <c r="AY19" s="26">
        <v>60.907699999999998</v>
      </c>
      <c r="AZ19" s="26">
        <v>89.119316326530623</v>
      </c>
      <c r="BA19" s="17">
        <v>4366.8465000000006</v>
      </c>
    </row>
    <row r="20" spans="1:53" x14ac:dyDescent="0.25">
      <c r="A20" s="24">
        <v>19</v>
      </c>
      <c r="B20" s="26">
        <v>9</v>
      </c>
      <c r="C20" s="26">
        <v>89.682099999999991</v>
      </c>
      <c r="D20" s="26">
        <v>100</v>
      </c>
      <c r="E20" s="26">
        <v>100</v>
      </c>
      <c r="F20" s="26">
        <v>96.697200000000009</v>
      </c>
      <c r="G20" s="26">
        <v>100</v>
      </c>
      <c r="H20" s="26">
        <v>100</v>
      </c>
      <c r="I20" s="26">
        <v>95.586500000000001</v>
      </c>
      <c r="J20" s="26">
        <v>100</v>
      </c>
      <c r="K20" s="26">
        <v>100</v>
      </c>
      <c r="L20" s="26">
        <v>100</v>
      </c>
      <c r="M20" s="26">
        <v>86.930099999999996</v>
      </c>
      <c r="N20" s="26">
        <v>67.015899999999988</v>
      </c>
      <c r="O20" s="26">
        <v>100</v>
      </c>
      <c r="P20" s="26">
        <v>100</v>
      </c>
      <c r="Q20" s="26">
        <v>70.115099999999998</v>
      </c>
      <c r="R20" s="26">
        <v>81.391800000000003</v>
      </c>
      <c r="S20" s="26">
        <v>73.716899999999995</v>
      </c>
      <c r="T20" s="26">
        <v>100</v>
      </c>
      <c r="U20" s="26">
        <v>100</v>
      </c>
      <c r="V20" s="26">
        <v>53.468200000000003</v>
      </c>
      <c r="W20" s="26">
        <v>100</v>
      </c>
      <c r="X20" s="26">
        <v>100</v>
      </c>
      <c r="Y20" s="26">
        <v>100</v>
      </c>
      <c r="Z20" s="26">
        <v>100</v>
      </c>
      <c r="AA20" s="26">
        <v>96.7102</v>
      </c>
      <c r="AB20" s="26">
        <v>100</v>
      </c>
      <c r="AC20" s="26">
        <v>100</v>
      </c>
      <c r="AD20" s="26">
        <v>100</v>
      </c>
      <c r="AE20" s="26">
        <v>100</v>
      </c>
      <c r="AF20" s="26">
        <v>100</v>
      </c>
      <c r="AG20" s="26">
        <v>100</v>
      </c>
      <c r="AH20" s="26">
        <v>100</v>
      </c>
      <c r="AI20" s="26">
        <v>100</v>
      </c>
      <c r="AJ20" s="26">
        <v>100</v>
      </c>
      <c r="AK20" s="26">
        <v>100</v>
      </c>
      <c r="AL20" s="26">
        <v>85.822200000000009</v>
      </c>
      <c r="AM20" s="26">
        <v>100</v>
      </c>
      <c r="AN20" s="26">
        <v>100</v>
      </c>
      <c r="AO20" s="26">
        <v>100</v>
      </c>
      <c r="AP20" s="26">
        <v>100</v>
      </c>
      <c r="AQ20" s="26">
        <v>100</v>
      </c>
      <c r="AR20" s="26">
        <v>100</v>
      </c>
      <c r="AS20" s="26">
        <v>100</v>
      </c>
      <c r="AT20" s="26">
        <v>100</v>
      </c>
      <c r="AU20" s="26">
        <v>100</v>
      </c>
      <c r="AV20" s="26">
        <v>100</v>
      </c>
      <c r="AW20" s="26">
        <v>67.138099999999994</v>
      </c>
      <c r="AX20" s="26">
        <v>62.728700000000003</v>
      </c>
      <c r="AY20" s="26">
        <v>72.435299999999998</v>
      </c>
      <c r="AZ20" s="26">
        <v>93.866087755102043</v>
      </c>
      <c r="BA20" s="17">
        <v>4599.4382999999998</v>
      </c>
    </row>
    <row r="21" spans="1:53" x14ac:dyDescent="0.25">
      <c r="A21" s="24">
        <v>20</v>
      </c>
      <c r="B21" s="26">
        <v>9.5</v>
      </c>
      <c r="C21" s="26">
        <v>100</v>
      </c>
      <c r="D21" s="26">
        <v>100</v>
      </c>
      <c r="E21" s="26">
        <v>100</v>
      </c>
      <c r="F21" s="26">
        <v>100</v>
      </c>
      <c r="G21" s="26">
        <v>100</v>
      </c>
      <c r="H21" s="26">
        <v>100</v>
      </c>
      <c r="I21" s="26">
        <v>100</v>
      </c>
      <c r="J21" s="26">
        <v>100</v>
      </c>
      <c r="K21" s="26">
        <v>100</v>
      </c>
      <c r="L21" s="26">
        <v>100</v>
      </c>
      <c r="M21" s="26">
        <v>100</v>
      </c>
      <c r="N21" s="26">
        <v>81.714399999999998</v>
      </c>
      <c r="O21" s="26">
        <v>100</v>
      </c>
      <c r="P21" s="26">
        <v>100</v>
      </c>
      <c r="Q21" s="26">
        <v>84.317499999999995</v>
      </c>
      <c r="R21" s="26">
        <v>95.164699999999996</v>
      </c>
      <c r="S21" s="26">
        <v>86.441800000000001</v>
      </c>
      <c r="T21" s="26">
        <v>100</v>
      </c>
      <c r="U21" s="26">
        <v>100</v>
      </c>
      <c r="V21" s="26">
        <v>64.730699999999999</v>
      </c>
      <c r="W21" s="26">
        <v>100</v>
      </c>
      <c r="X21" s="26">
        <v>100</v>
      </c>
      <c r="Y21" s="26">
        <v>100</v>
      </c>
      <c r="Z21" s="26">
        <v>100</v>
      </c>
      <c r="AA21" s="26">
        <v>100</v>
      </c>
      <c r="AB21" s="26">
        <v>100</v>
      </c>
      <c r="AC21" s="26">
        <v>100</v>
      </c>
      <c r="AD21" s="26">
        <v>100</v>
      </c>
      <c r="AE21" s="26">
        <v>100</v>
      </c>
      <c r="AF21" s="26">
        <v>100</v>
      </c>
      <c r="AG21" s="26">
        <v>100</v>
      </c>
      <c r="AH21" s="26">
        <v>100</v>
      </c>
      <c r="AI21" s="26">
        <v>100</v>
      </c>
      <c r="AJ21" s="26">
        <v>96.959400000000002</v>
      </c>
      <c r="AK21" s="26">
        <v>100</v>
      </c>
      <c r="AL21" s="26">
        <v>100</v>
      </c>
      <c r="AM21" s="26">
        <v>100</v>
      </c>
      <c r="AN21" s="26">
        <v>100</v>
      </c>
      <c r="AO21" s="26">
        <v>100</v>
      </c>
      <c r="AP21" s="26">
        <v>100</v>
      </c>
      <c r="AQ21" s="26">
        <v>100</v>
      </c>
      <c r="AR21" s="26">
        <v>100</v>
      </c>
      <c r="AS21" s="26">
        <v>100</v>
      </c>
      <c r="AT21" s="26">
        <v>100</v>
      </c>
      <c r="AU21" s="26">
        <v>100</v>
      </c>
      <c r="AV21" s="26">
        <v>100</v>
      </c>
      <c r="AW21" s="26">
        <v>81.109200000000001</v>
      </c>
      <c r="AX21" s="26">
        <v>71.962499999999991</v>
      </c>
      <c r="AY21" s="26">
        <v>87.024900000000002</v>
      </c>
      <c r="AZ21" s="26">
        <v>96.927042857142851</v>
      </c>
      <c r="BA21" s="17">
        <v>4749.4250999999986</v>
      </c>
    </row>
    <row r="22" spans="1:53" x14ac:dyDescent="0.25">
      <c r="A22" s="24">
        <v>21</v>
      </c>
      <c r="B22" s="26">
        <v>10</v>
      </c>
      <c r="C22" s="26">
        <v>100</v>
      </c>
      <c r="D22" s="26">
        <v>100</v>
      </c>
      <c r="E22" s="26">
        <v>100</v>
      </c>
      <c r="F22" s="26">
        <v>100</v>
      </c>
      <c r="G22" s="26">
        <v>100</v>
      </c>
      <c r="H22" s="26">
        <v>100</v>
      </c>
      <c r="I22" s="26">
        <v>100</v>
      </c>
      <c r="J22" s="26">
        <v>100</v>
      </c>
      <c r="K22" s="26">
        <v>100</v>
      </c>
      <c r="L22" s="26">
        <v>100</v>
      </c>
      <c r="M22" s="26">
        <v>100</v>
      </c>
      <c r="N22" s="26">
        <v>94.796899999999994</v>
      </c>
      <c r="O22" s="26">
        <v>100</v>
      </c>
      <c r="P22" s="26">
        <v>100</v>
      </c>
      <c r="Q22" s="26">
        <v>100</v>
      </c>
      <c r="R22" s="26">
        <v>99.314000000000007</v>
      </c>
      <c r="S22" s="26">
        <v>100</v>
      </c>
      <c r="T22" s="26">
        <v>100</v>
      </c>
      <c r="U22" s="26">
        <v>100</v>
      </c>
      <c r="V22" s="26">
        <v>76.455399999999997</v>
      </c>
      <c r="W22" s="26">
        <v>100</v>
      </c>
      <c r="X22" s="26">
        <v>100</v>
      </c>
      <c r="Y22" s="26">
        <v>100</v>
      </c>
      <c r="Z22" s="26">
        <v>100</v>
      </c>
      <c r="AA22" s="26">
        <v>100</v>
      </c>
      <c r="AB22" s="26">
        <v>100</v>
      </c>
      <c r="AC22" s="26">
        <v>100</v>
      </c>
      <c r="AD22" s="26">
        <v>100</v>
      </c>
      <c r="AE22" s="26">
        <v>100</v>
      </c>
      <c r="AF22" s="26">
        <v>100</v>
      </c>
      <c r="AG22" s="26">
        <v>100</v>
      </c>
      <c r="AH22" s="26">
        <v>100</v>
      </c>
      <c r="AI22" s="26">
        <v>100</v>
      </c>
      <c r="AJ22" s="26">
        <v>100</v>
      </c>
      <c r="AK22" s="26">
        <v>100</v>
      </c>
      <c r="AL22" s="26">
        <v>100</v>
      </c>
      <c r="AM22" s="26">
        <v>100</v>
      </c>
      <c r="AN22" s="26">
        <v>100</v>
      </c>
      <c r="AO22" s="26">
        <v>99.869399999999999</v>
      </c>
      <c r="AP22" s="26">
        <v>100</v>
      </c>
      <c r="AQ22" s="26">
        <v>100</v>
      </c>
      <c r="AR22" s="26">
        <v>100</v>
      </c>
      <c r="AS22" s="26">
        <v>100</v>
      </c>
      <c r="AT22" s="26">
        <v>100</v>
      </c>
      <c r="AU22" s="26">
        <v>100</v>
      </c>
      <c r="AV22" s="26">
        <v>100</v>
      </c>
      <c r="AW22" s="26">
        <v>95.273699999999991</v>
      </c>
      <c r="AX22" s="26">
        <v>82.300399999999996</v>
      </c>
      <c r="AY22" s="26">
        <v>100</v>
      </c>
      <c r="AZ22" s="26">
        <v>98.938975510204074</v>
      </c>
      <c r="BA22" s="17">
        <v>4848.0097999999998</v>
      </c>
    </row>
    <row r="23" spans="1:53" x14ac:dyDescent="0.25">
      <c r="A23" s="24">
        <v>22</v>
      </c>
      <c r="B23" s="26">
        <v>10.5</v>
      </c>
      <c r="C23" s="26">
        <v>100</v>
      </c>
      <c r="D23" s="26">
        <v>100</v>
      </c>
      <c r="E23" s="26">
        <v>100</v>
      </c>
      <c r="F23" s="26">
        <v>100</v>
      </c>
      <c r="G23" s="26">
        <v>100</v>
      </c>
      <c r="H23" s="26">
        <v>100</v>
      </c>
      <c r="I23" s="26">
        <v>100</v>
      </c>
      <c r="J23" s="26">
        <v>100</v>
      </c>
      <c r="K23" s="26">
        <v>100</v>
      </c>
      <c r="L23" s="26">
        <v>100</v>
      </c>
      <c r="M23" s="26">
        <v>100</v>
      </c>
      <c r="N23" s="26">
        <v>100</v>
      </c>
      <c r="O23" s="26">
        <v>100</v>
      </c>
      <c r="P23" s="26">
        <v>100</v>
      </c>
      <c r="Q23" s="26">
        <v>100</v>
      </c>
      <c r="R23" s="26">
        <v>100</v>
      </c>
      <c r="S23" s="26">
        <v>100</v>
      </c>
      <c r="T23" s="26">
        <v>100</v>
      </c>
      <c r="U23" s="26">
        <v>100</v>
      </c>
      <c r="V23" s="26">
        <v>87.418099999999995</v>
      </c>
      <c r="W23" s="26">
        <v>100</v>
      </c>
      <c r="X23" s="26">
        <v>100</v>
      </c>
      <c r="Y23" s="26">
        <v>100</v>
      </c>
      <c r="Z23" s="26">
        <v>100</v>
      </c>
      <c r="AA23" s="26">
        <v>100</v>
      </c>
      <c r="AB23" s="26">
        <v>100</v>
      </c>
      <c r="AC23" s="26">
        <v>100</v>
      </c>
      <c r="AD23" s="26">
        <v>100</v>
      </c>
      <c r="AE23" s="26">
        <v>100</v>
      </c>
      <c r="AF23" s="26">
        <v>100</v>
      </c>
      <c r="AG23" s="26">
        <v>100</v>
      </c>
      <c r="AH23" s="26">
        <v>100</v>
      </c>
      <c r="AI23" s="26">
        <v>100</v>
      </c>
      <c r="AJ23" s="26">
        <v>100</v>
      </c>
      <c r="AK23" s="26">
        <v>100</v>
      </c>
      <c r="AL23" s="26">
        <v>100</v>
      </c>
      <c r="AM23" s="26">
        <v>100</v>
      </c>
      <c r="AN23" s="26">
        <v>100</v>
      </c>
      <c r="AO23" s="26">
        <v>100</v>
      </c>
      <c r="AP23" s="26">
        <v>100</v>
      </c>
      <c r="AQ23" s="26">
        <v>100</v>
      </c>
      <c r="AR23" s="26">
        <v>100</v>
      </c>
      <c r="AS23" s="26">
        <v>100</v>
      </c>
      <c r="AT23" s="26">
        <v>100</v>
      </c>
      <c r="AU23" s="26">
        <v>100</v>
      </c>
      <c r="AV23" s="26">
        <v>100</v>
      </c>
      <c r="AW23" s="26">
        <v>100</v>
      </c>
      <c r="AX23" s="26">
        <v>91.083199999999991</v>
      </c>
      <c r="AY23" s="26">
        <v>100</v>
      </c>
      <c r="AZ23" s="26">
        <v>99.561251020408164</v>
      </c>
      <c r="BA23" s="17">
        <v>4878.5012999999999</v>
      </c>
    </row>
    <row r="24" spans="1:53" x14ac:dyDescent="0.25">
      <c r="A24" s="24">
        <v>23</v>
      </c>
      <c r="B24" s="26">
        <v>11</v>
      </c>
      <c r="C24" s="26">
        <v>100</v>
      </c>
      <c r="D24" s="26">
        <v>100</v>
      </c>
      <c r="E24" s="26">
        <v>100</v>
      </c>
      <c r="F24" s="26">
        <v>100</v>
      </c>
      <c r="G24" s="26">
        <v>100</v>
      </c>
      <c r="H24" s="26">
        <v>100</v>
      </c>
      <c r="I24" s="26">
        <v>100</v>
      </c>
      <c r="J24" s="26">
        <v>100</v>
      </c>
      <c r="K24" s="26">
        <v>100</v>
      </c>
      <c r="L24" s="26">
        <v>100</v>
      </c>
      <c r="M24" s="26">
        <v>100</v>
      </c>
      <c r="N24" s="26">
        <v>100</v>
      </c>
      <c r="O24" s="26">
        <v>100</v>
      </c>
      <c r="P24" s="26">
        <v>100</v>
      </c>
      <c r="Q24" s="26">
        <v>100</v>
      </c>
      <c r="R24" s="26">
        <v>98.280199999999994</v>
      </c>
      <c r="S24" s="26">
        <v>100</v>
      </c>
      <c r="T24" s="26">
        <v>100</v>
      </c>
      <c r="U24" s="26">
        <v>100</v>
      </c>
      <c r="V24" s="26">
        <v>100</v>
      </c>
      <c r="W24" s="26">
        <v>100</v>
      </c>
      <c r="X24" s="26">
        <v>100</v>
      </c>
      <c r="Y24" s="26">
        <v>100</v>
      </c>
      <c r="Z24" s="26">
        <v>100</v>
      </c>
      <c r="AA24" s="26">
        <v>100</v>
      </c>
      <c r="AB24" s="26">
        <v>100</v>
      </c>
      <c r="AC24" s="26">
        <v>100</v>
      </c>
      <c r="AD24" s="26">
        <v>100</v>
      </c>
      <c r="AE24" s="26">
        <v>100</v>
      </c>
      <c r="AF24" s="26">
        <v>100</v>
      </c>
      <c r="AG24" s="26">
        <v>100</v>
      </c>
      <c r="AH24" s="26">
        <v>100</v>
      </c>
      <c r="AI24" s="26">
        <v>100</v>
      </c>
      <c r="AJ24" s="26">
        <v>100</v>
      </c>
      <c r="AK24" s="26">
        <v>100</v>
      </c>
      <c r="AL24" s="26">
        <v>100</v>
      </c>
      <c r="AM24" s="26">
        <v>100</v>
      </c>
      <c r="AN24" s="26">
        <v>100</v>
      </c>
      <c r="AO24" s="26">
        <v>100</v>
      </c>
      <c r="AP24" s="26">
        <v>100</v>
      </c>
      <c r="AQ24" s="26">
        <v>100</v>
      </c>
      <c r="AR24" s="26">
        <v>100</v>
      </c>
      <c r="AS24" s="26">
        <v>100</v>
      </c>
      <c r="AT24" s="26">
        <v>100</v>
      </c>
      <c r="AU24" s="26">
        <v>100</v>
      </c>
      <c r="AV24" s="26">
        <v>100</v>
      </c>
      <c r="AW24" s="26">
        <v>100</v>
      </c>
      <c r="AX24" s="26">
        <v>100</v>
      </c>
      <c r="AY24" s="26">
        <v>100</v>
      </c>
      <c r="AZ24" s="26">
        <v>99.964902040816327</v>
      </c>
      <c r="BA24" s="17">
        <v>4898.2802000000001</v>
      </c>
    </row>
    <row r="25" spans="1:53" x14ac:dyDescent="0.25">
      <c r="A25" s="24">
        <v>24</v>
      </c>
      <c r="B25" s="26">
        <v>11.5</v>
      </c>
      <c r="C25" s="26">
        <v>100</v>
      </c>
      <c r="D25" s="26">
        <v>100</v>
      </c>
      <c r="E25" s="26">
        <v>100</v>
      </c>
      <c r="F25" s="26">
        <v>100</v>
      </c>
      <c r="G25" s="26">
        <v>100</v>
      </c>
      <c r="H25" s="26">
        <v>100</v>
      </c>
      <c r="I25" s="26">
        <v>100</v>
      </c>
      <c r="J25" s="26">
        <v>98.140500000000003</v>
      </c>
      <c r="K25" s="26">
        <v>100</v>
      </c>
      <c r="L25" s="26">
        <v>100</v>
      </c>
      <c r="M25" s="26">
        <v>100</v>
      </c>
      <c r="N25" s="26">
        <v>100</v>
      </c>
      <c r="O25" s="26">
        <v>100</v>
      </c>
      <c r="P25" s="26">
        <v>100</v>
      </c>
      <c r="Q25" s="26">
        <v>100</v>
      </c>
      <c r="R25" s="26">
        <v>92.722200000000001</v>
      </c>
      <c r="S25" s="26">
        <v>100</v>
      </c>
      <c r="T25" s="26">
        <v>100</v>
      </c>
      <c r="U25" s="26">
        <v>100</v>
      </c>
      <c r="V25" s="26">
        <v>100</v>
      </c>
      <c r="W25" s="26">
        <v>100</v>
      </c>
      <c r="X25" s="26">
        <v>100</v>
      </c>
      <c r="Y25" s="26">
        <v>100</v>
      </c>
      <c r="Z25" s="26">
        <v>100</v>
      </c>
      <c r="AA25" s="26">
        <v>100</v>
      </c>
      <c r="AB25" s="26">
        <v>100</v>
      </c>
      <c r="AC25" s="26">
        <v>100</v>
      </c>
      <c r="AD25" s="26">
        <v>100</v>
      </c>
      <c r="AE25" s="26">
        <v>100</v>
      </c>
      <c r="AF25" s="26">
        <v>100</v>
      </c>
      <c r="AG25" s="26">
        <v>100</v>
      </c>
      <c r="AH25" s="26">
        <v>100</v>
      </c>
      <c r="AI25" s="26">
        <v>100</v>
      </c>
      <c r="AJ25" s="26">
        <v>100</v>
      </c>
      <c r="AK25" s="26">
        <v>100</v>
      </c>
      <c r="AL25" s="26">
        <v>100</v>
      </c>
      <c r="AM25" s="26">
        <v>100</v>
      </c>
      <c r="AN25" s="26">
        <v>100</v>
      </c>
      <c r="AO25" s="26">
        <v>100</v>
      </c>
      <c r="AP25" s="26">
        <v>100</v>
      </c>
      <c r="AQ25" s="26">
        <v>100</v>
      </c>
      <c r="AR25" s="26">
        <v>100</v>
      </c>
      <c r="AS25" s="26">
        <v>100</v>
      </c>
      <c r="AT25" s="26">
        <v>100</v>
      </c>
      <c r="AU25" s="26">
        <v>100</v>
      </c>
      <c r="AV25" s="26">
        <v>100</v>
      </c>
      <c r="AW25" s="26">
        <v>100</v>
      </c>
      <c r="AX25" s="26">
        <v>100</v>
      </c>
      <c r="AY25" s="26">
        <v>100</v>
      </c>
      <c r="AZ25" s="26">
        <v>99.81352448979591</v>
      </c>
      <c r="BA25" s="17">
        <v>4890.8626999999997</v>
      </c>
    </row>
    <row r="26" spans="1:53" x14ac:dyDescent="0.25">
      <c r="A26" s="24">
        <v>25</v>
      </c>
      <c r="B26" s="26">
        <v>12</v>
      </c>
      <c r="C26" s="26">
        <v>100</v>
      </c>
      <c r="D26" s="26">
        <v>100</v>
      </c>
      <c r="E26" s="26">
        <v>100</v>
      </c>
      <c r="F26" s="26">
        <v>100</v>
      </c>
      <c r="G26" s="26">
        <v>100</v>
      </c>
      <c r="H26" s="26">
        <v>100</v>
      </c>
      <c r="I26" s="26">
        <v>100</v>
      </c>
      <c r="J26" s="26">
        <v>100</v>
      </c>
      <c r="K26" s="26">
        <v>100</v>
      </c>
      <c r="L26" s="26">
        <v>100</v>
      </c>
      <c r="M26" s="26">
        <v>100</v>
      </c>
      <c r="N26" s="26">
        <v>100</v>
      </c>
      <c r="O26" s="26">
        <v>100</v>
      </c>
      <c r="P26" s="26">
        <v>100</v>
      </c>
      <c r="Q26" s="26">
        <v>100</v>
      </c>
      <c r="R26" s="26">
        <v>94.572100000000006</v>
      </c>
      <c r="S26" s="26">
        <v>100</v>
      </c>
      <c r="T26" s="26">
        <v>100</v>
      </c>
      <c r="U26" s="26">
        <v>100</v>
      </c>
      <c r="V26" s="26">
        <v>100</v>
      </c>
      <c r="W26" s="26">
        <v>100</v>
      </c>
      <c r="X26" s="26">
        <v>100</v>
      </c>
      <c r="Y26" s="26">
        <v>100</v>
      </c>
      <c r="Z26" s="26">
        <v>100</v>
      </c>
      <c r="AA26" s="26">
        <v>100</v>
      </c>
      <c r="AB26" s="26">
        <v>100</v>
      </c>
      <c r="AC26" s="26">
        <v>100</v>
      </c>
      <c r="AD26" s="26">
        <v>100</v>
      </c>
      <c r="AE26" s="26">
        <v>100</v>
      </c>
      <c r="AF26" s="26">
        <v>100</v>
      </c>
      <c r="AG26" s="26">
        <v>100</v>
      </c>
      <c r="AH26" s="26">
        <v>100</v>
      </c>
      <c r="AI26" s="26">
        <v>100</v>
      </c>
      <c r="AJ26" s="26">
        <v>100</v>
      </c>
      <c r="AK26" s="26">
        <v>100</v>
      </c>
      <c r="AL26" s="26">
        <v>100</v>
      </c>
      <c r="AM26" s="26">
        <v>100</v>
      </c>
      <c r="AN26" s="26">
        <v>100</v>
      </c>
      <c r="AO26" s="26">
        <v>100</v>
      </c>
      <c r="AP26" s="26">
        <v>100</v>
      </c>
      <c r="AQ26" s="26">
        <v>100</v>
      </c>
      <c r="AR26" s="26">
        <v>100</v>
      </c>
      <c r="AS26" s="26">
        <v>100</v>
      </c>
      <c r="AT26" s="26">
        <v>100</v>
      </c>
      <c r="AU26" s="26">
        <v>100</v>
      </c>
      <c r="AV26" s="26">
        <v>100</v>
      </c>
      <c r="AW26" s="26">
        <v>100</v>
      </c>
      <c r="AX26" s="26">
        <v>100</v>
      </c>
      <c r="AY26" s="26">
        <v>100</v>
      </c>
      <c r="AZ26" s="26">
        <v>99.889226530612248</v>
      </c>
      <c r="BA26" s="17">
        <v>4894.5721000000003</v>
      </c>
    </row>
    <row r="27" spans="1:53" x14ac:dyDescent="0.25">
      <c r="A27" s="24">
        <v>26</v>
      </c>
      <c r="B27" s="26">
        <v>12.5</v>
      </c>
      <c r="C27" s="26">
        <v>100</v>
      </c>
      <c r="D27" s="26">
        <v>100</v>
      </c>
      <c r="E27" s="26">
        <v>100</v>
      </c>
      <c r="F27" s="26">
        <v>100</v>
      </c>
      <c r="G27" s="26">
        <v>100</v>
      </c>
      <c r="H27" s="26">
        <v>100</v>
      </c>
      <c r="I27" s="26">
        <v>100</v>
      </c>
      <c r="J27" s="26">
        <v>100</v>
      </c>
      <c r="K27" s="26">
        <v>100</v>
      </c>
      <c r="L27" s="26">
        <v>100</v>
      </c>
      <c r="M27" s="26">
        <v>100</v>
      </c>
      <c r="N27" s="26">
        <v>100</v>
      </c>
      <c r="O27" s="26">
        <v>100</v>
      </c>
      <c r="P27" s="26">
        <v>100</v>
      </c>
      <c r="Q27" s="26">
        <v>100</v>
      </c>
      <c r="R27" s="26">
        <v>100</v>
      </c>
      <c r="S27" s="26">
        <v>100</v>
      </c>
      <c r="T27" s="26">
        <v>100</v>
      </c>
      <c r="U27" s="26">
        <v>100</v>
      </c>
      <c r="V27" s="26">
        <v>100</v>
      </c>
      <c r="W27" s="26">
        <v>100</v>
      </c>
      <c r="X27" s="26">
        <v>100</v>
      </c>
      <c r="Y27" s="26">
        <v>100</v>
      </c>
      <c r="Z27" s="26">
        <v>100</v>
      </c>
      <c r="AA27" s="26">
        <v>100</v>
      </c>
      <c r="AB27" s="26">
        <v>100</v>
      </c>
      <c r="AC27" s="26">
        <v>100</v>
      </c>
      <c r="AD27" s="26">
        <v>100</v>
      </c>
      <c r="AE27" s="26">
        <v>100</v>
      </c>
      <c r="AF27" s="26">
        <v>100</v>
      </c>
      <c r="AG27" s="26">
        <v>100</v>
      </c>
      <c r="AH27" s="26">
        <v>100</v>
      </c>
      <c r="AI27" s="26">
        <v>100</v>
      </c>
      <c r="AJ27" s="26">
        <v>100</v>
      </c>
      <c r="AK27" s="26">
        <v>100</v>
      </c>
      <c r="AL27" s="26">
        <v>100</v>
      </c>
      <c r="AM27" s="26">
        <v>100</v>
      </c>
      <c r="AN27" s="26">
        <v>100</v>
      </c>
      <c r="AO27" s="26">
        <v>100</v>
      </c>
      <c r="AP27" s="26">
        <v>100</v>
      </c>
      <c r="AQ27" s="26">
        <v>100</v>
      </c>
      <c r="AR27" s="26">
        <v>100</v>
      </c>
      <c r="AS27" s="26">
        <v>100</v>
      </c>
      <c r="AT27" s="26">
        <v>100</v>
      </c>
      <c r="AU27" s="26">
        <v>100</v>
      </c>
      <c r="AV27" s="26">
        <v>100</v>
      </c>
      <c r="AW27" s="26">
        <v>100</v>
      </c>
      <c r="AX27" s="26">
        <v>100</v>
      </c>
      <c r="AY27" s="26">
        <v>100</v>
      </c>
      <c r="AZ27" s="26">
        <v>100</v>
      </c>
      <c r="BA27" s="17">
        <v>4900</v>
      </c>
    </row>
    <row r="28" spans="1:53" x14ac:dyDescent="0.25">
      <c r="A28" s="24">
        <v>27</v>
      </c>
      <c r="B28" s="26">
        <v>13</v>
      </c>
      <c r="C28" s="26">
        <v>100</v>
      </c>
      <c r="D28" s="26">
        <v>100</v>
      </c>
      <c r="E28" s="26">
        <v>100</v>
      </c>
      <c r="F28" s="26">
        <v>100</v>
      </c>
      <c r="G28" s="26">
        <v>100</v>
      </c>
      <c r="H28" s="26">
        <v>100</v>
      </c>
      <c r="I28" s="26">
        <v>100</v>
      </c>
      <c r="J28" s="26">
        <v>100</v>
      </c>
      <c r="K28" s="26">
        <v>100</v>
      </c>
      <c r="L28" s="26">
        <v>100</v>
      </c>
      <c r="M28" s="26">
        <v>100</v>
      </c>
      <c r="N28" s="26">
        <v>100</v>
      </c>
      <c r="O28" s="26">
        <v>100</v>
      </c>
      <c r="P28" s="26">
        <v>100</v>
      </c>
      <c r="Q28" s="26">
        <v>100</v>
      </c>
      <c r="R28" s="26">
        <v>100</v>
      </c>
      <c r="S28" s="26">
        <v>100</v>
      </c>
      <c r="T28" s="26">
        <v>100</v>
      </c>
      <c r="U28" s="26">
        <v>100</v>
      </c>
      <c r="V28" s="26">
        <v>100</v>
      </c>
      <c r="W28" s="26">
        <v>100</v>
      </c>
      <c r="X28" s="26">
        <v>100</v>
      </c>
      <c r="Y28" s="26">
        <v>100</v>
      </c>
      <c r="Z28" s="26">
        <v>100</v>
      </c>
      <c r="AA28" s="26">
        <v>100</v>
      </c>
      <c r="AB28" s="26">
        <v>100</v>
      </c>
      <c r="AC28" s="26">
        <v>100</v>
      </c>
      <c r="AD28" s="26">
        <v>100</v>
      </c>
      <c r="AE28" s="26">
        <v>100</v>
      </c>
      <c r="AF28" s="26">
        <v>100</v>
      </c>
      <c r="AG28" s="26">
        <v>100</v>
      </c>
      <c r="AH28" s="26">
        <v>100</v>
      </c>
      <c r="AI28" s="26">
        <v>100</v>
      </c>
      <c r="AJ28" s="26">
        <v>100</v>
      </c>
      <c r="AK28" s="26">
        <v>100</v>
      </c>
      <c r="AL28" s="26">
        <v>100</v>
      </c>
      <c r="AM28" s="26">
        <v>100</v>
      </c>
      <c r="AN28" s="26">
        <v>100</v>
      </c>
      <c r="AO28" s="26">
        <v>100</v>
      </c>
      <c r="AP28" s="26">
        <v>100</v>
      </c>
      <c r="AQ28" s="26">
        <v>100</v>
      </c>
      <c r="AR28" s="26">
        <v>100</v>
      </c>
      <c r="AS28" s="26">
        <v>100</v>
      </c>
      <c r="AT28" s="26">
        <v>100</v>
      </c>
      <c r="AU28" s="26">
        <v>100</v>
      </c>
      <c r="AV28" s="26">
        <v>100</v>
      </c>
      <c r="AW28" s="26">
        <v>100</v>
      </c>
      <c r="AX28" s="26">
        <v>100</v>
      </c>
      <c r="AY28" s="26">
        <v>100</v>
      </c>
      <c r="AZ28" s="26">
        <v>100</v>
      </c>
      <c r="BA28" s="17">
        <v>4900</v>
      </c>
    </row>
    <row r="29" spans="1:53" x14ac:dyDescent="0.25">
      <c r="A29" s="24">
        <v>28</v>
      </c>
      <c r="B29" s="26">
        <v>13.5</v>
      </c>
      <c r="C29" s="26">
        <v>100</v>
      </c>
      <c r="D29" s="26">
        <v>100</v>
      </c>
      <c r="E29" s="26">
        <v>100</v>
      </c>
      <c r="F29" s="26">
        <v>100</v>
      </c>
      <c r="G29" s="26">
        <v>100</v>
      </c>
      <c r="H29" s="26">
        <v>100</v>
      </c>
      <c r="I29" s="26">
        <v>100</v>
      </c>
      <c r="J29" s="26">
        <v>100</v>
      </c>
      <c r="K29" s="26">
        <v>100</v>
      </c>
      <c r="L29" s="26">
        <v>100</v>
      </c>
      <c r="M29" s="26">
        <v>100</v>
      </c>
      <c r="N29" s="26">
        <v>100</v>
      </c>
      <c r="O29" s="26">
        <v>90.094700000000003</v>
      </c>
      <c r="P29" s="26">
        <v>100</v>
      </c>
      <c r="Q29" s="26">
        <v>100</v>
      </c>
      <c r="R29" s="26">
        <v>100</v>
      </c>
      <c r="S29" s="26">
        <v>100</v>
      </c>
      <c r="T29" s="26">
        <v>100</v>
      </c>
      <c r="U29" s="26">
        <v>100</v>
      </c>
      <c r="V29" s="26">
        <v>100</v>
      </c>
      <c r="W29" s="26">
        <v>100</v>
      </c>
      <c r="X29" s="26">
        <v>100</v>
      </c>
      <c r="Y29" s="26">
        <v>100</v>
      </c>
      <c r="Z29" s="26">
        <v>100</v>
      </c>
      <c r="AA29" s="26">
        <v>100</v>
      </c>
      <c r="AB29" s="26">
        <v>100</v>
      </c>
      <c r="AC29" s="26">
        <v>100</v>
      </c>
      <c r="AD29" s="26">
        <v>100</v>
      </c>
      <c r="AE29" s="26">
        <v>100</v>
      </c>
      <c r="AF29" s="26">
        <v>100</v>
      </c>
      <c r="AG29" s="26">
        <v>100</v>
      </c>
      <c r="AH29" s="26">
        <v>100</v>
      </c>
      <c r="AI29" s="26">
        <v>100</v>
      </c>
      <c r="AJ29" s="26">
        <v>100</v>
      </c>
      <c r="AK29" s="26">
        <v>100</v>
      </c>
      <c r="AL29" s="26">
        <v>100</v>
      </c>
      <c r="AM29" s="26">
        <v>100</v>
      </c>
      <c r="AN29" s="26">
        <v>100</v>
      </c>
      <c r="AO29" s="26">
        <v>100</v>
      </c>
      <c r="AP29" s="26">
        <v>100</v>
      </c>
      <c r="AQ29" s="26">
        <v>100</v>
      </c>
      <c r="AR29" s="26">
        <v>100</v>
      </c>
      <c r="AS29" s="26">
        <v>100</v>
      </c>
      <c r="AT29" s="26">
        <v>100</v>
      </c>
      <c r="AU29" s="26">
        <v>100</v>
      </c>
      <c r="AV29" s="26">
        <v>100</v>
      </c>
      <c r="AW29" s="26">
        <v>100</v>
      </c>
      <c r="AX29" s="26">
        <v>100</v>
      </c>
      <c r="AY29" s="26">
        <v>100</v>
      </c>
      <c r="AZ29" s="26">
        <v>99.79785102040816</v>
      </c>
      <c r="BA29" s="17">
        <v>4890.0946999999996</v>
      </c>
    </row>
    <row r="30" spans="1:53" x14ac:dyDescent="0.25">
      <c r="A30" s="24">
        <v>29</v>
      </c>
      <c r="B30" s="26">
        <v>14</v>
      </c>
      <c r="C30" s="26">
        <v>100</v>
      </c>
      <c r="D30" s="26">
        <v>100</v>
      </c>
      <c r="E30" s="26">
        <v>100</v>
      </c>
      <c r="F30" s="26">
        <v>100</v>
      </c>
      <c r="G30" s="26">
        <v>100</v>
      </c>
      <c r="H30" s="26">
        <v>100</v>
      </c>
      <c r="I30" s="26">
        <v>100</v>
      </c>
      <c r="J30" s="26">
        <v>100</v>
      </c>
      <c r="K30" s="26">
        <v>100</v>
      </c>
      <c r="L30" s="26">
        <v>100</v>
      </c>
      <c r="M30" s="26">
        <v>100</v>
      </c>
      <c r="N30" s="26">
        <v>100</v>
      </c>
      <c r="O30" s="26">
        <v>97.7988</v>
      </c>
      <c r="P30" s="26">
        <v>100</v>
      </c>
      <c r="Q30" s="26">
        <v>100</v>
      </c>
      <c r="R30" s="26">
        <v>100</v>
      </c>
      <c r="S30" s="26">
        <v>100</v>
      </c>
      <c r="T30" s="26">
        <v>100</v>
      </c>
      <c r="U30" s="26">
        <v>100</v>
      </c>
      <c r="V30" s="26">
        <v>100</v>
      </c>
      <c r="W30" s="26">
        <v>100</v>
      </c>
      <c r="X30" s="26">
        <v>100</v>
      </c>
      <c r="Y30" s="26">
        <v>100</v>
      </c>
      <c r="Z30" s="26">
        <v>100</v>
      </c>
      <c r="AA30" s="26">
        <v>100</v>
      </c>
      <c r="AB30" s="26">
        <v>100</v>
      </c>
      <c r="AC30" s="26">
        <v>100</v>
      </c>
      <c r="AD30" s="26">
        <v>100</v>
      </c>
      <c r="AE30" s="26">
        <v>100</v>
      </c>
      <c r="AF30" s="26">
        <v>100</v>
      </c>
      <c r="AG30" s="26">
        <v>100</v>
      </c>
      <c r="AH30" s="26">
        <v>100</v>
      </c>
      <c r="AI30" s="26">
        <v>100</v>
      </c>
      <c r="AJ30" s="26">
        <v>100</v>
      </c>
      <c r="AK30" s="26">
        <v>100</v>
      </c>
      <c r="AL30" s="26">
        <v>100</v>
      </c>
      <c r="AM30" s="26">
        <v>100</v>
      </c>
      <c r="AN30" s="26">
        <v>100</v>
      </c>
      <c r="AO30" s="26">
        <v>100</v>
      </c>
      <c r="AP30" s="26">
        <v>100</v>
      </c>
      <c r="AQ30" s="26">
        <v>100</v>
      </c>
      <c r="AR30" s="26">
        <v>100</v>
      </c>
      <c r="AS30" s="26">
        <v>100</v>
      </c>
      <c r="AT30" s="26">
        <v>100</v>
      </c>
      <c r="AU30" s="26">
        <v>100</v>
      </c>
      <c r="AV30" s="26">
        <v>100</v>
      </c>
      <c r="AW30" s="26">
        <v>100</v>
      </c>
      <c r="AX30" s="26">
        <v>100</v>
      </c>
      <c r="AY30" s="26">
        <v>100</v>
      </c>
      <c r="AZ30" s="26">
        <v>99.955077551020423</v>
      </c>
      <c r="BA30" s="17">
        <v>4897.7987999999996</v>
      </c>
    </row>
    <row r="31" spans="1:53" x14ac:dyDescent="0.25">
      <c r="A31" s="24">
        <v>30</v>
      </c>
      <c r="B31" s="26">
        <v>14.5</v>
      </c>
      <c r="C31" s="26">
        <v>100</v>
      </c>
      <c r="D31" s="26">
        <v>100</v>
      </c>
      <c r="E31" s="26">
        <v>100</v>
      </c>
      <c r="F31" s="26">
        <v>100</v>
      </c>
      <c r="G31" s="26">
        <v>100</v>
      </c>
      <c r="H31" s="26">
        <v>100</v>
      </c>
      <c r="I31" s="26">
        <v>100</v>
      </c>
      <c r="J31" s="26">
        <v>100</v>
      </c>
      <c r="K31" s="26">
        <v>100</v>
      </c>
      <c r="L31" s="26">
        <v>100</v>
      </c>
      <c r="M31" s="26">
        <v>100</v>
      </c>
      <c r="N31" s="26">
        <v>100</v>
      </c>
      <c r="O31" s="26">
        <v>100</v>
      </c>
      <c r="P31" s="26">
        <v>100</v>
      </c>
      <c r="Q31" s="26">
        <v>100</v>
      </c>
      <c r="R31" s="26">
        <v>100</v>
      </c>
      <c r="S31" s="26">
        <v>100</v>
      </c>
      <c r="T31" s="26">
        <v>100</v>
      </c>
      <c r="U31" s="26">
        <v>100</v>
      </c>
      <c r="V31" s="26">
        <v>100</v>
      </c>
      <c r="W31" s="26">
        <v>100</v>
      </c>
      <c r="X31" s="26">
        <v>100</v>
      </c>
      <c r="Y31" s="26">
        <v>100</v>
      </c>
      <c r="Z31" s="26">
        <v>100</v>
      </c>
      <c r="AA31" s="26">
        <v>100</v>
      </c>
      <c r="AB31" s="26">
        <v>100</v>
      </c>
      <c r="AC31" s="26">
        <v>100</v>
      </c>
      <c r="AD31" s="26">
        <v>100</v>
      </c>
      <c r="AE31" s="26">
        <v>100</v>
      </c>
      <c r="AF31" s="26">
        <v>100</v>
      </c>
      <c r="AG31" s="26">
        <v>100</v>
      </c>
      <c r="AH31" s="26">
        <v>100</v>
      </c>
      <c r="AI31" s="26">
        <v>100</v>
      </c>
      <c r="AJ31" s="26">
        <v>100</v>
      </c>
      <c r="AK31" s="26">
        <v>96.237399999999994</v>
      </c>
      <c r="AL31" s="26">
        <v>100</v>
      </c>
      <c r="AM31" s="26">
        <v>100</v>
      </c>
      <c r="AN31" s="26">
        <v>100</v>
      </c>
      <c r="AO31" s="26">
        <v>100</v>
      </c>
      <c r="AP31" s="26">
        <v>100</v>
      </c>
      <c r="AQ31" s="26">
        <v>100</v>
      </c>
      <c r="AR31" s="26">
        <v>100</v>
      </c>
      <c r="AS31" s="26">
        <v>100</v>
      </c>
      <c r="AT31" s="26">
        <v>100</v>
      </c>
      <c r="AU31" s="26">
        <v>100</v>
      </c>
      <c r="AV31" s="26">
        <v>100</v>
      </c>
      <c r="AW31" s="26">
        <v>100</v>
      </c>
      <c r="AX31" s="26">
        <v>100</v>
      </c>
      <c r="AY31" s="26">
        <v>100</v>
      </c>
      <c r="AZ31" s="26">
        <v>99.923212244897954</v>
      </c>
      <c r="BA31" s="17">
        <v>4896.2374</v>
      </c>
    </row>
    <row r="32" spans="1:53" x14ac:dyDescent="0.25">
      <c r="A32" s="24">
        <v>31</v>
      </c>
      <c r="B32" s="26">
        <v>15</v>
      </c>
      <c r="C32" s="26">
        <v>100</v>
      </c>
      <c r="D32" s="26">
        <v>100</v>
      </c>
      <c r="E32" s="26">
        <v>100</v>
      </c>
      <c r="F32" s="26">
        <v>100</v>
      </c>
      <c r="G32" s="26">
        <v>100</v>
      </c>
      <c r="H32" s="26">
        <v>100</v>
      </c>
      <c r="I32" s="26">
        <v>100</v>
      </c>
      <c r="J32" s="26">
        <v>100</v>
      </c>
      <c r="K32" s="26">
        <v>100</v>
      </c>
      <c r="L32" s="26">
        <v>100</v>
      </c>
      <c r="M32" s="26">
        <v>100</v>
      </c>
      <c r="N32" s="26">
        <v>100</v>
      </c>
      <c r="O32" s="26">
        <v>100</v>
      </c>
      <c r="P32" s="26">
        <v>100</v>
      </c>
      <c r="Q32" s="26">
        <v>100</v>
      </c>
      <c r="R32" s="26">
        <v>100</v>
      </c>
      <c r="S32" s="26">
        <v>100</v>
      </c>
      <c r="T32" s="26">
        <v>100</v>
      </c>
      <c r="U32" s="26">
        <v>100</v>
      </c>
      <c r="V32" s="26">
        <v>100</v>
      </c>
      <c r="W32" s="26">
        <v>100</v>
      </c>
      <c r="X32" s="26">
        <v>100</v>
      </c>
      <c r="Y32" s="26">
        <v>100</v>
      </c>
      <c r="Z32" s="26">
        <v>100</v>
      </c>
      <c r="AA32" s="26">
        <v>100</v>
      </c>
      <c r="AB32" s="26">
        <v>100</v>
      </c>
      <c r="AC32" s="26">
        <v>100</v>
      </c>
      <c r="AD32" s="26">
        <v>100</v>
      </c>
      <c r="AE32" s="26">
        <v>100</v>
      </c>
      <c r="AF32" s="26">
        <v>100</v>
      </c>
      <c r="AG32" s="26">
        <v>100</v>
      </c>
      <c r="AH32" s="26">
        <v>100</v>
      </c>
      <c r="AI32" s="26">
        <v>100</v>
      </c>
      <c r="AJ32" s="26">
        <v>100</v>
      </c>
      <c r="AK32" s="26">
        <v>100</v>
      </c>
      <c r="AL32" s="26">
        <v>100</v>
      </c>
      <c r="AM32" s="26">
        <v>100</v>
      </c>
      <c r="AN32" s="26">
        <v>100</v>
      </c>
      <c r="AO32" s="26">
        <v>100</v>
      </c>
      <c r="AP32" s="26">
        <v>100</v>
      </c>
      <c r="AQ32" s="26">
        <v>100</v>
      </c>
      <c r="AR32" s="26">
        <v>100</v>
      </c>
      <c r="AS32" s="26">
        <v>100</v>
      </c>
      <c r="AT32" s="26">
        <v>100</v>
      </c>
      <c r="AU32" s="26">
        <v>100</v>
      </c>
      <c r="AV32" s="26">
        <v>100</v>
      </c>
      <c r="AW32" s="26">
        <v>97.294700000000006</v>
      </c>
      <c r="AX32" s="26">
        <v>100</v>
      </c>
      <c r="AY32" s="26">
        <v>100</v>
      </c>
      <c r="AZ32" s="26">
        <v>99.944789795918382</v>
      </c>
      <c r="BA32" s="17">
        <v>4897.2947000000004</v>
      </c>
    </row>
    <row r="33" spans="1:53" x14ac:dyDescent="0.25">
      <c r="A33" s="24">
        <v>32</v>
      </c>
      <c r="B33" s="26">
        <v>15.5</v>
      </c>
      <c r="C33" s="26">
        <v>100</v>
      </c>
      <c r="D33" s="26">
        <v>100</v>
      </c>
      <c r="E33" s="26">
        <v>100</v>
      </c>
      <c r="F33" s="26">
        <v>100</v>
      </c>
      <c r="G33" s="26">
        <v>100</v>
      </c>
      <c r="H33" s="26">
        <v>100</v>
      </c>
      <c r="I33" s="26">
        <v>100</v>
      </c>
      <c r="J33" s="26">
        <v>100</v>
      </c>
      <c r="K33" s="26">
        <v>100</v>
      </c>
      <c r="L33" s="26">
        <v>100</v>
      </c>
      <c r="M33" s="26">
        <v>100</v>
      </c>
      <c r="N33" s="26">
        <v>100</v>
      </c>
      <c r="O33" s="26">
        <v>84.570800000000006</v>
      </c>
      <c r="P33" s="26">
        <v>100</v>
      </c>
      <c r="Q33" s="26">
        <v>100</v>
      </c>
      <c r="R33" s="26">
        <v>100</v>
      </c>
      <c r="S33" s="26">
        <v>100</v>
      </c>
      <c r="T33" s="26">
        <v>100</v>
      </c>
      <c r="U33" s="26">
        <v>100</v>
      </c>
      <c r="V33" s="26">
        <v>100</v>
      </c>
      <c r="W33" s="26">
        <v>100</v>
      </c>
      <c r="X33" s="26">
        <v>100</v>
      </c>
      <c r="Y33" s="26">
        <v>100</v>
      </c>
      <c r="Z33" s="26">
        <v>100</v>
      </c>
      <c r="AA33" s="26">
        <v>100</v>
      </c>
      <c r="AB33" s="26">
        <v>100</v>
      </c>
      <c r="AC33" s="26">
        <v>100</v>
      </c>
      <c r="AD33" s="26">
        <v>100</v>
      </c>
      <c r="AE33" s="26">
        <v>100</v>
      </c>
      <c r="AF33" s="26">
        <v>100</v>
      </c>
      <c r="AG33" s="26">
        <v>100</v>
      </c>
      <c r="AH33" s="26">
        <v>100</v>
      </c>
      <c r="AI33" s="26">
        <v>100</v>
      </c>
      <c r="AJ33" s="26">
        <v>100</v>
      </c>
      <c r="AK33" s="26">
        <v>100</v>
      </c>
      <c r="AL33" s="26">
        <v>95.298000000000002</v>
      </c>
      <c r="AM33" s="26">
        <v>100</v>
      </c>
      <c r="AN33" s="26">
        <v>100</v>
      </c>
      <c r="AO33" s="26">
        <v>100</v>
      </c>
      <c r="AP33" s="26">
        <v>100</v>
      </c>
      <c r="AQ33" s="26">
        <v>100</v>
      </c>
      <c r="AR33" s="26">
        <v>100</v>
      </c>
      <c r="AS33" s="26">
        <v>100</v>
      </c>
      <c r="AT33" s="26">
        <v>100</v>
      </c>
      <c r="AU33" s="26">
        <v>100</v>
      </c>
      <c r="AV33" s="26">
        <v>100</v>
      </c>
      <c r="AW33" s="26">
        <v>70.912499999999994</v>
      </c>
      <c r="AX33" s="26">
        <v>100</v>
      </c>
      <c r="AY33" s="26">
        <v>100</v>
      </c>
      <c r="AZ33" s="26">
        <v>98.995536734693886</v>
      </c>
      <c r="BA33" s="17">
        <v>4850.7813000000006</v>
      </c>
    </row>
    <row r="34" spans="1:53" x14ac:dyDescent="0.25">
      <c r="A34" s="24">
        <v>33</v>
      </c>
      <c r="B34" s="26">
        <v>16</v>
      </c>
      <c r="C34" s="26">
        <v>100</v>
      </c>
      <c r="D34" s="26">
        <v>100</v>
      </c>
      <c r="E34" s="26">
        <v>100</v>
      </c>
      <c r="F34" s="26">
        <v>100</v>
      </c>
      <c r="G34" s="26">
        <v>100</v>
      </c>
      <c r="H34" s="26">
        <v>100</v>
      </c>
      <c r="I34" s="26">
        <v>100</v>
      </c>
      <c r="J34" s="26">
        <v>100</v>
      </c>
      <c r="K34" s="26">
        <v>100</v>
      </c>
      <c r="L34" s="26">
        <v>100</v>
      </c>
      <c r="M34" s="26">
        <v>100</v>
      </c>
      <c r="N34" s="26">
        <v>100</v>
      </c>
      <c r="O34" s="26">
        <v>79.786500000000004</v>
      </c>
      <c r="P34" s="26">
        <v>100</v>
      </c>
      <c r="Q34" s="26">
        <v>100</v>
      </c>
      <c r="R34" s="26">
        <v>98.192800000000005</v>
      </c>
      <c r="S34" s="26">
        <v>100</v>
      </c>
      <c r="T34" s="26">
        <v>100</v>
      </c>
      <c r="U34" s="26">
        <v>100</v>
      </c>
      <c r="V34" s="26">
        <v>100</v>
      </c>
      <c r="W34" s="26">
        <v>100</v>
      </c>
      <c r="X34" s="26">
        <v>100</v>
      </c>
      <c r="Y34" s="26">
        <v>100</v>
      </c>
      <c r="Z34" s="26">
        <v>100</v>
      </c>
      <c r="AA34" s="26">
        <v>100</v>
      </c>
      <c r="AB34" s="26">
        <v>100</v>
      </c>
      <c r="AC34" s="26">
        <v>100</v>
      </c>
      <c r="AD34" s="26">
        <v>100</v>
      </c>
      <c r="AE34" s="26">
        <v>100</v>
      </c>
      <c r="AF34" s="26">
        <v>100</v>
      </c>
      <c r="AG34" s="26">
        <v>100</v>
      </c>
      <c r="AH34" s="26">
        <v>100</v>
      </c>
      <c r="AI34" s="26">
        <v>100</v>
      </c>
      <c r="AJ34" s="26">
        <v>100</v>
      </c>
      <c r="AK34" s="26">
        <v>100</v>
      </c>
      <c r="AL34" s="26">
        <v>100</v>
      </c>
      <c r="AM34" s="26">
        <v>100</v>
      </c>
      <c r="AN34" s="26">
        <v>100</v>
      </c>
      <c r="AO34" s="26">
        <v>100</v>
      </c>
      <c r="AP34" s="26">
        <v>100</v>
      </c>
      <c r="AQ34" s="26">
        <v>100</v>
      </c>
      <c r="AR34" s="26">
        <v>100</v>
      </c>
      <c r="AS34" s="26">
        <v>100</v>
      </c>
      <c r="AT34" s="26">
        <v>100</v>
      </c>
      <c r="AU34" s="26">
        <v>100</v>
      </c>
      <c r="AV34" s="26">
        <v>100</v>
      </c>
      <c r="AW34" s="26">
        <v>54.1492</v>
      </c>
      <c r="AX34" s="26">
        <v>100</v>
      </c>
      <c r="AY34" s="26">
        <v>100</v>
      </c>
      <c r="AZ34" s="26">
        <v>98.614867346938766</v>
      </c>
      <c r="BA34" s="17">
        <v>4832.1284999999998</v>
      </c>
    </row>
    <row r="35" spans="1:53" x14ac:dyDescent="0.25">
      <c r="A35" s="24">
        <v>34</v>
      </c>
      <c r="B35" s="26">
        <v>16.5</v>
      </c>
      <c r="C35" s="26">
        <v>100</v>
      </c>
      <c r="D35" s="26">
        <v>100</v>
      </c>
      <c r="E35" s="26">
        <v>100</v>
      </c>
      <c r="F35" s="26">
        <v>100</v>
      </c>
      <c r="G35" s="26">
        <v>100</v>
      </c>
      <c r="H35" s="26">
        <v>100</v>
      </c>
      <c r="I35" s="26">
        <v>100</v>
      </c>
      <c r="J35" s="26">
        <v>100</v>
      </c>
      <c r="K35" s="26">
        <v>100</v>
      </c>
      <c r="L35" s="26">
        <v>100</v>
      </c>
      <c r="M35" s="26">
        <v>100</v>
      </c>
      <c r="N35" s="26">
        <v>100</v>
      </c>
      <c r="O35" s="26">
        <v>98.023600000000002</v>
      </c>
      <c r="P35" s="26">
        <v>100</v>
      </c>
      <c r="Q35" s="26">
        <v>100</v>
      </c>
      <c r="R35" s="26">
        <v>100</v>
      </c>
      <c r="S35" s="26">
        <v>100</v>
      </c>
      <c r="T35" s="26">
        <v>100</v>
      </c>
      <c r="U35" s="26">
        <v>100</v>
      </c>
      <c r="V35" s="26">
        <v>100</v>
      </c>
      <c r="W35" s="26">
        <v>100</v>
      </c>
      <c r="X35" s="26">
        <v>100</v>
      </c>
      <c r="Y35" s="26">
        <v>100</v>
      </c>
      <c r="Z35" s="26">
        <v>100</v>
      </c>
      <c r="AA35" s="26">
        <v>100</v>
      </c>
      <c r="AB35" s="26">
        <v>100</v>
      </c>
      <c r="AC35" s="26">
        <v>100</v>
      </c>
      <c r="AD35" s="26">
        <v>100</v>
      </c>
      <c r="AE35" s="26">
        <v>100</v>
      </c>
      <c r="AF35" s="26">
        <v>100</v>
      </c>
      <c r="AG35" s="26">
        <v>100</v>
      </c>
      <c r="AH35" s="26">
        <v>100</v>
      </c>
      <c r="AI35" s="26">
        <v>100</v>
      </c>
      <c r="AJ35" s="26">
        <v>100</v>
      </c>
      <c r="AK35" s="26">
        <v>100</v>
      </c>
      <c r="AL35" s="26">
        <v>100</v>
      </c>
      <c r="AM35" s="26">
        <v>100</v>
      </c>
      <c r="AN35" s="26">
        <v>100</v>
      </c>
      <c r="AO35" s="26">
        <v>96.384099999999989</v>
      </c>
      <c r="AP35" s="26">
        <v>100</v>
      </c>
      <c r="AQ35" s="26">
        <v>100</v>
      </c>
      <c r="AR35" s="26">
        <v>100</v>
      </c>
      <c r="AS35" s="26">
        <v>100</v>
      </c>
      <c r="AT35" s="26">
        <v>100</v>
      </c>
      <c r="AU35" s="26">
        <v>100</v>
      </c>
      <c r="AV35" s="26">
        <v>100</v>
      </c>
      <c r="AW35" s="26">
        <v>61.110300000000002</v>
      </c>
      <c r="AX35" s="26">
        <v>100</v>
      </c>
      <c r="AY35" s="26">
        <v>100</v>
      </c>
      <c r="AZ35" s="26">
        <v>99.092204081632659</v>
      </c>
      <c r="BA35" s="17">
        <v>4855.518</v>
      </c>
    </row>
    <row r="36" spans="1:53" x14ac:dyDescent="0.25">
      <c r="A36" s="24">
        <v>35</v>
      </c>
      <c r="B36" s="26">
        <v>17</v>
      </c>
      <c r="C36" s="26">
        <v>100</v>
      </c>
      <c r="D36" s="26">
        <v>100</v>
      </c>
      <c r="E36" s="26">
        <v>100</v>
      </c>
      <c r="F36" s="26">
        <v>100</v>
      </c>
      <c r="G36" s="26">
        <v>100</v>
      </c>
      <c r="H36" s="26">
        <v>100</v>
      </c>
      <c r="I36" s="26">
        <v>100</v>
      </c>
      <c r="J36" s="26">
        <v>100</v>
      </c>
      <c r="K36" s="26">
        <v>100</v>
      </c>
      <c r="L36" s="26">
        <v>100</v>
      </c>
      <c r="M36" s="26">
        <v>75.710499999999996</v>
      </c>
      <c r="N36" s="26">
        <v>100</v>
      </c>
      <c r="O36" s="26">
        <v>100</v>
      </c>
      <c r="P36" s="26">
        <v>100</v>
      </c>
      <c r="Q36" s="26">
        <v>100</v>
      </c>
      <c r="R36" s="26">
        <v>100</v>
      </c>
      <c r="S36" s="26">
        <v>100</v>
      </c>
      <c r="T36" s="26">
        <v>100</v>
      </c>
      <c r="U36" s="26">
        <v>100</v>
      </c>
      <c r="V36" s="26">
        <v>100</v>
      </c>
      <c r="W36" s="26">
        <v>100</v>
      </c>
      <c r="X36" s="26">
        <v>100</v>
      </c>
      <c r="Y36" s="26">
        <v>100</v>
      </c>
      <c r="Z36" s="26">
        <v>100</v>
      </c>
      <c r="AA36" s="26">
        <v>100</v>
      </c>
      <c r="AB36" s="26">
        <v>100</v>
      </c>
      <c r="AC36" s="26">
        <v>100</v>
      </c>
      <c r="AD36" s="26">
        <v>100</v>
      </c>
      <c r="AE36" s="26">
        <v>100</v>
      </c>
      <c r="AF36" s="26">
        <v>100</v>
      </c>
      <c r="AG36" s="26">
        <v>100</v>
      </c>
      <c r="AH36" s="26">
        <v>100</v>
      </c>
      <c r="AI36" s="26">
        <v>100</v>
      </c>
      <c r="AJ36" s="26">
        <v>100</v>
      </c>
      <c r="AK36" s="26">
        <v>100</v>
      </c>
      <c r="AL36" s="26">
        <v>100</v>
      </c>
      <c r="AM36" s="26">
        <v>100</v>
      </c>
      <c r="AN36" s="26">
        <v>100</v>
      </c>
      <c r="AO36" s="26">
        <v>83.432600000000008</v>
      </c>
      <c r="AP36" s="26">
        <v>100</v>
      </c>
      <c r="AQ36" s="26">
        <v>100</v>
      </c>
      <c r="AR36" s="26">
        <v>100</v>
      </c>
      <c r="AS36" s="26">
        <v>100</v>
      </c>
      <c r="AT36" s="26">
        <v>100</v>
      </c>
      <c r="AU36" s="26">
        <v>100</v>
      </c>
      <c r="AV36" s="26">
        <v>100</v>
      </c>
      <c r="AW36" s="26">
        <v>68.780900000000003</v>
      </c>
      <c r="AX36" s="26">
        <v>100</v>
      </c>
      <c r="AY36" s="26">
        <v>100</v>
      </c>
      <c r="AZ36" s="26">
        <v>98.529061224489794</v>
      </c>
      <c r="BA36" s="17">
        <v>4827.924</v>
      </c>
    </row>
    <row r="37" spans="1:53" x14ac:dyDescent="0.25">
      <c r="A37" s="24">
        <v>36</v>
      </c>
      <c r="B37" s="26">
        <v>17.5</v>
      </c>
      <c r="C37" s="26">
        <v>100</v>
      </c>
      <c r="D37" s="26">
        <v>79.333200000000005</v>
      </c>
      <c r="E37" s="26">
        <v>100</v>
      </c>
      <c r="F37" s="26">
        <v>100</v>
      </c>
      <c r="G37" s="26">
        <v>100</v>
      </c>
      <c r="H37" s="26">
        <v>100</v>
      </c>
      <c r="I37" s="26">
        <v>100</v>
      </c>
      <c r="J37" s="26">
        <v>100</v>
      </c>
      <c r="K37" s="26">
        <v>100</v>
      </c>
      <c r="L37" s="26">
        <v>100</v>
      </c>
      <c r="M37" s="26">
        <v>79.500500000000002</v>
      </c>
      <c r="N37" s="26">
        <v>100</v>
      </c>
      <c r="O37" s="26">
        <v>100</v>
      </c>
      <c r="P37" s="26">
        <v>100</v>
      </c>
      <c r="Q37" s="26">
        <v>100</v>
      </c>
      <c r="R37" s="26">
        <v>100</v>
      </c>
      <c r="S37" s="26">
        <v>100</v>
      </c>
      <c r="T37" s="26">
        <v>100</v>
      </c>
      <c r="U37" s="26">
        <v>100</v>
      </c>
      <c r="V37" s="26">
        <v>96.175799999999995</v>
      </c>
      <c r="W37" s="26">
        <v>100</v>
      </c>
      <c r="X37" s="26">
        <v>100</v>
      </c>
      <c r="Y37" s="26">
        <v>100</v>
      </c>
      <c r="Z37" s="26">
        <v>100</v>
      </c>
      <c r="AA37" s="26">
        <v>100</v>
      </c>
      <c r="AB37" s="26">
        <v>100</v>
      </c>
      <c r="AC37" s="26">
        <v>100</v>
      </c>
      <c r="AD37" s="26">
        <v>100</v>
      </c>
      <c r="AE37" s="26">
        <v>100</v>
      </c>
      <c r="AF37" s="26">
        <v>100</v>
      </c>
      <c r="AG37" s="26">
        <v>100</v>
      </c>
      <c r="AH37" s="26">
        <v>100</v>
      </c>
      <c r="AI37" s="26">
        <v>100</v>
      </c>
      <c r="AJ37" s="26">
        <v>100</v>
      </c>
      <c r="AK37" s="26">
        <v>100</v>
      </c>
      <c r="AL37" s="26">
        <v>100</v>
      </c>
      <c r="AM37" s="26">
        <v>100</v>
      </c>
      <c r="AN37" s="26">
        <v>100</v>
      </c>
      <c r="AO37" s="26">
        <v>93.442300000000003</v>
      </c>
      <c r="AP37" s="26">
        <v>100</v>
      </c>
      <c r="AQ37" s="26">
        <v>100</v>
      </c>
      <c r="AR37" s="26">
        <v>100</v>
      </c>
      <c r="AS37" s="26">
        <v>100</v>
      </c>
      <c r="AT37" s="26">
        <v>100</v>
      </c>
      <c r="AU37" s="26">
        <v>100</v>
      </c>
      <c r="AV37" s="26">
        <v>100</v>
      </c>
      <c r="AW37" s="26">
        <v>74.413399999999996</v>
      </c>
      <c r="AX37" s="26">
        <v>100</v>
      </c>
      <c r="AY37" s="26">
        <v>100</v>
      </c>
      <c r="AZ37" s="26">
        <v>98.42582040816329</v>
      </c>
      <c r="BA37" s="17">
        <v>4822.8652000000011</v>
      </c>
    </row>
    <row r="38" spans="1:53" x14ac:dyDescent="0.25">
      <c r="A38" s="24">
        <v>37</v>
      </c>
      <c r="B38" s="26">
        <v>18</v>
      </c>
      <c r="C38" s="26">
        <v>100</v>
      </c>
      <c r="D38" s="26">
        <v>68.217500000000001</v>
      </c>
      <c r="E38" s="26">
        <v>100</v>
      </c>
      <c r="F38" s="26">
        <v>100</v>
      </c>
      <c r="G38" s="26">
        <v>100</v>
      </c>
      <c r="H38" s="26">
        <v>100</v>
      </c>
      <c r="I38" s="26">
        <v>100</v>
      </c>
      <c r="J38" s="26">
        <v>100</v>
      </c>
      <c r="K38" s="26">
        <v>100</v>
      </c>
      <c r="L38" s="26">
        <v>100</v>
      </c>
      <c r="M38" s="26">
        <v>84.121600000000001</v>
      </c>
      <c r="N38" s="26">
        <v>100</v>
      </c>
      <c r="O38" s="26">
        <v>100</v>
      </c>
      <c r="P38" s="26">
        <v>100</v>
      </c>
      <c r="Q38" s="26">
        <v>100</v>
      </c>
      <c r="R38" s="26">
        <v>100</v>
      </c>
      <c r="S38" s="26">
        <v>100</v>
      </c>
      <c r="T38" s="26">
        <v>100</v>
      </c>
      <c r="U38" s="26">
        <v>100</v>
      </c>
      <c r="V38" s="26">
        <v>77.727900000000005</v>
      </c>
      <c r="W38" s="26">
        <v>100</v>
      </c>
      <c r="X38" s="26">
        <v>100</v>
      </c>
      <c r="Y38" s="26">
        <v>100</v>
      </c>
      <c r="Z38" s="26">
        <v>100</v>
      </c>
      <c r="AA38" s="26">
        <v>100</v>
      </c>
      <c r="AB38" s="26">
        <v>100</v>
      </c>
      <c r="AC38" s="26">
        <v>100</v>
      </c>
      <c r="AD38" s="26">
        <v>100</v>
      </c>
      <c r="AE38" s="26">
        <v>100</v>
      </c>
      <c r="AF38" s="26">
        <v>100</v>
      </c>
      <c r="AG38" s="26">
        <v>100</v>
      </c>
      <c r="AH38" s="26">
        <v>100</v>
      </c>
      <c r="AI38" s="26">
        <v>100</v>
      </c>
      <c r="AJ38" s="26">
        <v>100</v>
      </c>
      <c r="AK38" s="26">
        <v>100</v>
      </c>
      <c r="AL38" s="26">
        <v>100</v>
      </c>
      <c r="AM38" s="26">
        <v>100</v>
      </c>
      <c r="AN38" s="26">
        <v>100</v>
      </c>
      <c r="AO38" s="26">
        <v>100</v>
      </c>
      <c r="AP38" s="26">
        <v>100</v>
      </c>
      <c r="AQ38" s="26">
        <v>100</v>
      </c>
      <c r="AR38" s="26">
        <v>100</v>
      </c>
      <c r="AS38" s="26">
        <v>100</v>
      </c>
      <c r="AT38" s="26">
        <v>100</v>
      </c>
      <c r="AU38" s="26">
        <v>100</v>
      </c>
      <c r="AV38" s="26">
        <v>100</v>
      </c>
      <c r="AW38" s="26">
        <v>72.193700000000007</v>
      </c>
      <c r="AX38" s="26">
        <v>100</v>
      </c>
      <c r="AY38" s="26">
        <v>100</v>
      </c>
      <c r="AZ38" s="26">
        <v>98.005320408163257</v>
      </c>
      <c r="BA38" s="17">
        <v>4802.2606999999998</v>
      </c>
    </row>
    <row r="39" spans="1:53" x14ac:dyDescent="0.25">
      <c r="A39" s="24">
        <v>38</v>
      </c>
      <c r="B39" s="26">
        <v>18.5</v>
      </c>
      <c r="C39" s="26">
        <v>100</v>
      </c>
      <c r="D39" s="26">
        <v>76.653800000000004</v>
      </c>
      <c r="E39" s="26">
        <v>100</v>
      </c>
      <c r="F39" s="26">
        <v>75.300399999999996</v>
      </c>
      <c r="G39" s="26">
        <v>100</v>
      </c>
      <c r="H39" s="26">
        <v>100</v>
      </c>
      <c r="I39" s="26">
        <v>100</v>
      </c>
      <c r="J39" s="26">
        <v>100</v>
      </c>
      <c r="K39" s="26">
        <v>100</v>
      </c>
      <c r="L39" s="26">
        <v>100</v>
      </c>
      <c r="M39" s="26">
        <v>86.257099999999994</v>
      </c>
      <c r="N39" s="26">
        <v>100</v>
      </c>
      <c r="O39" s="26">
        <v>100</v>
      </c>
      <c r="P39" s="26">
        <v>100</v>
      </c>
      <c r="Q39" s="26">
        <v>100</v>
      </c>
      <c r="R39" s="26">
        <v>100</v>
      </c>
      <c r="S39" s="26">
        <v>100</v>
      </c>
      <c r="T39" s="26">
        <v>100</v>
      </c>
      <c r="U39" s="26">
        <v>100</v>
      </c>
      <c r="V39" s="26">
        <v>76.280599999999993</v>
      </c>
      <c r="W39" s="26">
        <v>100</v>
      </c>
      <c r="X39" s="26">
        <v>100</v>
      </c>
      <c r="Y39" s="26">
        <v>100</v>
      </c>
      <c r="Z39" s="26">
        <v>100</v>
      </c>
      <c r="AA39" s="26">
        <v>100</v>
      </c>
      <c r="AB39" s="26">
        <v>100</v>
      </c>
      <c r="AC39" s="26">
        <v>100</v>
      </c>
      <c r="AD39" s="26">
        <v>100</v>
      </c>
      <c r="AE39" s="26">
        <v>92.028400000000005</v>
      </c>
      <c r="AF39" s="26">
        <v>100</v>
      </c>
      <c r="AG39" s="26">
        <v>100</v>
      </c>
      <c r="AH39" s="26">
        <v>100</v>
      </c>
      <c r="AI39" s="26">
        <v>100</v>
      </c>
      <c r="AJ39" s="26">
        <v>100</v>
      </c>
      <c r="AK39" s="26">
        <v>87.058199999999999</v>
      </c>
      <c r="AL39" s="26">
        <v>100</v>
      </c>
      <c r="AM39" s="26">
        <v>100</v>
      </c>
      <c r="AN39" s="26">
        <v>100</v>
      </c>
      <c r="AO39" s="26">
        <v>100</v>
      </c>
      <c r="AP39" s="26">
        <v>100</v>
      </c>
      <c r="AQ39" s="26">
        <v>100</v>
      </c>
      <c r="AR39" s="26">
        <v>100</v>
      </c>
      <c r="AS39" s="26">
        <v>100</v>
      </c>
      <c r="AT39" s="26">
        <v>100</v>
      </c>
      <c r="AU39" s="26">
        <v>100</v>
      </c>
      <c r="AV39" s="26">
        <v>100</v>
      </c>
      <c r="AW39" s="26">
        <v>72.185200000000009</v>
      </c>
      <c r="AX39" s="26">
        <v>100</v>
      </c>
      <c r="AY39" s="26">
        <v>100</v>
      </c>
      <c r="AZ39" s="26">
        <v>97.260483673469381</v>
      </c>
      <c r="BA39" s="17">
        <v>4765.7637000000004</v>
      </c>
    </row>
    <row r="40" spans="1:53" x14ac:dyDescent="0.25">
      <c r="A40" s="24">
        <v>39</v>
      </c>
      <c r="B40" s="26">
        <v>19</v>
      </c>
      <c r="C40" s="26">
        <v>100</v>
      </c>
      <c r="D40" s="26">
        <v>82.236000000000004</v>
      </c>
      <c r="E40" s="26">
        <v>100</v>
      </c>
      <c r="F40" s="26">
        <v>52.726599999999998</v>
      </c>
      <c r="G40" s="26">
        <v>100</v>
      </c>
      <c r="H40" s="26">
        <v>100</v>
      </c>
      <c r="I40" s="26">
        <v>100</v>
      </c>
      <c r="J40" s="26">
        <v>100</v>
      </c>
      <c r="K40" s="26">
        <v>100</v>
      </c>
      <c r="L40" s="26">
        <v>100</v>
      </c>
      <c r="M40" s="26">
        <v>86.672800000000009</v>
      </c>
      <c r="N40" s="26">
        <v>100</v>
      </c>
      <c r="O40" s="26">
        <v>100</v>
      </c>
      <c r="P40" s="26">
        <v>100</v>
      </c>
      <c r="Q40" s="26">
        <v>100</v>
      </c>
      <c r="R40" s="26">
        <v>99.793300000000002</v>
      </c>
      <c r="S40" s="26">
        <v>100</v>
      </c>
      <c r="T40" s="26">
        <v>100</v>
      </c>
      <c r="U40" s="26">
        <v>100</v>
      </c>
      <c r="V40" s="26">
        <v>76.307999999999993</v>
      </c>
      <c r="W40" s="26">
        <v>100</v>
      </c>
      <c r="X40" s="26">
        <v>93.750399999999999</v>
      </c>
      <c r="Y40" s="26">
        <v>100</v>
      </c>
      <c r="Z40" s="26">
        <v>100</v>
      </c>
      <c r="AA40" s="26">
        <v>100</v>
      </c>
      <c r="AB40" s="26">
        <v>100</v>
      </c>
      <c r="AC40" s="26">
        <v>100</v>
      </c>
      <c r="AD40" s="26">
        <v>100</v>
      </c>
      <c r="AE40" s="26">
        <v>74.831999999999994</v>
      </c>
      <c r="AF40" s="26">
        <v>100</v>
      </c>
      <c r="AG40" s="26">
        <v>83.679899999999989</v>
      </c>
      <c r="AH40" s="26">
        <v>100</v>
      </c>
      <c r="AI40" s="26">
        <v>100</v>
      </c>
      <c r="AJ40" s="26">
        <v>99.206000000000003</v>
      </c>
      <c r="AK40" s="26">
        <v>89.894499999999994</v>
      </c>
      <c r="AL40" s="26">
        <v>83.151699999999991</v>
      </c>
      <c r="AM40" s="26">
        <v>100</v>
      </c>
      <c r="AN40" s="26">
        <v>100</v>
      </c>
      <c r="AO40" s="26">
        <v>100</v>
      </c>
      <c r="AP40" s="26">
        <v>100</v>
      </c>
      <c r="AQ40" s="26">
        <v>100</v>
      </c>
      <c r="AR40" s="26">
        <v>100</v>
      </c>
      <c r="AS40" s="26">
        <v>100</v>
      </c>
      <c r="AT40" s="26">
        <v>100</v>
      </c>
      <c r="AU40" s="26">
        <v>100</v>
      </c>
      <c r="AV40" s="26">
        <v>100</v>
      </c>
      <c r="AW40" s="26">
        <v>71.867800000000003</v>
      </c>
      <c r="AX40" s="26">
        <v>83.688000000000002</v>
      </c>
      <c r="AY40" s="26">
        <v>100</v>
      </c>
      <c r="AZ40" s="26">
        <v>95.465448979591855</v>
      </c>
      <c r="BA40" s="17">
        <v>4677.8070000000007</v>
      </c>
    </row>
    <row r="41" spans="1:53" x14ac:dyDescent="0.25">
      <c r="A41" s="24">
        <v>40</v>
      </c>
      <c r="B41" s="26">
        <v>19.5</v>
      </c>
      <c r="C41" s="26">
        <v>100</v>
      </c>
      <c r="D41" s="26">
        <v>84.99839999999999</v>
      </c>
      <c r="E41" s="26">
        <v>100</v>
      </c>
      <c r="F41" s="26">
        <v>54.104500000000002</v>
      </c>
      <c r="G41" s="26">
        <v>97.523300000000006</v>
      </c>
      <c r="H41" s="26">
        <v>100</v>
      </c>
      <c r="I41" s="26">
        <v>100</v>
      </c>
      <c r="J41" s="26">
        <v>100</v>
      </c>
      <c r="K41" s="26">
        <v>100</v>
      </c>
      <c r="L41" s="26">
        <v>100</v>
      </c>
      <c r="M41" s="26">
        <v>83.365399999999994</v>
      </c>
      <c r="N41" s="26">
        <v>99.865000000000009</v>
      </c>
      <c r="O41" s="26">
        <v>100</v>
      </c>
      <c r="P41" s="26">
        <v>100</v>
      </c>
      <c r="Q41" s="26">
        <v>100</v>
      </c>
      <c r="R41" s="26">
        <v>94.535600000000002</v>
      </c>
      <c r="S41" s="26">
        <v>100</v>
      </c>
      <c r="T41" s="26">
        <v>97.787900000000008</v>
      </c>
      <c r="U41" s="26">
        <v>100</v>
      </c>
      <c r="V41" s="26">
        <v>63.271299999999997</v>
      </c>
      <c r="W41" s="26">
        <v>100</v>
      </c>
      <c r="X41" s="26">
        <v>90.867000000000004</v>
      </c>
      <c r="Y41" s="26">
        <v>100</v>
      </c>
      <c r="Z41" s="26">
        <v>100</v>
      </c>
      <c r="AA41" s="26">
        <v>100</v>
      </c>
      <c r="AB41" s="26">
        <v>100</v>
      </c>
      <c r="AC41" s="26">
        <v>99.796700000000001</v>
      </c>
      <c r="AD41" s="26">
        <v>96.472899999999996</v>
      </c>
      <c r="AE41" s="26">
        <v>69.125</v>
      </c>
      <c r="AF41" s="26">
        <v>100</v>
      </c>
      <c r="AG41" s="26">
        <v>82.193600000000004</v>
      </c>
      <c r="AH41" s="26">
        <v>100</v>
      </c>
      <c r="AI41" s="26">
        <v>96.521900000000002</v>
      </c>
      <c r="AJ41" s="26">
        <v>98.631999999999991</v>
      </c>
      <c r="AK41" s="26">
        <v>92.537000000000006</v>
      </c>
      <c r="AL41" s="26">
        <v>83.474099999999993</v>
      </c>
      <c r="AM41" s="26">
        <v>100</v>
      </c>
      <c r="AN41" s="26">
        <v>100</v>
      </c>
      <c r="AO41" s="26">
        <v>100</v>
      </c>
      <c r="AP41" s="26">
        <v>100</v>
      </c>
      <c r="AQ41" s="26">
        <v>100</v>
      </c>
      <c r="AR41" s="26">
        <v>98.651799999999994</v>
      </c>
      <c r="AS41" s="26">
        <v>100</v>
      </c>
      <c r="AT41" s="26">
        <v>100</v>
      </c>
      <c r="AU41" s="26">
        <v>99.641100000000009</v>
      </c>
      <c r="AV41" s="26">
        <v>100</v>
      </c>
      <c r="AW41" s="26">
        <v>70.438199999999995</v>
      </c>
      <c r="AX41" s="26">
        <v>73.899900000000002</v>
      </c>
      <c r="AY41" s="26">
        <v>95.774499999999989</v>
      </c>
      <c r="AZ41" s="26">
        <v>94.356675510204084</v>
      </c>
      <c r="BA41" s="17">
        <v>4623.4771000000001</v>
      </c>
    </row>
    <row r="42" spans="1:53" x14ac:dyDescent="0.25">
      <c r="A42" s="24">
        <v>41</v>
      </c>
      <c r="B42" s="26">
        <v>20</v>
      </c>
      <c r="C42" s="26">
        <v>92.745800000000003</v>
      </c>
      <c r="D42" s="26">
        <v>83.705200000000005</v>
      </c>
      <c r="E42" s="26">
        <v>96.823499999999996</v>
      </c>
      <c r="F42" s="26">
        <v>54.336799999999997</v>
      </c>
      <c r="G42" s="26">
        <v>95.133900000000011</v>
      </c>
      <c r="H42" s="26">
        <v>95.733400000000003</v>
      </c>
      <c r="I42" s="26">
        <v>94.698599999999999</v>
      </c>
      <c r="J42" s="26">
        <v>100</v>
      </c>
      <c r="K42" s="26">
        <v>97.726100000000002</v>
      </c>
      <c r="L42" s="26">
        <v>94.222700000000003</v>
      </c>
      <c r="M42" s="26">
        <v>78.851600000000005</v>
      </c>
      <c r="N42" s="26">
        <v>84.5852</v>
      </c>
      <c r="O42" s="26">
        <v>96.455500000000001</v>
      </c>
      <c r="P42" s="26">
        <v>95.910499999999999</v>
      </c>
      <c r="Q42" s="26">
        <v>98.940100000000001</v>
      </c>
      <c r="R42" s="26">
        <v>84.551299999999998</v>
      </c>
      <c r="S42" s="26">
        <v>98.394099999999995</v>
      </c>
      <c r="T42" s="26">
        <v>91.616</v>
      </c>
      <c r="U42" s="26">
        <v>94.325099999999992</v>
      </c>
      <c r="V42" s="26">
        <v>54.228499999999997</v>
      </c>
      <c r="W42" s="26">
        <v>80.224099999999993</v>
      </c>
      <c r="X42" s="26">
        <v>89.198099999999997</v>
      </c>
      <c r="Y42" s="26">
        <v>96.897800000000004</v>
      </c>
      <c r="Z42" s="26">
        <v>94.537300000000002</v>
      </c>
      <c r="AA42" s="26">
        <v>99.703299999999999</v>
      </c>
      <c r="AB42" s="26">
        <v>97.352499999999992</v>
      </c>
      <c r="AC42" s="26">
        <v>96.499400000000009</v>
      </c>
      <c r="AD42" s="26">
        <v>89.426199999999994</v>
      </c>
      <c r="AE42" s="26">
        <v>66.964100000000002</v>
      </c>
      <c r="AF42" s="26">
        <v>95.501800000000003</v>
      </c>
      <c r="AG42" s="26">
        <v>77.132199999999997</v>
      </c>
      <c r="AH42" s="26">
        <v>97.944299999999998</v>
      </c>
      <c r="AI42" s="26">
        <v>86.336699999999993</v>
      </c>
      <c r="AJ42" s="26">
        <v>93.269899999999993</v>
      </c>
      <c r="AK42" s="26">
        <v>79.597399999999993</v>
      </c>
      <c r="AL42" s="26">
        <v>83.200099999999992</v>
      </c>
      <c r="AM42" s="26">
        <v>84.37360000000001</v>
      </c>
      <c r="AN42" s="26">
        <v>95.846900000000005</v>
      </c>
      <c r="AO42" s="26">
        <v>96.842500000000001</v>
      </c>
      <c r="AP42" s="26">
        <v>100</v>
      </c>
      <c r="AQ42" s="26">
        <v>100</v>
      </c>
      <c r="AR42" s="26">
        <v>93.861699999999999</v>
      </c>
      <c r="AS42" s="26">
        <v>100</v>
      </c>
      <c r="AT42" s="26">
        <v>95.31110000000001</v>
      </c>
      <c r="AU42" s="26">
        <v>92.035299999999992</v>
      </c>
      <c r="AV42" s="26">
        <v>100</v>
      </c>
      <c r="AW42" s="26">
        <v>64.007099999999994</v>
      </c>
      <c r="AX42" s="26">
        <v>72.072099999999992</v>
      </c>
      <c r="AY42" s="26">
        <v>78.388000000000005</v>
      </c>
      <c r="AZ42" s="26">
        <v>89.377702040816317</v>
      </c>
      <c r="BA42" s="17">
        <v>4379.5074000000004</v>
      </c>
    </row>
    <row r="43" spans="1:53" x14ac:dyDescent="0.25">
      <c r="A43" s="24">
        <v>42</v>
      </c>
      <c r="B43" s="26">
        <v>20.5</v>
      </c>
      <c r="C43" s="26">
        <v>83.157700000000006</v>
      </c>
      <c r="D43" s="26">
        <v>80.889399999999995</v>
      </c>
      <c r="E43" s="26">
        <v>91.525199999999998</v>
      </c>
      <c r="F43" s="26">
        <v>53.920499999999997</v>
      </c>
      <c r="G43" s="26">
        <v>92.888499999999993</v>
      </c>
      <c r="H43" s="26">
        <v>90.669899999999998</v>
      </c>
      <c r="I43" s="26">
        <v>87.534199999999998</v>
      </c>
      <c r="J43" s="26">
        <v>99.437399999999997</v>
      </c>
      <c r="K43" s="26">
        <v>96.214500000000001</v>
      </c>
      <c r="L43" s="26">
        <v>89.00630000000001</v>
      </c>
      <c r="M43" s="26">
        <v>73.057000000000002</v>
      </c>
      <c r="N43" s="26">
        <v>80.642200000000003</v>
      </c>
      <c r="O43" s="26">
        <v>92.096100000000007</v>
      </c>
      <c r="P43" s="26">
        <v>89.519599999999997</v>
      </c>
      <c r="Q43" s="26">
        <v>97.689300000000003</v>
      </c>
      <c r="R43" s="26">
        <v>73.076300000000003</v>
      </c>
      <c r="S43" s="26">
        <v>94.249099999999999</v>
      </c>
      <c r="T43" s="26">
        <v>84.546700000000001</v>
      </c>
      <c r="U43" s="26">
        <v>90.490000000000009</v>
      </c>
      <c r="V43" s="26">
        <v>45.777500000000003</v>
      </c>
      <c r="W43" s="26">
        <v>76.821200000000005</v>
      </c>
      <c r="X43" s="26">
        <v>88.781000000000006</v>
      </c>
      <c r="Y43" s="26">
        <v>81.960099999999997</v>
      </c>
      <c r="Z43" s="26">
        <v>87.525700000000001</v>
      </c>
      <c r="AA43" s="26">
        <v>96.470699999999994</v>
      </c>
      <c r="AB43" s="26">
        <v>91.251800000000003</v>
      </c>
      <c r="AC43" s="26">
        <v>91.709600000000009</v>
      </c>
      <c r="AD43" s="26">
        <v>72.729500000000002</v>
      </c>
      <c r="AE43" s="26">
        <v>62.383400000000002</v>
      </c>
      <c r="AF43" s="26">
        <v>92.011600000000001</v>
      </c>
      <c r="AG43" s="26">
        <v>56.311399999999999</v>
      </c>
      <c r="AH43" s="26">
        <v>93.163300000000007</v>
      </c>
      <c r="AI43" s="26">
        <v>79.959400000000002</v>
      </c>
      <c r="AJ43" s="26">
        <v>92.91040000000001</v>
      </c>
      <c r="AK43" s="26">
        <v>76.900900000000007</v>
      </c>
      <c r="AL43" s="26">
        <v>80.530900000000003</v>
      </c>
      <c r="AM43" s="26">
        <v>68.71629999999999</v>
      </c>
      <c r="AN43" s="26">
        <v>91.928899999999999</v>
      </c>
      <c r="AO43" s="26">
        <v>91.899200000000008</v>
      </c>
      <c r="AP43" s="26">
        <v>99.582899999999995</v>
      </c>
      <c r="AQ43" s="26">
        <v>99.558599999999998</v>
      </c>
      <c r="AR43" s="26">
        <v>88.255499999999998</v>
      </c>
      <c r="AS43" s="26">
        <v>97.757499999999993</v>
      </c>
      <c r="AT43" s="26">
        <v>91.514499999999998</v>
      </c>
      <c r="AU43" s="26">
        <v>80.562599999999989</v>
      </c>
      <c r="AV43" s="26">
        <v>97.765699999999995</v>
      </c>
      <c r="AW43" s="26">
        <v>60.044299999999993</v>
      </c>
      <c r="AX43" s="26">
        <v>67.920199999999994</v>
      </c>
      <c r="AY43" s="26">
        <v>61.656200000000013</v>
      </c>
      <c r="AZ43" s="26">
        <v>83.77491224489799</v>
      </c>
      <c r="BA43" s="17">
        <v>4104.9707000000017</v>
      </c>
    </row>
    <row r="44" spans="1:53" x14ac:dyDescent="0.25">
      <c r="A44" s="24">
        <v>43</v>
      </c>
      <c r="B44" s="26">
        <v>21</v>
      </c>
      <c r="C44" s="26">
        <v>75.167000000000002</v>
      </c>
      <c r="D44" s="26">
        <v>75.858899999999991</v>
      </c>
      <c r="E44" s="26">
        <v>85.0364</v>
      </c>
      <c r="F44" s="26">
        <v>50.992199999999997</v>
      </c>
      <c r="G44" s="26">
        <v>81.06750000000001</v>
      </c>
      <c r="H44" s="26">
        <v>83.213099999999997</v>
      </c>
      <c r="I44" s="26">
        <v>77.986000000000004</v>
      </c>
      <c r="J44" s="26">
        <v>98.171499999999995</v>
      </c>
      <c r="K44" s="26">
        <v>93.398300000000006</v>
      </c>
      <c r="L44" s="26">
        <v>80.408100000000005</v>
      </c>
      <c r="M44" s="26">
        <v>61.644100000000002</v>
      </c>
      <c r="N44" s="26">
        <v>74.961500000000001</v>
      </c>
      <c r="O44" s="26">
        <v>87.542000000000002</v>
      </c>
      <c r="P44" s="26">
        <v>84.237300000000005</v>
      </c>
      <c r="Q44" s="26">
        <v>93.053899999999999</v>
      </c>
      <c r="R44" s="26">
        <v>42.756100000000004</v>
      </c>
      <c r="S44" s="26">
        <v>87.62299999999999</v>
      </c>
      <c r="T44" s="26">
        <v>74.451400000000007</v>
      </c>
      <c r="U44" s="26">
        <v>89.887700000000009</v>
      </c>
      <c r="V44" s="26">
        <v>36.029899999999998</v>
      </c>
      <c r="W44" s="26">
        <v>72.973799999999997</v>
      </c>
      <c r="X44" s="26">
        <v>88.115899999999996</v>
      </c>
      <c r="Y44" s="26">
        <v>79.006799999999998</v>
      </c>
      <c r="Z44" s="26">
        <v>81.175699999999992</v>
      </c>
      <c r="AA44" s="26">
        <v>95.855900000000005</v>
      </c>
      <c r="AB44" s="26">
        <v>85.857600000000005</v>
      </c>
      <c r="AC44" s="26">
        <v>84.40140000000001</v>
      </c>
      <c r="AD44" s="26">
        <v>55.936699999999988</v>
      </c>
      <c r="AE44" s="26">
        <v>57.740900000000003</v>
      </c>
      <c r="AF44" s="26">
        <v>90.755099999999999</v>
      </c>
      <c r="AG44" s="26">
        <v>49.567599999999999</v>
      </c>
      <c r="AH44" s="26">
        <v>88.206099999999992</v>
      </c>
      <c r="AI44" s="26">
        <v>67.839799999999997</v>
      </c>
      <c r="AJ44" s="26">
        <v>91.207400000000007</v>
      </c>
      <c r="AK44" s="26">
        <v>73.467200000000005</v>
      </c>
      <c r="AL44" s="26">
        <v>73.5077</v>
      </c>
      <c r="AM44" s="26">
        <v>62.933100000000003</v>
      </c>
      <c r="AN44" s="26">
        <v>86.955700000000007</v>
      </c>
      <c r="AO44" s="26">
        <v>84.746899999999997</v>
      </c>
      <c r="AP44" s="26">
        <v>98.917900000000003</v>
      </c>
      <c r="AQ44" s="26">
        <v>96.330100000000002</v>
      </c>
      <c r="AR44" s="26">
        <v>82.714200000000005</v>
      </c>
      <c r="AS44" s="26">
        <v>96.902699999999996</v>
      </c>
      <c r="AT44" s="26">
        <v>86.060299999999998</v>
      </c>
      <c r="AU44" s="26">
        <v>72.725099999999998</v>
      </c>
      <c r="AV44" s="26">
        <v>97.138300000000001</v>
      </c>
      <c r="AW44" s="26">
        <v>56.046199999999999</v>
      </c>
      <c r="AX44" s="26">
        <v>63.0336</v>
      </c>
      <c r="AY44" s="26">
        <v>56.451300000000003</v>
      </c>
      <c r="AZ44" s="26">
        <v>77.756263265306131</v>
      </c>
      <c r="BA44" s="17">
        <v>3810.0569</v>
      </c>
    </row>
    <row r="45" spans="1:53" x14ac:dyDescent="0.25">
      <c r="A45" s="24">
        <v>44</v>
      </c>
      <c r="B45" s="26">
        <v>21.5</v>
      </c>
      <c r="C45" s="26">
        <v>63.007199999999997</v>
      </c>
      <c r="D45" s="26">
        <v>69.218500000000006</v>
      </c>
      <c r="E45" s="26">
        <v>77.811700000000002</v>
      </c>
      <c r="F45" s="26">
        <v>49.400100000000002</v>
      </c>
      <c r="G45" s="26">
        <v>66.8613</v>
      </c>
      <c r="H45" s="26">
        <v>77.666200000000003</v>
      </c>
      <c r="I45" s="26">
        <v>69.970699999999994</v>
      </c>
      <c r="J45" s="26">
        <v>97.757400000000004</v>
      </c>
      <c r="K45" s="26">
        <v>88.703299999999999</v>
      </c>
      <c r="L45" s="26">
        <v>71.599199999999996</v>
      </c>
      <c r="M45" s="26">
        <v>46.544600000000003</v>
      </c>
      <c r="N45" s="26">
        <v>68.040999999999997</v>
      </c>
      <c r="O45" s="26">
        <v>85.515100000000004</v>
      </c>
      <c r="P45" s="26">
        <v>78.545400000000001</v>
      </c>
      <c r="Q45" s="26">
        <v>90.384399999999999</v>
      </c>
      <c r="R45" s="26">
        <v>14.247199999999999</v>
      </c>
      <c r="S45" s="26">
        <v>83.023099999999999</v>
      </c>
      <c r="T45" s="26">
        <v>66.642499999999998</v>
      </c>
      <c r="U45" s="26">
        <v>86.327799999999996</v>
      </c>
      <c r="V45" s="26">
        <v>23.726600000000001</v>
      </c>
      <c r="W45" s="26">
        <v>69.432900000000004</v>
      </c>
      <c r="X45" s="26">
        <v>86.100700000000003</v>
      </c>
      <c r="Y45" s="26">
        <v>70.203000000000003</v>
      </c>
      <c r="Z45" s="26">
        <v>79.522300000000001</v>
      </c>
      <c r="AA45" s="26">
        <v>91.946000000000012</v>
      </c>
      <c r="AB45" s="26">
        <v>79.739499999999992</v>
      </c>
      <c r="AC45" s="26">
        <v>76.375399999999999</v>
      </c>
      <c r="AD45" s="26">
        <v>45.930999999999997</v>
      </c>
      <c r="AE45" s="26">
        <v>53.699599999999997</v>
      </c>
      <c r="AF45" s="26">
        <v>90.090099999999993</v>
      </c>
      <c r="AG45" s="26">
        <v>41.274999999999999</v>
      </c>
      <c r="AH45" s="26">
        <v>81.035800000000009</v>
      </c>
      <c r="AI45" s="26">
        <v>57.643999999999998</v>
      </c>
      <c r="AJ45" s="26">
        <v>86.0167</v>
      </c>
      <c r="AK45" s="26">
        <v>68.529399999999995</v>
      </c>
      <c r="AL45" s="26">
        <v>68.13369999999999</v>
      </c>
      <c r="AM45" s="26">
        <v>53.908000000000001</v>
      </c>
      <c r="AN45" s="26">
        <v>80.859400000000008</v>
      </c>
      <c r="AO45" s="26">
        <v>77.043199999999999</v>
      </c>
      <c r="AP45" s="26">
        <v>98.252799999999993</v>
      </c>
      <c r="AQ45" s="26">
        <v>92.88</v>
      </c>
      <c r="AR45" s="26">
        <v>73.470699999999994</v>
      </c>
      <c r="AS45" s="26">
        <v>92.657499999999999</v>
      </c>
      <c r="AT45" s="26">
        <v>76.907899999999998</v>
      </c>
      <c r="AU45" s="26">
        <v>66.510000000000005</v>
      </c>
      <c r="AV45" s="26">
        <v>96.510899999999992</v>
      </c>
      <c r="AW45" s="26">
        <v>49.863999999999997</v>
      </c>
      <c r="AX45" s="26">
        <v>55.810800000000008</v>
      </c>
      <c r="AY45" s="26">
        <v>53.9011</v>
      </c>
      <c r="AZ45" s="26">
        <v>71.209075510204073</v>
      </c>
      <c r="BA45" s="17">
        <v>3489.2447000000002</v>
      </c>
    </row>
    <row r="46" spans="1:53" x14ac:dyDescent="0.25">
      <c r="A46" s="24">
        <v>45</v>
      </c>
      <c r="B46" s="26">
        <v>22</v>
      </c>
      <c r="C46" s="26">
        <v>54.285400000000003</v>
      </c>
      <c r="D46" s="26">
        <v>64.996200000000002</v>
      </c>
      <c r="E46" s="26">
        <v>73.355599999999995</v>
      </c>
      <c r="F46" s="26">
        <v>44.3033</v>
      </c>
      <c r="G46" s="26">
        <v>60.837300000000013</v>
      </c>
      <c r="H46" s="26">
        <v>59.85</v>
      </c>
      <c r="I46" s="26">
        <v>60.2376</v>
      </c>
      <c r="J46" s="26">
        <v>97.243099999999998</v>
      </c>
      <c r="K46" s="26">
        <v>85.462199999999996</v>
      </c>
      <c r="L46" s="26">
        <v>63.814999999999998</v>
      </c>
      <c r="M46" s="26">
        <v>41.115400000000001</v>
      </c>
      <c r="N46" s="26">
        <v>61.147799999999997</v>
      </c>
      <c r="O46" s="26">
        <v>80.450800000000001</v>
      </c>
      <c r="P46" s="26">
        <v>73.287500000000009</v>
      </c>
      <c r="Q46" s="26">
        <v>85.753299999999996</v>
      </c>
      <c r="R46" s="26">
        <v>10</v>
      </c>
      <c r="S46" s="26">
        <v>78.036699999999996</v>
      </c>
      <c r="T46" s="26">
        <v>56.584599999999988</v>
      </c>
      <c r="U46" s="26">
        <v>85.725499999999997</v>
      </c>
      <c r="V46" s="26">
        <v>14.927099999999999</v>
      </c>
      <c r="W46" s="26">
        <v>64.784399999999991</v>
      </c>
      <c r="X46" s="26">
        <v>85.435599999999994</v>
      </c>
      <c r="Y46" s="26">
        <v>64.6447</v>
      </c>
      <c r="Z46" s="26">
        <v>78.5702</v>
      </c>
      <c r="AA46" s="26">
        <v>91.331199999999995</v>
      </c>
      <c r="AB46" s="26">
        <v>75.71520000000001</v>
      </c>
      <c r="AC46" s="26">
        <v>69.602500000000006</v>
      </c>
      <c r="AD46" s="26">
        <v>33.362099999999998</v>
      </c>
      <c r="AE46" s="26">
        <v>49.164400000000001</v>
      </c>
      <c r="AF46" s="26">
        <v>89.424999999999997</v>
      </c>
      <c r="AG46" s="26">
        <v>28.845500000000001</v>
      </c>
      <c r="AH46" s="26">
        <v>73.592199999999991</v>
      </c>
      <c r="AI46" s="26">
        <v>48.588200000000001</v>
      </c>
      <c r="AJ46" s="26">
        <v>82.223299999999995</v>
      </c>
      <c r="AK46" s="26">
        <v>63.302899999999987</v>
      </c>
      <c r="AL46" s="26">
        <v>61.762799999999999</v>
      </c>
      <c r="AM46" s="26">
        <v>47.635899999999999</v>
      </c>
      <c r="AN46" s="26">
        <v>74.653300000000002</v>
      </c>
      <c r="AO46" s="26">
        <v>70.407899999999998</v>
      </c>
      <c r="AP46" s="26">
        <v>97.587699999999998</v>
      </c>
      <c r="AQ46" s="26">
        <v>88.380099999999999</v>
      </c>
      <c r="AR46" s="26">
        <v>69.141900000000007</v>
      </c>
      <c r="AS46" s="26">
        <v>89.376300000000001</v>
      </c>
      <c r="AT46" s="26">
        <v>69.851700000000008</v>
      </c>
      <c r="AU46" s="26">
        <v>60.603099999999998</v>
      </c>
      <c r="AV46" s="26">
        <v>91.780600000000007</v>
      </c>
      <c r="AW46" s="26">
        <v>44.845700000000001</v>
      </c>
      <c r="AX46" s="26">
        <v>46.172999999999988</v>
      </c>
      <c r="AY46" s="26">
        <v>48.853299999999997</v>
      </c>
      <c r="AZ46" s="26">
        <v>65.531736734693894</v>
      </c>
      <c r="BA46" s="17">
        <v>3211.0551</v>
      </c>
    </row>
    <row r="47" spans="1:53" x14ac:dyDescent="0.25">
      <c r="A47" s="24">
        <v>46</v>
      </c>
      <c r="B47" s="26">
        <v>22.5</v>
      </c>
      <c r="C47" s="26">
        <v>40.301499999999997</v>
      </c>
      <c r="D47" s="26">
        <v>60.977200000000003</v>
      </c>
      <c r="E47" s="26">
        <v>69.892399999999995</v>
      </c>
      <c r="F47" s="26">
        <v>39.445500000000003</v>
      </c>
      <c r="G47" s="26">
        <v>54.999499999999998</v>
      </c>
      <c r="H47" s="26">
        <v>38.7776</v>
      </c>
      <c r="I47" s="26">
        <v>52.247600000000013</v>
      </c>
      <c r="J47" s="26">
        <v>96.027300000000011</v>
      </c>
      <c r="K47" s="26">
        <v>80.71390000000001</v>
      </c>
      <c r="L47" s="26">
        <v>54.468000000000004</v>
      </c>
      <c r="M47" s="26">
        <v>35.573099999999997</v>
      </c>
      <c r="N47" s="26">
        <v>56.570099999999996</v>
      </c>
      <c r="O47" s="26">
        <v>75.819499999999991</v>
      </c>
      <c r="P47" s="26">
        <v>67.789900000000003</v>
      </c>
      <c r="Q47" s="26">
        <v>85.010400000000004</v>
      </c>
      <c r="R47" s="26">
        <v>10</v>
      </c>
      <c r="S47" s="26">
        <v>65.065200000000004</v>
      </c>
      <c r="T47" s="26">
        <v>45.290200000000013</v>
      </c>
      <c r="U47" s="26">
        <v>84.525899999999993</v>
      </c>
      <c r="V47" s="26">
        <v>10</v>
      </c>
      <c r="W47" s="26">
        <v>60.917099999999998</v>
      </c>
      <c r="X47" s="26">
        <v>83.420400000000001</v>
      </c>
      <c r="Y47" s="26">
        <v>60.614999999999988</v>
      </c>
      <c r="Z47" s="26">
        <v>74.849900000000005</v>
      </c>
      <c r="AA47" s="26">
        <v>89.109899999999996</v>
      </c>
      <c r="AB47" s="26">
        <v>67.783299999999997</v>
      </c>
      <c r="AC47" s="26">
        <v>61.911799999999992</v>
      </c>
      <c r="AD47" s="26">
        <v>17.037299999999998</v>
      </c>
      <c r="AE47" s="26">
        <v>46.7348</v>
      </c>
      <c r="AF47" s="26">
        <v>83.329599999999999</v>
      </c>
      <c r="AG47" s="26">
        <v>10</v>
      </c>
      <c r="AH47" s="26">
        <v>68.293099999999995</v>
      </c>
      <c r="AI47" s="26">
        <v>37.8048</v>
      </c>
      <c r="AJ47" s="26">
        <v>75.0017</v>
      </c>
      <c r="AK47" s="26">
        <v>58.944499999999998</v>
      </c>
      <c r="AL47" s="26">
        <v>53.058999999999997</v>
      </c>
      <c r="AM47" s="26">
        <v>41.787400000000012</v>
      </c>
      <c r="AN47" s="26">
        <v>66.832800000000006</v>
      </c>
      <c r="AO47" s="26">
        <v>61.444000000000003</v>
      </c>
      <c r="AP47" s="26">
        <v>96.922600000000003</v>
      </c>
      <c r="AQ47" s="26">
        <v>87.752600000000001</v>
      </c>
      <c r="AR47" s="26">
        <v>65.402600000000007</v>
      </c>
      <c r="AS47" s="26">
        <v>83.429699999999997</v>
      </c>
      <c r="AT47" s="26">
        <v>61.419400000000003</v>
      </c>
      <c r="AU47" s="26">
        <v>45.8964</v>
      </c>
      <c r="AV47" s="26">
        <v>88.895499999999998</v>
      </c>
      <c r="AW47" s="26">
        <v>39.508899999999997</v>
      </c>
      <c r="AX47" s="26">
        <v>24.8233</v>
      </c>
      <c r="AY47" s="26">
        <v>45.500900000000001</v>
      </c>
      <c r="AZ47" s="26">
        <v>58.814757142857147</v>
      </c>
      <c r="BA47" s="17">
        <v>2881.9231</v>
      </c>
    </row>
    <row r="48" spans="1:53" x14ac:dyDescent="0.25">
      <c r="A48" s="24">
        <v>47</v>
      </c>
      <c r="B48" s="26">
        <v>23</v>
      </c>
      <c r="C48" s="26">
        <v>28.001200000000001</v>
      </c>
      <c r="D48" s="26">
        <v>52.616100000000003</v>
      </c>
      <c r="E48" s="26">
        <v>68.961600000000004</v>
      </c>
      <c r="F48" s="26">
        <v>33.300899999999999</v>
      </c>
      <c r="G48" s="26">
        <v>50.613699999999987</v>
      </c>
      <c r="H48" s="26">
        <v>33.629300000000001</v>
      </c>
      <c r="I48" s="26">
        <v>43.747100000000003</v>
      </c>
      <c r="J48" s="26">
        <v>95.613099999999989</v>
      </c>
      <c r="K48" s="26">
        <v>78.069800000000001</v>
      </c>
      <c r="L48" s="26">
        <v>48.581499999999998</v>
      </c>
      <c r="M48" s="26">
        <v>31.210699999999999</v>
      </c>
      <c r="N48" s="26">
        <v>52.045400000000001</v>
      </c>
      <c r="O48" s="26">
        <v>72.039900000000003</v>
      </c>
      <c r="P48" s="26">
        <v>64.334299999999999</v>
      </c>
      <c r="Q48" s="26">
        <v>82.73</v>
      </c>
      <c r="R48" s="26">
        <v>10</v>
      </c>
      <c r="S48" s="26">
        <v>61.234699999999997</v>
      </c>
      <c r="T48" s="26">
        <v>35.731200000000001</v>
      </c>
      <c r="U48" s="26">
        <v>81.563200000000009</v>
      </c>
      <c r="V48" s="26">
        <v>10</v>
      </c>
      <c r="W48" s="26">
        <v>49.0107</v>
      </c>
      <c r="X48" s="26">
        <v>82.755300000000005</v>
      </c>
      <c r="Y48" s="26">
        <v>58.121599999999987</v>
      </c>
      <c r="Z48" s="26">
        <v>70.56</v>
      </c>
      <c r="AA48" s="26">
        <v>87.892700000000005</v>
      </c>
      <c r="AB48" s="26">
        <v>62.133499999999998</v>
      </c>
      <c r="AC48" s="26">
        <v>56.924199999999999</v>
      </c>
      <c r="AD48" s="26">
        <v>10</v>
      </c>
      <c r="AE48" s="26">
        <v>46.220299999999988</v>
      </c>
      <c r="AF48" s="26">
        <v>77.656099999999995</v>
      </c>
      <c r="AG48" s="26">
        <v>10</v>
      </c>
      <c r="AH48" s="26">
        <v>62.7958</v>
      </c>
      <c r="AI48" s="26">
        <v>26.253</v>
      </c>
      <c r="AJ48" s="26">
        <v>66.514499999999998</v>
      </c>
      <c r="AK48" s="26">
        <v>57.461199999999998</v>
      </c>
      <c r="AL48" s="26">
        <v>36.010199999999998</v>
      </c>
      <c r="AM48" s="26">
        <v>38.015700000000002</v>
      </c>
      <c r="AN48" s="26">
        <v>55.8446</v>
      </c>
      <c r="AO48" s="26">
        <v>52.190300000000001</v>
      </c>
      <c r="AP48" s="26">
        <v>96.257599999999996</v>
      </c>
      <c r="AQ48" s="26">
        <v>87.125200000000007</v>
      </c>
      <c r="AR48" s="26">
        <v>61.042399999999986</v>
      </c>
      <c r="AS48" s="26">
        <v>74.020300000000006</v>
      </c>
      <c r="AT48" s="26">
        <v>54.000400000000013</v>
      </c>
      <c r="AU48" s="26">
        <v>39.826899999999988</v>
      </c>
      <c r="AV48" s="26">
        <v>85.687299999999993</v>
      </c>
      <c r="AW48" s="26">
        <v>34.155200000000001</v>
      </c>
      <c r="AX48" s="26">
        <v>14.869199999999999</v>
      </c>
      <c r="AY48" s="26">
        <v>38.720999999999997</v>
      </c>
      <c r="AZ48" s="26">
        <v>53.59365102040816</v>
      </c>
      <c r="BA48" s="17">
        <v>2626.0889000000002</v>
      </c>
    </row>
    <row r="49" spans="1:53" x14ac:dyDescent="0.25">
      <c r="A49" s="25">
        <v>48</v>
      </c>
      <c r="B49" s="27">
        <v>23.5</v>
      </c>
      <c r="C49" s="27">
        <v>25.741299999999999</v>
      </c>
      <c r="D49" s="27">
        <v>52.038899999999998</v>
      </c>
      <c r="E49" s="27">
        <v>66.914100000000005</v>
      </c>
      <c r="F49" s="27">
        <v>30.166699999999999</v>
      </c>
      <c r="G49" s="27">
        <v>50.011399999999988</v>
      </c>
      <c r="H49" s="27">
        <v>30.6038</v>
      </c>
      <c r="I49" s="27">
        <v>35.379300000000001</v>
      </c>
      <c r="J49" s="27">
        <v>94.2971</v>
      </c>
      <c r="K49" s="27">
        <v>62.455000000000013</v>
      </c>
      <c r="L49" s="27">
        <v>41.468500000000013</v>
      </c>
      <c r="M49" s="27">
        <v>30.1798</v>
      </c>
      <c r="N49" s="27">
        <v>50.758699999999997</v>
      </c>
      <c r="O49" s="27">
        <v>66.291899999999998</v>
      </c>
      <c r="P49" s="27">
        <v>61.808300000000003</v>
      </c>
      <c r="Q49" s="27">
        <v>63.427300000000002</v>
      </c>
      <c r="R49" s="27">
        <v>10</v>
      </c>
      <c r="S49" s="27">
        <v>54.8874</v>
      </c>
      <c r="T49" s="27">
        <v>28.453199999999999</v>
      </c>
      <c r="U49" s="27">
        <v>80.960900000000009</v>
      </c>
      <c r="V49" s="27">
        <v>10</v>
      </c>
      <c r="W49" s="27">
        <v>38.761600000000001</v>
      </c>
      <c r="X49" s="27">
        <v>81.993799999999993</v>
      </c>
      <c r="Y49" s="27">
        <v>55.332299999999996</v>
      </c>
      <c r="Z49" s="27">
        <v>65.613799999999998</v>
      </c>
      <c r="AA49" s="27">
        <v>86.876199999999997</v>
      </c>
      <c r="AB49" s="27">
        <v>56.325599999999987</v>
      </c>
      <c r="AC49" s="27">
        <v>51.546300000000002</v>
      </c>
      <c r="AD49" s="27">
        <v>10</v>
      </c>
      <c r="AE49" s="27">
        <v>44.815199999999997</v>
      </c>
      <c r="AF49" s="27">
        <v>68.71390000000001</v>
      </c>
      <c r="AG49" s="27">
        <v>10</v>
      </c>
      <c r="AH49" s="27">
        <v>58.960199999999993</v>
      </c>
      <c r="AI49" s="27">
        <v>15.938700000000001</v>
      </c>
      <c r="AJ49" s="27">
        <v>60.981399999999987</v>
      </c>
      <c r="AK49" s="27">
        <v>56.921600000000012</v>
      </c>
      <c r="AL49" s="27">
        <v>31.9846</v>
      </c>
      <c r="AM49" s="27">
        <v>34.197600000000001</v>
      </c>
      <c r="AN49" s="27">
        <v>48.920499999999997</v>
      </c>
      <c r="AO49" s="27">
        <v>43.356499999999997</v>
      </c>
      <c r="AP49" s="27">
        <v>95.592500000000001</v>
      </c>
      <c r="AQ49" s="27">
        <v>86.497799999999998</v>
      </c>
      <c r="AR49" s="27">
        <v>60.377299999999998</v>
      </c>
      <c r="AS49" s="27">
        <v>68.873800000000003</v>
      </c>
      <c r="AT49" s="27">
        <v>47.64</v>
      </c>
      <c r="AU49" s="27">
        <v>30.256699999999999</v>
      </c>
      <c r="AV49" s="27">
        <v>80.807400000000001</v>
      </c>
      <c r="AW49" s="27">
        <v>33.527700000000003</v>
      </c>
      <c r="AX49" s="27">
        <v>11.568899999999999</v>
      </c>
      <c r="AY49" s="27">
        <v>32.232199999999999</v>
      </c>
      <c r="AZ49" s="27">
        <v>49.274646938775497</v>
      </c>
      <c r="BA49" s="33">
        <v>2414.457699999999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53" width="15" customWidth="1"/>
  </cols>
  <sheetData>
    <row r="1" spans="1:53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9" t="s">
        <v>87</v>
      </c>
    </row>
    <row r="2" spans="1:53" x14ac:dyDescent="0.25">
      <c r="A2" s="24">
        <v>1</v>
      </c>
      <c r="B2" s="26">
        <v>0</v>
      </c>
      <c r="C2" s="28">
        <v>0.189654666666667</v>
      </c>
      <c r="D2" s="28">
        <v>4.5999999999999999E-2</v>
      </c>
      <c r="E2" s="28">
        <v>4.5999999999999999E-2</v>
      </c>
      <c r="F2" s="28">
        <v>0.38045800000000002</v>
      </c>
      <c r="G2" s="28">
        <v>4.8000000000000001E-2</v>
      </c>
      <c r="H2" s="28">
        <v>0.103571</v>
      </c>
      <c r="I2" s="28">
        <v>0.33975266666666698</v>
      </c>
      <c r="J2" s="28">
        <v>3.3000000000000002E-2</v>
      </c>
      <c r="K2" s="28">
        <v>4.5999999999999999E-2</v>
      </c>
      <c r="L2" s="28">
        <v>9.7584000000000101E-2</v>
      </c>
      <c r="M2" s="28">
        <v>5.3999999999999999E-2</v>
      </c>
      <c r="N2" s="28">
        <v>0.59939466666666696</v>
      </c>
      <c r="O2" s="28">
        <v>7.1858666666666696E-2</v>
      </c>
      <c r="P2" s="28">
        <v>0.14442866666666701</v>
      </c>
      <c r="Q2" s="28">
        <v>0.165051</v>
      </c>
      <c r="R2" s="28">
        <v>0.160399666666667</v>
      </c>
      <c r="S2" s="28">
        <v>0.13142000000000001</v>
      </c>
      <c r="T2" s="28">
        <v>0.14851066666666701</v>
      </c>
      <c r="U2" s="28">
        <v>4.8000000000000001E-2</v>
      </c>
      <c r="V2" s="28">
        <v>0.14905333333333301</v>
      </c>
      <c r="W2" s="28">
        <v>0.14990666666666699</v>
      </c>
      <c r="X2" s="28">
        <v>5.2999999999999999E-2</v>
      </c>
      <c r="Y2" s="28">
        <v>0.147818</v>
      </c>
      <c r="Z2" s="28">
        <v>0.109567333333333</v>
      </c>
      <c r="AA2" s="28">
        <v>8.1002666666666695E-2</v>
      </c>
      <c r="AB2" s="28">
        <v>0.33479833333333298</v>
      </c>
      <c r="AC2" s="28">
        <v>5.3999999999999999E-2</v>
      </c>
      <c r="AD2" s="28">
        <v>0.06</v>
      </c>
      <c r="AE2" s="28">
        <v>4.1000000000000002E-2</v>
      </c>
      <c r="AF2" s="28">
        <v>5.2999999999999999E-2</v>
      </c>
      <c r="AG2" s="28">
        <v>5.8999999999999997E-2</v>
      </c>
      <c r="AH2" s="28">
        <v>0.11053</v>
      </c>
      <c r="AI2" s="28">
        <v>0.498861</v>
      </c>
      <c r="AJ2" s="28">
        <v>0.15209166666666701</v>
      </c>
      <c r="AK2" s="28">
        <v>4.2999999999999997E-2</v>
      </c>
      <c r="AL2" s="28">
        <v>0.148933333333333</v>
      </c>
      <c r="AM2" s="28">
        <v>4.9000000000000002E-2</v>
      </c>
      <c r="AN2" s="28">
        <v>7.8668333333333396E-2</v>
      </c>
      <c r="AO2" s="28">
        <v>0.13787566666666701</v>
      </c>
      <c r="AP2" s="28">
        <v>5.2999999999999999E-2</v>
      </c>
      <c r="AQ2" s="28">
        <v>0.63887066666666703</v>
      </c>
      <c r="AR2" s="28">
        <v>5.2999999999999999E-2</v>
      </c>
      <c r="AS2" s="28">
        <v>0.55198800000000003</v>
      </c>
      <c r="AT2" s="28">
        <v>0.68291433333333296</v>
      </c>
      <c r="AU2" s="28">
        <v>0.73371900000000001</v>
      </c>
      <c r="AV2" s="28">
        <v>0.101992</v>
      </c>
      <c r="AW2" s="28">
        <v>0.160350666666667</v>
      </c>
      <c r="AX2" s="28">
        <v>0.13304733333333299</v>
      </c>
      <c r="AY2" s="28">
        <v>0.76860333333333297</v>
      </c>
      <c r="AZ2" s="28">
        <v>0.18860561904761911</v>
      </c>
      <c r="BA2" s="34">
        <v>9.241675333333335</v>
      </c>
    </row>
    <row r="3" spans="1:53" x14ac:dyDescent="0.25">
      <c r="A3" s="24">
        <v>2</v>
      </c>
      <c r="B3" s="26">
        <v>0.5</v>
      </c>
      <c r="C3" s="28">
        <v>0.26113199999999998</v>
      </c>
      <c r="D3" s="28">
        <v>0.107152</v>
      </c>
      <c r="E3" s="28">
        <v>0.309798666666667</v>
      </c>
      <c r="F3" s="28">
        <v>0.124726</v>
      </c>
      <c r="G3" s="28">
        <v>0.20954793333333299</v>
      </c>
      <c r="H3" s="28">
        <v>0.170627</v>
      </c>
      <c r="I3" s="28">
        <v>5.2999999999999999E-2</v>
      </c>
      <c r="J3" s="28">
        <v>3.3000000000000002E-2</v>
      </c>
      <c r="K3" s="28">
        <v>0.199406</v>
      </c>
      <c r="L3" s="28">
        <v>7.8173999999999993E-2</v>
      </c>
      <c r="M3" s="28">
        <v>0.171895666666667</v>
      </c>
      <c r="N3" s="28">
        <v>0.54421533333333405</v>
      </c>
      <c r="O3" s="28">
        <v>4.2000000000000003E-2</v>
      </c>
      <c r="P3" s="28">
        <v>0.22984733333333299</v>
      </c>
      <c r="Q3" s="28">
        <v>4.7E-2</v>
      </c>
      <c r="R3" s="28">
        <v>5.5E-2</v>
      </c>
      <c r="S3" s="28">
        <v>5.5E-2</v>
      </c>
      <c r="T3" s="28">
        <v>0.17041066666666699</v>
      </c>
      <c r="U3" s="28">
        <v>9.1037999999999994E-2</v>
      </c>
      <c r="V3" s="28">
        <v>0.13905999999999999</v>
      </c>
      <c r="W3" s="28">
        <v>0.05</v>
      </c>
      <c r="X3" s="28">
        <v>5.2999999999999999E-2</v>
      </c>
      <c r="Y3" s="28">
        <v>0.105896</v>
      </c>
      <c r="Z3" s="28">
        <v>5.1982333333333401E-2</v>
      </c>
      <c r="AA3" s="28">
        <v>0.27957399999999999</v>
      </c>
      <c r="AB3" s="28">
        <v>1.29862266666667</v>
      </c>
      <c r="AC3" s="28">
        <v>5.3999999999999999E-2</v>
      </c>
      <c r="AD3" s="28">
        <v>0.242765333333333</v>
      </c>
      <c r="AE3" s="28">
        <v>0.111968</v>
      </c>
      <c r="AF3" s="28">
        <v>5.2999999999999999E-2</v>
      </c>
      <c r="AG3" s="28">
        <v>0.147547333333333</v>
      </c>
      <c r="AH3" s="28">
        <v>0.14093600000000001</v>
      </c>
      <c r="AI3" s="28">
        <v>0.62133566666666695</v>
      </c>
      <c r="AJ3" s="28">
        <v>4.1000000000000002E-2</v>
      </c>
      <c r="AK3" s="28">
        <v>4.2999999999999997E-2</v>
      </c>
      <c r="AL3" s="28">
        <v>8.2099999999999895E-2</v>
      </c>
      <c r="AM3" s="28">
        <v>0.22269</v>
      </c>
      <c r="AN3" s="28">
        <v>0.196272</v>
      </c>
      <c r="AO3" s="28">
        <v>7.9057000000000002E-2</v>
      </c>
      <c r="AP3" s="28">
        <v>5.2999999999999999E-2</v>
      </c>
      <c r="AQ3" s="28">
        <v>0.05</v>
      </c>
      <c r="AR3" s="28">
        <v>5.2999999999999999E-2</v>
      </c>
      <c r="AS3" s="28">
        <v>0.533625666666667</v>
      </c>
      <c r="AT3" s="28">
        <v>0.148653333333333</v>
      </c>
      <c r="AU3" s="28">
        <v>0.438182666666667</v>
      </c>
      <c r="AV3" s="28">
        <v>0.13355966666666699</v>
      </c>
      <c r="AW3" s="28">
        <v>0.14604900000000001</v>
      </c>
      <c r="AX3" s="28">
        <v>0.17259566666666701</v>
      </c>
      <c r="AY3" s="28">
        <v>0.109488</v>
      </c>
      <c r="AZ3" s="28">
        <v>0.17969246802721101</v>
      </c>
      <c r="BA3" s="34">
        <v>8.8049309333333383</v>
      </c>
    </row>
    <row r="4" spans="1:53" x14ac:dyDescent="0.25">
      <c r="A4" s="24">
        <v>3</v>
      </c>
      <c r="B4" s="26">
        <v>1</v>
      </c>
      <c r="C4" s="28">
        <v>7.9125333333333395E-2</v>
      </c>
      <c r="D4" s="28">
        <v>0.19076399999999999</v>
      </c>
      <c r="E4" s="28">
        <v>5.7270666666666699E-2</v>
      </c>
      <c r="F4" s="28">
        <v>4.8000000000000001E-2</v>
      </c>
      <c r="G4" s="28">
        <v>4.8000000000000001E-2</v>
      </c>
      <c r="H4" s="28">
        <v>9.758E-2</v>
      </c>
      <c r="I4" s="28">
        <v>0.16172466666666699</v>
      </c>
      <c r="J4" s="28">
        <v>3.3000000000000002E-2</v>
      </c>
      <c r="K4" s="28">
        <v>4.5999999999999999E-2</v>
      </c>
      <c r="L4" s="28">
        <v>9.3702000000000105E-2</v>
      </c>
      <c r="M4" s="28">
        <v>7.8632999999999995E-2</v>
      </c>
      <c r="N4" s="28">
        <v>0.54750900000000002</v>
      </c>
      <c r="O4" s="28">
        <v>4.2000000000000003E-2</v>
      </c>
      <c r="P4" s="28">
        <v>0.16108033333333299</v>
      </c>
      <c r="Q4" s="28">
        <v>0.22065000000000001</v>
      </c>
      <c r="R4" s="28">
        <v>5.5E-2</v>
      </c>
      <c r="S4" s="28">
        <v>8.6841666666666706E-2</v>
      </c>
      <c r="T4" s="28">
        <v>0.22045799999999999</v>
      </c>
      <c r="U4" s="28">
        <v>0.162768</v>
      </c>
      <c r="V4" s="28">
        <v>8.3027999999999894E-2</v>
      </c>
      <c r="W4" s="28">
        <v>0.05</v>
      </c>
      <c r="X4" s="28">
        <v>0.160594666666667</v>
      </c>
      <c r="Y4" s="28">
        <v>0.05</v>
      </c>
      <c r="Z4" s="28">
        <v>0.16804966666666701</v>
      </c>
      <c r="AA4" s="28">
        <v>4.9000000000000002E-2</v>
      </c>
      <c r="AB4" s="28">
        <v>0.42435666666666699</v>
      </c>
      <c r="AC4" s="28">
        <v>0.22922999999999999</v>
      </c>
      <c r="AD4" s="28">
        <v>0.152036</v>
      </c>
      <c r="AE4" s="28">
        <v>4.1000000000000002E-2</v>
      </c>
      <c r="AF4" s="28">
        <v>5.2999999999999999E-2</v>
      </c>
      <c r="AG4" s="28">
        <v>0.12030200000000001</v>
      </c>
      <c r="AH4" s="28">
        <v>3.5999999999999997E-2</v>
      </c>
      <c r="AI4" s="28">
        <v>0.26789200000000002</v>
      </c>
      <c r="AJ4" s="28">
        <v>0.24309</v>
      </c>
      <c r="AK4" s="28">
        <v>0.39146566666666699</v>
      </c>
      <c r="AL4" s="28">
        <v>4.2000000000000003E-2</v>
      </c>
      <c r="AM4" s="28">
        <v>4.9000000000000002E-2</v>
      </c>
      <c r="AN4" s="28">
        <v>0.137052333333333</v>
      </c>
      <c r="AO4" s="28">
        <v>5.7000000000000002E-2</v>
      </c>
      <c r="AP4" s="28">
        <v>5.2999999999999999E-2</v>
      </c>
      <c r="AQ4" s="28">
        <v>0.05</v>
      </c>
      <c r="AR4" s="28">
        <v>5.2999999999999999E-2</v>
      </c>
      <c r="AS4" s="28">
        <v>7.9076999999999995E-2</v>
      </c>
      <c r="AT4" s="28">
        <v>0.14333399999999999</v>
      </c>
      <c r="AU4" s="28">
        <v>0.83146533333333295</v>
      </c>
      <c r="AV4" s="28">
        <v>0.15077699999999999</v>
      </c>
      <c r="AW4" s="28">
        <v>9.9305666666666501E-2</v>
      </c>
      <c r="AX4" s="28">
        <v>0.103509333333333</v>
      </c>
      <c r="AY4" s="28">
        <v>0.21719866666666701</v>
      </c>
      <c r="AZ4" s="28">
        <v>0.14316062585034009</v>
      </c>
      <c r="BA4" s="34">
        <v>7.0148706666666651</v>
      </c>
    </row>
    <row r="5" spans="1:53" x14ac:dyDescent="0.25">
      <c r="A5" s="24">
        <v>4</v>
      </c>
      <c r="B5" s="26">
        <v>1.5</v>
      </c>
      <c r="C5" s="28">
        <v>0.25947266666666702</v>
      </c>
      <c r="D5" s="28">
        <v>7.2517999999999999E-2</v>
      </c>
      <c r="E5" s="28">
        <v>0.117800666666667</v>
      </c>
      <c r="F5" s="28">
        <v>0.16603999999999999</v>
      </c>
      <c r="G5" s="28">
        <v>4.8000000000000001E-2</v>
      </c>
      <c r="H5" s="28">
        <v>5.8618999999999997E-2</v>
      </c>
      <c r="I5" s="28">
        <v>0.242873333333333</v>
      </c>
      <c r="J5" s="28">
        <v>6.8936999999999998E-2</v>
      </c>
      <c r="K5" s="28">
        <v>0.15756800000000001</v>
      </c>
      <c r="L5" s="28">
        <v>5.0999999999999997E-2</v>
      </c>
      <c r="M5" s="28">
        <v>8.2152000000000003E-2</v>
      </c>
      <c r="N5" s="28">
        <v>0.65628366666666704</v>
      </c>
      <c r="O5" s="28">
        <v>0.206222666666667</v>
      </c>
      <c r="P5" s="28">
        <v>0.15299033333333301</v>
      </c>
      <c r="Q5" s="28">
        <v>0.12153600000000001</v>
      </c>
      <c r="R5" s="28">
        <v>0.111753666666667</v>
      </c>
      <c r="S5" s="28">
        <v>0.163261666666667</v>
      </c>
      <c r="T5" s="28">
        <v>0.176853333333333</v>
      </c>
      <c r="U5" s="28">
        <v>0.125886</v>
      </c>
      <c r="V5" s="28">
        <v>3.4000000000000002E-2</v>
      </c>
      <c r="W5" s="28">
        <v>0.104948666666667</v>
      </c>
      <c r="X5" s="28">
        <v>5.2999999999999999E-2</v>
      </c>
      <c r="Y5" s="28">
        <v>0.05</v>
      </c>
      <c r="Z5" s="28">
        <v>0.11082</v>
      </c>
      <c r="AA5" s="28">
        <v>0.20263</v>
      </c>
      <c r="AB5" s="28">
        <v>0.10761999999999999</v>
      </c>
      <c r="AC5" s="28">
        <v>5.3999999999999999E-2</v>
      </c>
      <c r="AD5" s="28">
        <v>0.190173333333333</v>
      </c>
      <c r="AE5" s="28">
        <v>0.111968</v>
      </c>
      <c r="AF5" s="28">
        <v>5.2999999999999999E-2</v>
      </c>
      <c r="AG5" s="28">
        <v>7.9434000000000005E-2</v>
      </c>
      <c r="AH5" s="28">
        <v>6.5811999999999996E-2</v>
      </c>
      <c r="AI5" s="28">
        <v>0.17647033333333301</v>
      </c>
      <c r="AJ5" s="28">
        <v>4.1000000000000002E-2</v>
      </c>
      <c r="AK5" s="28">
        <v>0.21921933333333299</v>
      </c>
      <c r="AL5" s="28">
        <v>0.189033333333333</v>
      </c>
      <c r="AM5" s="28">
        <v>4.9000000000000002E-2</v>
      </c>
      <c r="AN5" s="28">
        <v>0.184762333333333</v>
      </c>
      <c r="AO5" s="28">
        <v>0.159932666666667</v>
      </c>
      <c r="AP5" s="28">
        <v>5.2999999999999999E-2</v>
      </c>
      <c r="AQ5" s="28">
        <v>0.05</v>
      </c>
      <c r="AR5" s="28">
        <v>5.2999999999999999E-2</v>
      </c>
      <c r="AS5" s="28">
        <v>8.5179999999999895E-2</v>
      </c>
      <c r="AT5" s="28">
        <v>5.3999999999999999E-2</v>
      </c>
      <c r="AU5" s="28">
        <v>0.66541733333333297</v>
      </c>
      <c r="AV5" s="28">
        <v>0.05</v>
      </c>
      <c r="AW5" s="28">
        <v>0.24637800000000001</v>
      </c>
      <c r="AX5" s="28">
        <v>8.9882000000000004E-2</v>
      </c>
      <c r="AY5" s="28">
        <v>0.109488</v>
      </c>
      <c r="AZ5" s="28">
        <v>0.13740688435374149</v>
      </c>
      <c r="BA5" s="34">
        <v>6.7329373333333322</v>
      </c>
    </row>
    <row r="6" spans="1:53" x14ac:dyDescent="0.25">
      <c r="A6" s="24">
        <v>5</v>
      </c>
      <c r="B6" s="26">
        <v>2</v>
      </c>
      <c r="C6" s="28">
        <v>0.17019166666666699</v>
      </c>
      <c r="D6" s="28">
        <v>0.19888</v>
      </c>
      <c r="E6" s="28">
        <v>0.16138266666666701</v>
      </c>
      <c r="F6" s="28">
        <v>4.8000000000000001E-2</v>
      </c>
      <c r="G6" s="28">
        <v>7.1841333333333396E-2</v>
      </c>
      <c r="H6" s="28">
        <v>0.26015899999999997</v>
      </c>
      <c r="I6" s="28">
        <v>8.6633000000000002E-2</v>
      </c>
      <c r="J6" s="28">
        <v>6.8936999999999998E-2</v>
      </c>
      <c r="K6" s="28">
        <v>8.7837999999999902E-2</v>
      </c>
      <c r="L6" s="28">
        <v>5.0999999999999997E-2</v>
      </c>
      <c r="M6" s="28">
        <v>8.9189999999999894E-2</v>
      </c>
      <c r="N6" s="28">
        <v>0.33393733333333298</v>
      </c>
      <c r="O6" s="28">
        <v>4.2000000000000003E-2</v>
      </c>
      <c r="P6" s="28">
        <v>9.6337999999999993E-2</v>
      </c>
      <c r="Q6" s="28">
        <v>8.2456000000000002E-2</v>
      </c>
      <c r="R6" s="28">
        <v>0.17661499999999999</v>
      </c>
      <c r="S6" s="28">
        <v>5.5E-2</v>
      </c>
      <c r="T6" s="28">
        <v>4.8000000000000001E-2</v>
      </c>
      <c r="U6" s="28">
        <v>0.20580599999999999</v>
      </c>
      <c r="V6" s="28">
        <v>0.19107733333333299</v>
      </c>
      <c r="W6" s="28">
        <v>9.4957999999999904E-2</v>
      </c>
      <c r="X6" s="28">
        <v>0.14522399999999999</v>
      </c>
      <c r="Y6" s="28">
        <v>0.20371400000000001</v>
      </c>
      <c r="Z6" s="28">
        <v>9.5787999999999998E-2</v>
      </c>
      <c r="AA6" s="28">
        <v>0.15794666666666701</v>
      </c>
      <c r="AB6" s="28">
        <v>0.12892833333333301</v>
      </c>
      <c r="AC6" s="28">
        <v>0.20533499999999999</v>
      </c>
      <c r="AD6" s="28">
        <v>0.18490599999999999</v>
      </c>
      <c r="AE6" s="28">
        <v>4.1000000000000002E-2</v>
      </c>
      <c r="AF6" s="28">
        <v>5.2999999999999999E-2</v>
      </c>
      <c r="AG6" s="28">
        <v>0.18841533333333299</v>
      </c>
      <c r="AH6" s="28">
        <v>0.170154</v>
      </c>
      <c r="AI6" s="28">
        <v>0.18656200000000001</v>
      </c>
      <c r="AJ6" s="28">
        <v>4.1000000000000002E-2</v>
      </c>
      <c r="AK6" s="28">
        <v>0.22464799999999999</v>
      </c>
      <c r="AL6" s="28">
        <v>4.2000000000000003E-2</v>
      </c>
      <c r="AM6" s="28">
        <v>0.22269</v>
      </c>
      <c r="AN6" s="28">
        <v>0.17723033333333299</v>
      </c>
      <c r="AO6" s="28">
        <v>5.7000000000000002E-2</v>
      </c>
      <c r="AP6" s="28">
        <v>5.2999999999999999E-2</v>
      </c>
      <c r="AQ6" s="28">
        <v>0.05</v>
      </c>
      <c r="AR6" s="28">
        <v>5.2999999999999999E-2</v>
      </c>
      <c r="AS6" s="28">
        <v>4.6991333333333399E-2</v>
      </c>
      <c r="AT6" s="28">
        <v>5.3999999999999999E-2</v>
      </c>
      <c r="AU6" s="28">
        <v>0.48988799999999999</v>
      </c>
      <c r="AV6" s="28">
        <v>0.234336666666667</v>
      </c>
      <c r="AW6" s="28">
        <v>0.14861133333333301</v>
      </c>
      <c r="AX6" s="28">
        <v>0.20894733333333301</v>
      </c>
      <c r="AY6" s="28">
        <v>3.3000000000000002E-2</v>
      </c>
      <c r="AZ6" s="28">
        <v>0.13301136054421769</v>
      </c>
      <c r="BA6" s="34">
        <v>6.5175566666666667</v>
      </c>
    </row>
    <row r="7" spans="1:53" x14ac:dyDescent="0.25">
      <c r="A7" s="24">
        <v>6</v>
      </c>
      <c r="B7" s="26">
        <v>2.5</v>
      </c>
      <c r="C7" s="28">
        <v>0.154289333333333</v>
      </c>
      <c r="D7" s="28">
        <v>4.5999999999999999E-2</v>
      </c>
      <c r="E7" s="28">
        <v>6.2906000000000004E-2</v>
      </c>
      <c r="F7" s="28">
        <v>0.16603999999999999</v>
      </c>
      <c r="G7" s="28">
        <v>0.14336533333333301</v>
      </c>
      <c r="H7" s="28">
        <v>5.2999999999999999E-2</v>
      </c>
      <c r="I7" s="28">
        <v>8.6633000000000002E-2</v>
      </c>
      <c r="J7" s="28">
        <v>3.3000000000000002E-2</v>
      </c>
      <c r="K7" s="28">
        <v>4.5999999999999999E-2</v>
      </c>
      <c r="L7" s="28">
        <v>5.0999999999999997E-2</v>
      </c>
      <c r="M7" s="28">
        <v>5.3999999999999999E-2</v>
      </c>
      <c r="N7" s="28">
        <v>9.5999999999999905E-2</v>
      </c>
      <c r="O7" s="28">
        <v>8.6788000000000004E-2</v>
      </c>
      <c r="P7" s="28">
        <v>0.30364333333333299</v>
      </c>
      <c r="Q7" s="28">
        <v>9.1320000000000096E-2</v>
      </c>
      <c r="R7" s="28">
        <v>5.5E-2</v>
      </c>
      <c r="S7" s="28">
        <v>5.5E-2</v>
      </c>
      <c r="T7" s="28">
        <v>0.22045799999999999</v>
      </c>
      <c r="U7" s="28">
        <v>0.125886</v>
      </c>
      <c r="V7" s="28">
        <v>0.146064</v>
      </c>
      <c r="W7" s="28">
        <v>0.05</v>
      </c>
      <c r="X7" s="28">
        <v>6.8370666666666594E-2</v>
      </c>
      <c r="Y7" s="28">
        <v>0.05</v>
      </c>
      <c r="Z7" s="28">
        <v>0.13994899999999999</v>
      </c>
      <c r="AA7" s="28">
        <v>4.9000000000000002E-2</v>
      </c>
      <c r="AB7" s="28">
        <v>0.19354833333333299</v>
      </c>
      <c r="AC7" s="28">
        <v>7.7895000000000006E-2</v>
      </c>
      <c r="AD7" s="28">
        <v>0.20989533333333299</v>
      </c>
      <c r="AE7" s="28">
        <v>0.111968</v>
      </c>
      <c r="AF7" s="28">
        <v>5.2999999999999999E-2</v>
      </c>
      <c r="AG7" s="28">
        <v>5.8999999999999997E-2</v>
      </c>
      <c r="AH7" s="28">
        <v>3.5999999999999997E-2</v>
      </c>
      <c r="AI7" s="28">
        <v>0.27208533333333301</v>
      </c>
      <c r="AJ7" s="28">
        <v>0.21335499999999999</v>
      </c>
      <c r="AK7" s="28">
        <v>0.11821</v>
      </c>
      <c r="AL7" s="28">
        <v>4.2000000000000003E-2</v>
      </c>
      <c r="AM7" s="28">
        <v>4.9000000000000002E-2</v>
      </c>
      <c r="AN7" s="28">
        <v>6.1467333333333402E-2</v>
      </c>
      <c r="AO7" s="28">
        <v>7.9057000000000002E-2</v>
      </c>
      <c r="AP7" s="28">
        <v>5.2999999999999999E-2</v>
      </c>
      <c r="AQ7" s="28">
        <v>0.05</v>
      </c>
      <c r="AR7" s="28">
        <v>5.2999999999999999E-2</v>
      </c>
      <c r="AS7" s="28">
        <v>0.16391333333333299</v>
      </c>
      <c r="AT7" s="28">
        <v>0.14333399999999999</v>
      </c>
      <c r="AU7" s="28">
        <v>0.56713533333333299</v>
      </c>
      <c r="AV7" s="28">
        <v>0.05</v>
      </c>
      <c r="AW7" s="28">
        <v>0.24637800000000001</v>
      </c>
      <c r="AX7" s="28">
        <v>0.14439133333333301</v>
      </c>
      <c r="AY7" s="28">
        <v>0.109488</v>
      </c>
      <c r="AZ7" s="28">
        <v>0.11409865306122439</v>
      </c>
      <c r="BA7" s="34">
        <v>5.5908339999999956</v>
      </c>
    </row>
    <row r="8" spans="1:53" x14ac:dyDescent="0.25">
      <c r="A8" s="24">
        <v>7</v>
      </c>
      <c r="B8" s="26">
        <v>3</v>
      </c>
      <c r="C8" s="28">
        <v>0.204339666666667</v>
      </c>
      <c r="D8" s="28">
        <v>0.243076666666667</v>
      </c>
      <c r="E8" s="28">
        <v>0.23599400000000001</v>
      </c>
      <c r="F8" s="28">
        <v>4.8000000000000001E-2</v>
      </c>
      <c r="G8" s="28">
        <v>4.8000000000000001E-2</v>
      </c>
      <c r="H8" s="28">
        <v>0.132253333333333</v>
      </c>
      <c r="I8" s="28">
        <v>0.195140333333333</v>
      </c>
      <c r="J8" s="28">
        <v>3.3000000000000002E-2</v>
      </c>
      <c r="K8" s="28">
        <v>0.199406</v>
      </c>
      <c r="L8" s="28">
        <v>0.120876</v>
      </c>
      <c r="M8" s="28">
        <v>5.3999999999999999E-2</v>
      </c>
      <c r="N8" s="28">
        <v>4.4999999999999998E-2</v>
      </c>
      <c r="O8" s="28">
        <v>0.161434666666667</v>
      </c>
      <c r="P8" s="28">
        <v>9.3984666666666605E-2</v>
      </c>
      <c r="Q8" s="28">
        <v>0.192445</v>
      </c>
      <c r="R8" s="28">
        <v>0.233368666666667</v>
      </c>
      <c r="S8" s="28">
        <v>0.19510333333333299</v>
      </c>
      <c r="T8" s="28">
        <v>0.176853333333333</v>
      </c>
      <c r="U8" s="28">
        <v>4.8000000000000001E-2</v>
      </c>
      <c r="V8" s="28">
        <v>3.4000000000000002E-2</v>
      </c>
      <c r="W8" s="28">
        <v>0.13492066666666699</v>
      </c>
      <c r="X8" s="28">
        <v>5.2999999999999999E-2</v>
      </c>
      <c r="Y8" s="28">
        <v>0.126857</v>
      </c>
      <c r="Z8" s="28">
        <v>9.5115000000000005E-2</v>
      </c>
      <c r="AA8" s="28">
        <v>0.13556199999999999</v>
      </c>
      <c r="AB8" s="28">
        <v>4.2999999999999997E-2</v>
      </c>
      <c r="AC8" s="28">
        <v>5.3999999999999999E-2</v>
      </c>
      <c r="AD8" s="28">
        <v>0.06</v>
      </c>
      <c r="AE8" s="28">
        <v>4.1000000000000002E-2</v>
      </c>
      <c r="AF8" s="28">
        <v>5.2999999999999999E-2</v>
      </c>
      <c r="AG8" s="28">
        <v>5.8999999999999997E-2</v>
      </c>
      <c r="AH8" s="28">
        <v>0.199966</v>
      </c>
      <c r="AI8" s="28">
        <v>0.179419666666667</v>
      </c>
      <c r="AJ8" s="28">
        <v>7.0734999999999895E-2</v>
      </c>
      <c r="AK8" s="28">
        <v>4.2999999999999997E-2</v>
      </c>
      <c r="AL8" s="28">
        <v>0.1222</v>
      </c>
      <c r="AM8" s="28">
        <v>4.9000000000000002E-2</v>
      </c>
      <c r="AN8" s="28">
        <v>0.25365100000000002</v>
      </c>
      <c r="AO8" s="28">
        <v>0.13787566666666701</v>
      </c>
      <c r="AP8" s="28">
        <v>5.2999999999999999E-2</v>
      </c>
      <c r="AQ8" s="28">
        <v>0.05</v>
      </c>
      <c r="AR8" s="28">
        <v>5.2999999999999999E-2</v>
      </c>
      <c r="AS8" s="28">
        <v>0.11076999999999999</v>
      </c>
      <c r="AT8" s="28">
        <v>5.3999999999999999E-2</v>
      </c>
      <c r="AU8" s="28">
        <v>0.206956</v>
      </c>
      <c r="AV8" s="28">
        <v>0.05</v>
      </c>
      <c r="AW8" s="28">
        <v>0.05</v>
      </c>
      <c r="AX8" s="28">
        <v>4.9000000000000002E-2</v>
      </c>
      <c r="AY8" s="28">
        <v>5.8118000000000003E-2</v>
      </c>
      <c r="AZ8" s="28">
        <v>0.1089881972789116</v>
      </c>
      <c r="BA8" s="34">
        <v>5.3404216666666668</v>
      </c>
    </row>
    <row r="9" spans="1:53" x14ac:dyDescent="0.25">
      <c r="A9" s="24">
        <v>8</v>
      </c>
      <c r="B9" s="26">
        <v>3.5</v>
      </c>
      <c r="C9" s="28">
        <v>0.181849333333333</v>
      </c>
      <c r="D9" s="28">
        <v>8.1357333333333295E-2</v>
      </c>
      <c r="E9" s="28">
        <v>0.13107533333333299</v>
      </c>
      <c r="F9" s="28">
        <v>7.1608000000000005E-2</v>
      </c>
      <c r="G9" s="28">
        <v>4.8000000000000001E-2</v>
      </c>
      <c r="H9" s="28">
        <v>0.18652466666666701</v>
      </c>
      <c r="I9" s="28">
        <v>0.156153666666667</v>
      </c>
      <c r="J9" s="28">
        <v>3.3000000000000002E-2</v>
      </c>
      <c r="K9" s="28">
        <v>4.5999999999999999E-2</v>
      </c>
      <c r="L9" s="28">
        <v>5.0999999999999997E-2</v>
      </c>
      <c r="M9" s="28">
        <v>0.117342</v>
      </c>
      <c r="N9" s="28">
        <v>0.18665799999999999</v>
      </c>
      <c r="O9" s="28">
        <v>4.2000000000000003E-2</v>
      </c>
      <c r="P9" s="28">
        <v>0.18300666666666701</v>
      </c>
      <c r="Q9" s="28">
        <v>8.3261000000000002E-2</v>
      </c>
      <c r="R9" s="28">
        <v>5.5E-2</v>
      </c>
      <c r="S9" s="28">
        <v>5.5E-2</v>
      </c>
      <c r="T9" s="28">
        <v>0.13422899999999999</v>
      </c>
      <c r="U9" s="28">
        <v>0.26638400000000001</v>
      </c>
      <c r="V9" s="28">
        <v>0.18808800000000001</v>
      </c>
      <c r="W9" s="28">
        <v>6.4986000000000002E-2</v>
      </c>
      <c r="X9" s="28">
        <v>0.15290933333333301</v>
      </c>
      <c r="Y9" s="28">
        <v>0.126857</v>
      </c>
      <c r="Z9" s="28">
        <v>0.119682</v>
      </c>
      <c r="AA9" s="28">
        <v>0.20101266666666701</v>
      </c>
      <c r="AB9" s="28">
        <v>0.18361</v>
      </c>
      <c r="AC9" s="28">
        <v>0.22922999999999999</v>
      </c>
      <c r="AD9" s="28">
        <v>0.33480133333333301</v>
      </c>
      <c r="AE9" s="28">
        <v>4.1000000000000002E-2</v>
      </c>
      <c r="AF9" s="28">
        <v>5.2999999999999999E-2</v>
      </c>
      <c r="AG9" s="28">
        <v>0.208849333333333</v>
      </c>
      <c r="AH9" s="28">
        <v>3.5999999999999997E-2</v>
      </c>
      <c r="AI9" s="28">
        <v>0.255002333333333</v>
      </c>
      <c r="AJ9" s="28">
        <v>5.2839999999999998E-2</v>
      </c>
      <c r="AK9" s="28">
        <v>4.2999999999999997E-2</v>
      </c>
      <c r="AL9" s="28">
        <v>0.108833333333333</v>
      </c>
      <c r="AM9" s="28">
        <v>0.19111</v>
      </c>
      <c r="AN9" s="28">
        <v>9.6874333333333201E-2</v>
      </c>
      <c r="AO9" s="28">
        <v>5.7000000000000002E-2</v>
      </c>
      <c r="AP9" s="28">
        <v>5.2999999999999999E-2</v>
      </c>
      <c r="AQ9" s="28">
        <v>0.05</v>
      </c>
      <c r="AR9" s="28">
        <v>5.2999999999999999E-2</v>
      </c>
      <c r="AS9" s="28">
        <v>0.17690466666666699</v>
      </c>
      <c r="AT9" s="28">
        <v>9.8667000000000005E-2</v>
      </c>
      <c r="AU9" s="28">
        <v>5.2999999999999999E-2</v>
      </c>
      <c r="AV9" s="28">
        <v>0.12798799999999999</v>
      </c>
      <c r="AW9" s="28">
        <v>8.9284000000000002E-2</v>
      </c>
      <c r="AX9" s="28">
        <v>0.179866</v>
      </c>
      <c r="AY9" s="28">
        <v>0.19208066666666701</v>
      </c>
      <c r="AZ9" s="28">
        <v>0.1209780612244898</v>
      </c>
      <c r="BA9" s="34">
        <v>5.9279249999999983</v>
      </c>
    </row>
    <row r="10" spans="1:53" x14ac:dyDescent="0.25">
      <c r="A10" s="24">
        <v>9</v>
      </c>
      <c r="B10" s="26">
        <v>4</v>
      </c>
      <c r="C10" s="28">
        <v>0.14250133333333301</v>
      </c>
      <c r="D10" s="28">
        <v>8.5777000000000006E-2</v>
      </c>
      <c r="E10" s="28">
        <v>0.47996933333333303</v>
      </c>
      <c r="F10" s="28">
        <v>0.142432</v>
      </c>
      <c r="G10" s="28">
        <v>4.8000000000000001E-2</v>
      </c>
      <c r="H10" s="28">
        <v>5.2999999999999999E-2</v>
      </c>
      <c r="I10" s="28">
        <v>0.17702733333333301</v>
      </c>
      <c r="J10" s="28">
        <v>9.6888000000000002E-2</v>
      </c>
      <c r="K10" s="28">
        <v>0.13664899999999999</v>
      </c>
      <c r="L10" s="28">
        <v>5.0999999999999997E-2</v>
      </c>
      <c r="M10" s="28">
        <v>5.3999999999999999E-2</v>
      </c>
      <c r="N10" s="28">
        <v>0.131304</v>
      </c>
      <c r="O10" s="28">
        <v>4.2000000000000003E-2</v>
      </c>
      <c r="P10" s="28">
        <v>0.19059933333333301</v>
      </c>
      <c r="Q10" s="28">
        <v>0.20533999999999999</v>
      </c>
      <c r="R10" s="28">
        <v>0.65634366666666699</v>
      </c>
      <c r="S10" s="28">
        <v>0.118683333333333</v>
      </c>
      <c r="T10" s="28">
        <v>0.250197</v>
      </c>
      <c r="U10" s="28">
        <v>6.5308000000000005E-2</v>
      </c>
      <c r="V10" s="28">
        <v>0.103032</v>
      </c>
      <c r="W10" s="28">
        <v>0.05</v>
      </c>
      <c r="X10" s="28">
        <v>6.0685333333333299E-2</v>
      </c>
      <c r="Y10" s="28">
        <v>0.05</v>
      </c>
      <c r="Z10" s="28">
        <v>4.8000000000000001E-2</v>
      </c>
      <c r="AA10" s="28">
        <v>7.3001999999999997E-2</v>
      </c>
      <c r="AB10" s="28">
        <v>0.12091666666666701</v>
      </c>
      <c r="AC10" s="28">
        <v>5.3999999999999999E-2</v>
      </c>
      <c r="AD10" s="28">
        <v>0.06</v>
      </c>
      <c r="AE10" s="28">
        <v>4.1000000000000002E-2</v>
      </c>
      <c r="AF10" s="28">
        <v>5.2999999999999999E-2</v>
      </c>
      <c r="AG10" s="28">
        <v>5.8999999999999997E-2</v>
      </c>
      <c r="AH10" s="28">
        <v>3.5999999999999997E-2</v>
      </c>
      <c r="AI10" s="28">
        <v>0.15364900000000001</v>
      </c>
      <c r="AJ10" s="28">
        <v>0.175366666666667</v>
      </c>
      <c r="AK10" s="28">
        <v>0.11821</v>
      </c>
      <c r="AL10" s="28">
        <v>6.8733333333333299E-2</v>
      </c>
      <c r="AM10" s="28">
        <v>8.0579999999999902E-2</v>
      </c>
      <c r="AN10" s="28">
        <v>0.05</v>
      </c>
      <c r="AO10" s="28">
        <v>5.7000000000000002E-2</v>
      </c>
      <c r="AP10" s="28">
        <v>5.2999999999999999E-2</v>
      </c>
      <c r="AQ10" s="28">
        <v>0.05</v>
      </c>
      <c r="AR10" s="28">
        <v>5.2999999999999999E-2</v>
      </c>
      <c r="AS10" s="28">
        <v>3.4000000000000002E-2</v>
      </c>
      <c r="AT10" s="28">
        <v>9.8666999999999894E-2</v>
      </c>
      <c r="AU10" s="28">
        <v>0.170564666666667</v>
      </c>
      <c r="AV10" s="28">
        <v>0.156348666666667</v>
      </c>
      <c r="AW10" s="28">
        <v>0.17930533333333301</v>
      </c>
      <c r="AX10" s="28">
        <v>0.173472666666667</v>
      </c>
      <c r="AY10" s="28">
        <v>9.2490666666666693E-2</v>
      </c>
      <c r="AZ10" s="28">
        <v>0.11632741496598641</v>
      </c>
      <c r="BA10" s="34">
        <v>5.7000433333333334</v>
      </c>
    </row>
    <row r="11" spans="1:53" x14ac:dyDescent="0.25">
      <c r="A11" s="24">
        <v>10</v>
      </c>
      <c r="B11" s="26">
        <v>4.5</v>
      </c>
      <c r="C11" s="28">
        <v>0.11471466666666701</v>
      </c>
      <c r="D11" s="28">
        <v>0.23865700000000001</v>
      </c>
      <c r="E11" s="28">
        <v>0.28781000000000001</v>
      </c>
      <c r="F11" s="28">
        <v>4.8000000000000001E-2</v>
      </c>
      <c r="G11" s="28">
        <v>0.167206666666667</v>
      </c>
      <c r="H11" s="28">
        <v>0.17395533333333299</v>
      </c>
      <c r="I11" s="28">
        <v>9.0784000000000004E-2</v>
      </c>
      <c r="J11" s="28">
        <v>4.0986000000000002E-2</v>
      </c>
      <c r="K11" s="28">
        <v>0.10875700000000001</v>
      </c>
      <c r="L11" s="28">
        <v>5.0999999999999997E-2</v>
      </c>
      <c r="M11" s="28">
        <v>5.3999999999999999E-2</v>
      </c>
      <c r="N11" s="28">
        <v>0.16734099999999999</v>
      </c>
      <c r="O11" s="28">
        <v>0.206222666666667</v>
      </c>
      <c r="P11" s="28">
        <v>0.24723066666666699</v>
      </c>
      <c r="Q11" s="28">
        <v>0.12354999999999999</v>
      </c>
      <c r="R11" s="28">
        <v>0.91473666666666698</v>
      </c>
      <c r="S11" s="28">
        <v>0.13142000000000001</v>
      </c>
      <c r="T11" s="28">
        <v>6.0885333333333402E-2</v>
      </c>
      <c r="U11" s="28">
        <v>0.15457799999999999</v>
      </c>
      <c r="V11" s="28">
        <v>8.0021333333333305E-2</v>
      </c>
      <c r="W11" s="28">
        <v>0.05</v>
      </c>
      <c r="X11" s="28">
        <v>5.2999999999999999E-2</v>
      </c>
      <c r="Y11" s="28">
        <v>0.20371400000000001</v>
      </c>
      <c r="Z11" s="28">
        <v>0.119682</v>
      </c>
      <c r="AA11" s="28">
        <v>0.19794999999999999</v>
      </c>
      <c r="AB11" s="28">
        <v>6.8761666666666596E-2</v>
      </c>
      <c r="AC11" s="28">
        <v>0.17347499999999999</v>
      </c>
      <c r="AD11" s="28">
        <v>0.190434666666667</v>
      </c>
      <c r="AE11" s="28">
        <v>4.1000000000000002E-2</v>
      </c>
      <c r="AF11" s="28">
        <v>5.2999999999999999E-2</v>
      </c>
      <c r="AG11" s="28">
        <v>8.6245333333333299E-2</v>
      </c>
      <c r="AH11" s="28">
        <v>0.199966</v>
      </c>
      <c r="AI11" s="28">
        <v>0.172277333333333</v>
      </c>
      <c r="AJ11" s="28">
        <v>9.6883333333333294E-2</v>
      </c>
      <c r="AK11" s="28">
        <v>4.2999999999999997E-2</v>
      </c>
      <c r="AL11" s="28">
        <v>0.1623</v>
      </c>
      <c r="AM11" s="28">
        <v>8.8474999999999998E-2</v>
      </c>
      <c r="AN11" s="28">
        <v>0.15893966666666701</v>
      </c>
      <c r="AO11" s="28">
        <v>0.159932666666667</v>
      </c>
      <c r="AP11" s="28">
        <v>5.2999999999999999E-2</v>
      </c>
      <c r="AQ11" s="28">
        <v>0.05</v>
      </c>
      <c r="AR11" s="28">
        <v>5.2999999999999999E-2</v>
      </c>
      <c r="AS11" s="28">
        <v>0.124939333333333</v>
      </c>
      <c r="AT11" s="28">
        <v>5.3999999999999999E-2</v>
      </c>
      <c r="AU11" s="28">
        <v>0.30198533333333299</v>
      </c>
      <c r="AV11" s="28">
        <v>0.05</v>
      </c>
      <c r="AW11" s="28">
        <v>0.1764</v>
      </c>
      <c r="AX11" s="28">
        <v>0.11443300000000001</v>
      </c>
      <c r="AY11" s="28">
        <v>0.20907800000000001</v>
      </c>
      <c r="AZ11" s="28">
        <v>0.1421985442176871</v>
      </c>
      <c r="BA11" s="34">
        <v>6.9677286666666669</v>
      </c>
    </row>
    <row r="12" spans="1:53" x14ac:dyDescent="0.25">
      <c r="A12" s="24">
        <v>11</v>
      </c>
      <c r="B12" s="26">
        <v>5</v>
      </c>
      <c r="C12" s="28">
        <v>0.28486400000000001</v>
      </c>
      <c r="D12" s="28">
        <v>6.8098333333333302E-2</v>
      </c>
      <c r="E12" s="28">
        <v>0.21311333333333299</v>
      </c>
      <c r="F12" s="28">
        <v>0.16603999999999999</v>
      </c>
      <c r="G12" s="28">
        <v>4.8000000000000001E-2</v>
      </c>
      <c r="H12" s="28">
        <v>0.14482266666666699</v>
      </c>
      <c r="I12" s="28">
        <v>0.207554666666667</v>
      </c>
      <c r="J12" s="28">
        <v>6.0950999999999998E-2</v>
      </c>
      <c r="K12" s="28">
        <v>4.5999999999999999E-2</v>
      </c>
      <c r="L12" s="28">
        <v>9.3701999999999994E-2</v>
      </c>
      <c r="M12" s="28">
        <v>0.117342</v>
      </c>
      <c r="N12" s="28">
        <v>6.4316999999999999E-2</v>
      </c>
      <c r="O12" s="28">
        <v>4.2000000000000003E-2</v>
      </c>
      <c r="P12" s="28">
        <v>0.18416299999999999</v>
      </c>
      <c r="Q12" s="28">
        <v>0.126776</v>
      </c>
      <c r="R12" s="28">
        <v>0.47217866666666702</v>
      </c>
      <c r="S12" s="28">
        <v>6.7736666666666695E-2</v>
      </c>
      <c r="T12" s="28">
        <v>0.22045799999999999</v>
      </c>
      <c r="U12" s="28">
        <v>0.17711399999999999</v>
      </c>
      <c r="V12" s="28">
        <v>0.18808800000000001</v>
      </c>
      <c r="W12" s="28">
        <v>5.4995333333333403E-2</v>
      </c>
      <c r="X12" s="28">
        <v>0.160594666666667</v>
      </c>
      <c r="Y12" s="28">
        <v>0.05</v>
      </c>
      <c r="Z12" s="28">
        <v>0.183081666666667</v>
      </c>
      <c r="AA12" s="28">
        <v>0.162626666666667</v>
      </c>
      <c r="AB12" s="28">
        <v>0.20704500000000001</v>
      </c>
      <c r="AC12" s="28">
        <v>0.10975500000000001</v>
      </c>
      <c r="AD12" s="28">
        <v>0.204366666666667</v>
      </c>
      <c r="AE12" s="28">
        <v>8.0426666666666702E-2</v>
      </c>
      <c r="AF12" s="28">
        <v>5.2999999999999999E-2</v>
      </c>
      <c r="AG12" s="28">
        <v>0.18160399999999999</v>
      </c>
      <c r="AH12" s="28">
        <v>3.5999999999999997E-2</v>
      </c>
      <c r="AI12" s="28">
        <v>0.168903833333333</v>
      </c>
      <c r="AJ12" s="28">
        <v>9.04233333333333E-2</v>
      </c>
      <c r="AK12" s="28">
        <v>8.4783333333333405E-2</v>
      </c>
      <c r="AL12" s="28">
        <v>4.2000000000000003E-2</v>
      </c>
      <c r="AM12" s="28">
        <v>0.18321499999999999</v>
      </c>
      <c r="AN12" s="28">
        <v>0.20305300000000001</v>
      </c>
      <c r="AO12" s="28">
        <v>5.7000000000000002E-2</v>
      </c>
      <c r="AP12" s="28">
        <v>5.2999999999999999E-2</v>
      </c>
      <c r="AQ12" s="28">
        <v>0.05</v>
      </c>
      <c r="AR12" s="28">
        <v>5.2999999999999999E-2</v>
      </c>
      <c r="AS12" s="28">
        <v>0.16273533333333301</v>
      </c>
      <c r="AT12" s="28">
        <v>0.14333399999999999</v>
      </c>
      <c r="AU12" s="28">
        <v>0.163566666666667</v>
      </c>
      <c r="AV12" s="28">
        <v>0.13355966666666699</v>
      </c>
      <c r="AW12" s="28">
        <v>0.117344</v>
      </c>
      <c r="AX12" s="28">
        <v>0.14351433333333299</v>
      </c>
      <c r="AY12" s="28">
        <v>5.8117999999999899E-2</v>
      </c>
      <c r="AZ12" s="28">
        <v>0.13029317346938779</v>
      </c>
      <c r="BA12" s="34">
        <v>6.3843655000000004</v>
      </c>
    </row>
    <row r="13" spans="1:53" x14ac:dyDescent="0.25">
      <c r="A13" s="24">
        <v>12</v>
      </c>
      <c r="B13" s="26">
        <v>5.5</v>
      </c>
      <c r="C13" s="28">
        <v>0.109212</v>
      </c>
      <c r="D13" s="28">
        <v>0.25633566666666702</v>
      </c>
      <c r="E13" s="28">
        <v>0.27591266666666697</v>
      </c>
      <c r="F13" s="28">
        <v>4.8000000000000001E-2</v>
      </c>
      <c r="G13" s="28">
        <v>0.11356366666666701</v>
      </c>
      <c r="H13" s="28">
        <v>5.2999999999999999E-2</v>
      </c>
      <c r="I13" s="28">
        <v>0.16431100000000001</v>
      </c>
      <c r="J13" s="28">
        <v>7.6923000000000005E-2</v>
      </c>
      <c r="K13" s="28">
        <v>4.5999999999999999E-2</v>
      </c>
      <c r="L13" s="28">
        <v>7.8173999999999993E-2</v>
      </c>
      <c r="M13" s="28">
        <v>5.3999999999999999E-2</v>
      </c>
      <c r="N13" s="28">
        <v>5.7877999999999999E-2</v>
      </c>
      <c r="O13" s="28">
        <v>7.9323333333333398E-2</v>
      </c>
      <c r="P13" s="28">
        <v>0.19336400000000001</v>
      </c>
      <c r="Q13" s="28">
        <v>0.21984200000000001</v>
      </c>
      <c r="R13" s="28">
        <v>5.5E-2</v>
      </c>
      <c r="S13" s="28">
        <v>0.18236666666666701</v>
      </c>
      <c r="T13" s="28">
        <v>0.10598399999999999</v>
      </c>
      <c r="U13" s="28">
        <v>0.125886</v>
      </c>
      <c r="V13" s="28">
        <v>0.14905333333333301</v>
      </c>
      <c r="W13" s="28">
        <v>0.144911333333333</v>
      </c>
      <c r="X13" s="28">
        <v>5.2999999999999999E-2</v>
      </c>
      <c r="Y13" s="28">
        <v>0.20371400000000001</v>
      </c>
      <c r="Z13" s="28">
        <v>9.9770333333333405E-2</v>
      </c>
      <c r="AA13" s="28">
        <v>0.13232733333333299</v>
      </c>
      <c r="AB13" s="28">
        <v>0.10761999999999999</v>
      </c>
      <c r="AC13" s="28">
        <v>5.3999999999999999E-2</v>
      </c>
      <c r="AD13" s="28">
        <v>0.06</v>
      </c>
      <c r="AE13" s="28">
        <v>7.2541333333333305E-2</v>
      </c>
      <c r="AF13" s="28">
        <v>5.5153333333333297E-2</v>
      </c>
      <c r="AG13" s="28">
        <v>5.8999999999999997E-2</v>
      </c>
      <c r="AH13" s="28">
        <v>3.5999999999999997E-2</v>
      </c>
      <c r="AI13" s="28">
        <v>0.283615333333333</v>
      </c>
      <c r="AJ13" s="28">
        <v>0.19366666666666699</v>
      </c>
      <c r="AK13" s="28">
        <v>7.6426666666666698E-2</v>
      </c>
      <c r="AL13" s="28">
        <v>0.148933333333333</v>
      </c>
      <c r="AM13" s="28">
        <v>4.9000000000000002E-2</v>
      </c>
      <c r="AN13" s="28">
        <v>0.05</v>
      </c>
      <c r="AO13" s="28">
        <v>5.7000000000000002E-2</v>
      </c>
      <c r="AP13" s="28">
        <v>5.2999999999999999E-2</v>
      </c>
      <c r="AQ13" s="28">
        <v>0.05</v>
      </c>
      <c r="AR13" s="28">
        <v>5.2999999999999999E-2</v>
      </c>
      <c r="AS13" s="28">
        <v>3.4000000000000002E-2</v>
      </c>
      <c r="AT13" s="28">
        <v>5.3999999999999999E-2</v>
      </c>
      <c r="AU13" s="28">
        <v>0.24513233333333301</v>
      </c>
      <c r="AV13" s="28">
        <v>0.13777900000000001</v>
      </c>
      <c r="AW13" s="28">
        <v>0.22142466666666699</v>
      </c>
      <c r="AX13" s="28">
        <v>0.110323</v>
      </c>
      <c r="AY13" s="28">
        <v>0.109488</v>
      </c>
      <c r="AZ13" s="28">
        <v>0.1112031836734694</v>
      </c>
      <c r="BA13" s="34">
        <v>5.4489559999999999</v>
      </c>
    </row>
    <row r="14" spans="1:53" x14ac:dyDescent="0.25">
      <c r="A14" s="24">
        <v>13</v>
      </c>
      <c r="B14" s="26">
        <v>6</v>
      </c>
      <c r="C14" s="28">
        <v>0.21563033333333301</v>
      </c>
      <c r="D14" s="28">
        <v>4.5999999999999999E-2</v>
      </c>
      <c r="E14" s="28">
        <v>0.14515666666666699</v>
      </c>
      <c r="F14" s="28">
        <v>0.16603999999999999</v>
      </c>
      <c r="G14" s="28">
        <v>0.101643</v>
      </c>
      <c r="H14" s="28">
        <v>0.12234666666666701</v>
      </c>
      <c r="I14" s="28">
        <v>0.16456100000000001</v>
      </c>
      <c r="J14" s="28">
        <v>8.0916000000000002E-2</v>
      </c>
      <c r="K14" s="28">
        <v>0.199406</v>
      </c>
      <c r="L14" s="28">
        <v>5.0999999999999997E-2</v>
      </c>
      <c r="M14" s="28">
        <v>8.5670999999999997E-2</v>
      </c>
      <c r="N14" s="28">
        <v>0.17377999999999999</v>
      </c>
      <c r="O14" s="28">
        <v>0.16889933333333301</v>
      </c>
      <c r="P14" s="28">
        <v>0.15148900000000001</v>
      </c>
      <c r="Q14" s="28">
        <v>0.12234399999999999</v>
      </c>
      <c r="R14" s="28">
        <v>0.18472266666666701</v>
      </c>
      <c r="S14" s="28">
        <v>5.5E-2</v>
      </c>
      <c r="T14" s="28">
        <v>0.244293333333333</v>
      </c>
      <c r="U14" s="28">
        <v>0.20580599999999999</v>
      </c>
      <c r="V14" s="28">
        <v>9.7035999999999997E-2</v>
      </c>
      <c r="W14" s="28">
        <v>0.05</v>
      </c>
      <c r="X14" s="28">
        <v>9.9112000000000006E-2</v>
      </c>
      <c r="Y14" s="28">
        <v>0.05</v>
      </c>
      <c r="Z14" s="28">
        <v>0.17386433333333301</v>
      </c>
      <c r="AA14" s="28">
        <v>0.228249333333333</v>
      </c>
      <c r="AB14" s="28">
        <v>0.214856666666667</v>
      </c>
      <c r="AC14" s="28">
        <v>0.22922999999999999</v>
      </c>
      <c r="AD14" s="28">
        <v>0.33480133333333301</v>
      </c>
      <c r="AE14" s="28">
        <v>1.3922666666666701</v>
      </c>
      <c r="AF14" s="28">
        <v>0.128</v>
      </c>
      <c r="AG14" s="28">
        <v>5.8999999999999997E-2</v>
      </c>
      <c r="AH14" s="28">
        <v>0.199966</v>
      </c>
      <c r="AI14" s="28">
        <v>0.12507199999999999</v>
      </c>
      <c r="AJ14" s="28">
        <v>4.1000000000000002E-2</v>
      </c>
      <c r="AK14" s="28">
        <v>4.2999999999999997E-2</v>
      </c>
      <c r="AL14" s="28">
        <v>8.2099999999999895E-2</v>
      </c>
      <c r="AM14" s="28">
        <v>0.15163499999999999</v>
      </c>
      <c r="AN14" s="28">
        <v>0.21154766666666699</v>
      </c>
      <c r="AO14" s="28">
        <v>0.15258033333333301</v>
      </c>
      <c r="AP14" s="28">
        <v>5.2999999999999999E-2</v>
      </c>
      <c r="AQ14" s="28">
        <v>0.05</v>
      </c>
      <c r="AR14" s="28">
        <v>5.2999999999999999E-2</v>
      </c>
      <c r="AS14" s="28">
        <v>5.3487E-2</v>
      </c>
      <c r="AT14" s="28">
        <v>0.124191</v>
      </c>
      <c r="AU14" s="28">
        <v>0.116851</v>
      </c>
      <c r="AV14" s="28">
        <v>6.2997999999999998E-2</v>
      </c>
      <c r="AW14" s="28">
        <v>0.106220666666667</v>
      </c>
      <c r="AX14" s="28">
        <v>8.30683333333333E-2</v>
      </c>
      <c r="AY14" s="28">
        <v>0.21719866666666701</v>
      </c>
      <c r="AZ14" s="28">
        <v>0.15649055102040821</v>
      </c>
      <c r="BA14" s="34">
        <v>7.6680370000000018</v>
      </c>
    </row>
    <row r="15" spans="1:53" x14ac:dyDescent="0.25">
      <c r="A15" s="24">
        <v>14</v>
      </c>
      <c r="B15" s="26">
        <v>6.5</v>
      </c>
      <c r="C15" s="28">
        <v>0.17541599999999999</v>
      </c>
      <c r="D15" s="28">
        <v>0.11229500000000001</v>
      </c>
      <c r="E15" s="28">
        <v>4.5999999999999999E-2</v>
      </c>
      <c r="F15" s="28">
        <v>4.8000000000000001E-2</v>
      </c>
      <c r="G15" s="28">
        <v>4.8000000000000001E-2</v>
      </c>
      <c r="H15" s="28">
        <v>0.58700866666666696</v>
      </c>
      <c r="I15" s="28">
        <v>0.215268866666667</v>
      </c>
      <c r="J15" s="28">
        <v>5.6957999999999898E-2</v>
      </c>
      <c r="K15" s="28">
        <v>4.5999999999999999E-2</v>
      </c>
      <c r="L15" s="28">
        <v>0.120876</v>
      </c>
      <c r="M15" s="28">
        <v>8.5670999999999997E-2</v>
      </c>
      <c r="N15" s="28">
        <v>9.7741333333333305E-2</v>
      </c>
      <c r="O15" s="28">
        <v>4.2000000000000003E-2</v>
      </c>
      <c r="P15" s="28">
        <v>0.21263733333333301</v>
      </c>
      <c r="Q15" s="28">
        <v>0.10058499999999999</v>
      </c>
      <c r="R15" s="28">
        <v>0.235254666666666</v>
      </c>
      <c r="S15" s="28">
        <v>0.23945166666666701</v>
      </c>
      <c r="T15" s="28">
        <v>9.5033999999999993E-2</v>
      </c>
      <c r="U15" s="28">
        <v>0.125886</v>
      </c>
      <c r="V15" s="28">
        <v>0.125052</v>
      </c>
      <c r="W15" s="28">
        <v>0.05</v>
      </c>
      <c r="X15" s="28">
        <v>0.114482666666667</v>
      </c>
      <c r="Y15" s="28">
        <v>0.11987</v>
      </c>
      <c r="Z15" s="28">
        <v>0.108987666666667</v>
      </c>
      <c r="AA15" s="28">
        <v>4.9000000000000002E-2</v>
      </c>
      <c r="AB15" s="28">
        <v>4.2999999999999997E-2</v>
      </c>
      <c r="AC15" s="28">
        <v>5.3999999999999999E-2</v>
      </c>
      <c r="AD15" s="28">
        <v>0.06</v>
      </c>
      <c r="AE15" s="28">
        <v>0.28976000000000002</v>
      </c>
      <c r="AF15" s="28">
        <v>0.17998546666666701</v>
      </c>
      <c r="AG15" s="28">
        <v>0.208849333333333</v>
      </c>
      <c r="AH15" s="28">
        <v>3.5999999999999997E-2</v>
      </c>
      <c r="AI15" s="28">
        <v>0.143667666666667</v>
      </c>
      <c r="AJ15" s="28">
        <v>0.24309</v>
      </c>
      <c r="AK15" s="28">
        <v>0.11821</v>
      </c>
      <c r="AL15" s="28">
        <v>0.13938200000000001</v>
      </c>
      <c r="AM15" s="28">
        <v>0.120055</v>
      </c>
      <c r="AN15" s="28">
        <v>0.150445</v>
      </c>
      <c r="AO15" s="28">
        <v>6.4352333333333303E-2</v>
      </c>
      <c r="AP15" s="28">
        <v>5.2999999999999999E-2</v>
      </c>
      <c r="AQ15" s="28">
        <v>0.05</v>
      </c>
      <c r="AR15" s="28">
        <v>5.2999999999999999E-2</v>
      </c>
      <c r="AS15" s="28">
        <v>0.23418766666666699</v>
      </c>
      <c r="AT15" s="28">
        <v>7.3143E-2</v>
      </c>
      <c r="AU15" s="28">
        <v>0.163566666666667</v>
      </c>
      <c r="AV15" s="28">
        <v>0.20834066666666701</v>
      </c>
      <c r="AW15" s="28">
        <v>0.05</v>
      </c>
      <c r="AX15" s="28">
        <v>0.16532533333333299</v>
      </c>
      <c r="AY15" s="28">
        <v>5.8495999999999999E-2</v>
      </c>
      <c r="AZ15" s="28">
        <v>0.1268843265306123</v>
      </c>
      <c r="BA15" s="34">
        <v>6.2173320000000007</v>
      </c>
    </row>
    <row r="16" spans="1:53" x14ac:dyDescent="0.25">
      <c r="A16" s="24">
        <v>15</v>
      </c>
      <c r="B16" s="26">
        <v>7</v>
      </c>
      <c r="C16" s="28">
        <v>0.117747333333333</v>
      </c>
      <c r="D16" s="28">
        <v>0.21213899999999999</v>
      </c>
      <c r="E16" s="28">
        <v>0.208362666666667</v>
      </c>
      <c r="F16" s="28">
        <v>1.5799066666666699</v>
      </c>
      <c r="G16" s="28">
        <v>9.5682666666666694E-2</v>
      </c>
      <c r="H16" s="28">
        <v>1.4668113333333299</v>
      </c>
      <c r="I16" s="28">
        <v>0.55267253333333299</v>
      </c>
      <c r="J16" s="28">
        <v>3.3000000000000002E-2</v>
      </c>
      <c r="K16" s="28">
        <v>0.13922000000000001</v>
      </c>
      <c r="L16" s="28">
        <v>5.0999999999999997E-2</v>
      </c>
      <c r="M16" s="28">
        <v>5.3999999999999999E-2</v>
      </c>
      <c r="N16" s="28">
        <v>0.22022066666666701</v>
      </c>
      <c r="O16" s="28">
        <v>4.2000000000000003E-2</v>
      </c>
      <c r="P16" s="28">
        <v>0.30536566666666698</v>
      </c>
      <c r="Q16" s="28">
        <v>0.29829</v>
      </c>
      <c r="R16" s="28">
        <v>5.5E-2</v>
      </c>
      <c r="S16" s="28">
        <v>1.92247866666667</v>
      </c>
      <c r="T16" s="28">
        <v>0.176853333333333</v>
      </c>
      <c r="U16" s="28">
        <v>0.11973</v>
      </c>
      <c r="V16" s="28">
        <v>0.299422666666667</v>
      </c>
      <c r="W16" s="28">
        <v>0.05</v>
      </c>
      <c r="X16" s="28">
        <v>5.2999999999999999E-2</v>
      </c>
      <c r="Y16" s="28">
        <v>0.13384399999999999</v>
      </c>
      <c r="Z16" s="28">
        <v>4.8000000000000001E-2</v>
      </c>
      <c r="AA16" s="28">
        <v>0.225014666666667</v>
      </c>
      <c r="AB16" s="28">
        <v>0.10736</v>
      </c>
      <c r="AC16" s="28">
        <v>0.25561</v>
      </c>
      <c r="AD16" s="28">
        <v>0.288914</v>
      </c>
      <c r="AE16" s="28">
        <v>4.8333333333333298E-2</v>
      </c>
      <c r="AF16" s="28">
        <v>0.139856333333333</v>
      </c>
      <c r="AG16" s="28">
        <v>5.8999999999999997E-2</v>
      </c>
      <c r="AH16" s="28">
        <v>4.3452999999999999E-2</v>
      </c>
      <c r="AI16" s="28">
        <v>0.25889800000000002</v>
      </c>
      <c r="AJ16" s="28">
        <v>4.1000000000000002E-2</v>
      </c>
      <c r="AK16" s="28">
        <v>4.2999999999999997E-2</v>
      </c>
      <c r="AL16" s="28">
        <v>0.175666666666667</v>
      </c>
      <c r="AM16" s="28">
        <v>4.9000000000000002E-2</v>
      </c>
      <c r="AN16" s="28">
        <v>7.3897333333333301E-2</v>
      </c>
      <c r="AO16" s="28">
        <v>5.7000000000000002E-2</v>
      </c>
      <c r="AP16" s="28">
        <v>0.10102999999999999</v>
      </c>
      <c r="AQ16" s="28">
        <v>0.05</v>
      </c>
      <c r="AR16" s="28">
        <v>5.2999999999999999E-2</v>
      </c>
      <c r="AS16" s="28">
        <v>3.4000000000000002E-2</v>
      </c>
      <c r="AT16" s="28">
        <v>5.3999999999999999E-2</v>
      </c>
      <c r="AU16" s="28">
        <v>0.24600133333333299</v>
      </c>
      <c r="AV16" s="28">
        <v>7.5995999999999994E-2</v>
      </c>
      <c r="AW16" s="28">
        <v>0.26085133333333299</v>
      </c>
      <c r="AX16" s="28">
        <v>0.18801433333333301</v>
      </c>
      <c r="AY16" s="28">
        <v>0.25144533333333302</v>
      </c>
      <c r="AZ16" s="28">
        <v>0.23296099727891159</v>
      </c>
      <c r="BA16" s="34">
        <v>11.41508886666667</v>
      </c>
    </row>
    <row r="17" spans="1:53" x14ac:dyDescent="0.25">
      <c r="A17" s="24">
        <v>16</v>
      </c>
      <c r="B17" s="26">
        <v>7.5</v>
      </c>
      <c r="C17" s="28">
        <v>0.25230999999999998</v>
      </c>
      <c r="D17" s="28">
        <v>4.5999999999999999E-2</v>
      </c>
      <c r="E17" s="28">
        <v>4.5999999999999999E-2</v>
      </c>
      <c r="F17" s="28">
        <v>7.1608000000000005E-2</v>
      </c>
      <c r="G17" s="28">
        <v>0.11952400000000001</v>
      </c>
      <c r="H17" s="28">
        <v>0.2019</v>
      </c>
      <c r="I17" s="28">
        <v>0.63064779999999998</v>
      </c>
      <c r="J17" s="28">
        <v>5.6958000000000002E-2</v>
      </c>
      <c r="K17" s="28">
        <v>0.31140299999999999</v>
      </c>
      <c r="L17" s="28">
        <v>7.7402400000000093E-2</v>
      </c>
      <c r="M17" s="28">
        <v>0.117342</v>
      </c>
      <c r="N17" s="28">
        <v>9.2946666666666705E-2</v>
      </c>
      <c r="O17" s="28">
        <v>0.1211632</v>
      </c>
      <c r="P17" s="28">
        <v>0.234235466666667</v>
      </c>
      <c r="Q17" s="28">
        <v>0.18346999999999999</v>
      </c>
      <c r="R17" s="28">
        <v>0.233368666666667</v>
      </c>
      <c r="S17" s="28">
        <v>0.97540733333333396</v>
      </c>
      <c r="T17" s="28">
        <v>0.22045799999999999</v>
      </c>
      <c r="U17" s="28">
        <v>0.16835803333333299</v>
      </c>
      <c r="V17" s="28">
        <v>0.47372266666666701</v>
      </c>
      <c r="W17" s="28">
        <v>6.1573999999999997E-2</v>
      </c>
      <c r="X17" s="28">
        <v>0.160594666666667</v>
      </c>
      <c r="Y17" s="28">
        <v>5.4318666666666703E-2</v>
      </c>
      <c r="Z17" s="28">
        <v>0.23485200000000001</v>
      </c>
      <c r="AA17" s="28">
        <v>4.9000000000000002E-2</v>
      </c>
      <c r="AB17" s="28">
        <v>0.33600466666666701</v>
      </c>
      <c r="AC17" s="28">
        <v>0.342042333333334</v>
      </c>
      <c r="AD17" s="28">
        <v>0.105887333333333</v>
      </c>
      <c r="AE17" s="28">
        <v>9.2254666666666693E-2</v>
      </c>
      <c r="AF17" s="28">
        <v>0.20180880000000001</v>
      </c>
      <c r="AG17" s="28">
        <v>0.202038</v>
      </c>
      <c r="AH17" s="28">
        <v>0.21501300000000001</v>
      </c>
      <c r="AI17" s="28">
        <v>0.232132333333333</v>
      </c>
      <c r="AJ17" s="28">
        <v>0.11877</v>
      </c>
      <c r="AK17" s="28">
        <v>9.7318333333333396E-2</v>
      </c>
      <c r="AL17" s="28">
        <v>0.111128</v>
      </c>
      <c r="AM17" s="28">
        <v>0.22269</v>
      </c>
      <c r="AN17" s="28">
        <v>0.28809533333333398</v>
      </c>
      <c r="AO17" s="28">
        <v>0.159932666666667</v>
      </c>
      <c r="AP17" s="28">
        <v>0.11778520000000001</v>
      </c>
      <c r="AQ17" s="28">
        <v>0.05</v>
      </c>
      <c r="AR17" s="28">
        <v>5.2999999999999999E-2</v>
      </c>
      <c r="AS17" s="28">
        <v>0.11076999999999999</v>
      </c>
      <c r="AT17" s="28">
        <v>5.3999999999999999E-2</v>
      </c>
      <c r="AU17" s="28">
        <v>0.14362366666666701</v>
      </c>
      <c r="AV17" s="28">
        <v>6.7330666666666705E-2</v>
      </c>
      <c r="AW17" s="28">
        <v>0.05</v>
      </c>
      <c r="AX17" s="28">
        <v>9.2621999999999996E-2</v>
      </c>
      <c r="AY17" s="28">
        <v>4.9745333333333301E-2</v>
      </c>
      <c r="AZ17" s="28">
        <v>0.1777256510204083</v>
      </c>
      <c r="BA17" s="34">
        <v>8.7085569000000067</v>
      </c>
    </row>
    <row r="18" spans="1:53" x14ac:dyDescent="0.25">
      <c r="A18" s="24">
        <v>17</v>
      </c>
      <c r="B18" s="26">
        <v>8</v>
      </c>
      <c r="C18" s="28">
        <v>3.50855466666667</v>
      </c>
      <c r="D18" s="28">
        <v>0.195966</v>
      </c>
      <c r="E18" s="28">
        <v>0.18075933333333299</v>
      </c>
      <c r="F18" s="28">
        <v>0.13653000000000001</v>
      </c>
      <c r="G18" s="28">
        <v>4.8000000000000001E-2</v>
      </c>
      <c r="H18" s="28">
        <v>1.55134866666667</v>
      </c>
      <c r="I18" s="28">
        <v>0.41161799999999998</v>
      </c>
      <c r="J18" s="28">
        <v>0.27210236666666698</v>
      </c>
      <c r="K18" s="28">
        <v>0.178609666666667</v>
      </c>
      <c r="L18" s="28">
        <v>9.9365333333333306E-2</v>
      </c>
      <c r="M18" s="28">
        <v>0.30579600000000001</v>
      </c>
      <c r="N18" s="28">
        <v>0.16062533333333301</v>
      </c>
      <c r="O18" s="28">
        <v>0.217182133333333</v>
      </c>
      <c r="P18" s="28">
        <v>0.36479600000000001</v>
      </c>
      <c r="Q18" s="28">
        <v>0.84758733333333303</v>
      </c>
      <c r="R18" s="28">
        <v>5.5E-2</v>
      </c>
      <c r="S18" s="28">
        <v>1.32325166666667</v>
      </c>
      <c r="T18" s="28">
        <v>0.44029933333333399</v>
      </c>
      <c r="U18" s="28">
        <v>0.10757510000000001</v>
      </c>
      <c r="V18" s="28">
        <v>0.23829666666666699</v>
      </c>
      <c r="W18" s="28">
        <v>8.6751866666666705E-2</v>
      </c>
      <c r="X18" s="28">
        <v>5.2999999999999999E-2</v>
      </c>
      <c r="Y18" s="28">
        <v>0.24429300000000001</v>
      </c>
      <c r="Z18" s="28">
        <v>4.8000000000000001E-2</v>
      </c>
      <c r="AA18" s="28">
        <v>4.9000000000000002E-2</v>
      </c>
      <c r="AB18" s="28">
        <v>0.13311066666666699</v>
      </c>
      <c r="AC18" s="28">
        <v>0.21530533333333399</v>
      </c>
      <c r="AD18" s="28">
        <v>0.13862666666666701</v>
      </c>
      <c r="AE18" s="28">
        <v>6.4780000000000004E-2</v>
      </c>
      <c r="AF18" s="28">
        <v>0.15921306666666701</v>
      </c>
      <c r="AG18" s="28">
        <v>0.198784666666667</v>
      </c>
      <c r="AH18" s="28">
        <v>4.3499999999999997E-2</v>
      </c>
      <c r="AI18" s="28">
        <v>5.8000000000000003E-2</v>
      </c>
      <c r="AJ18" s="28">
        <v>0.16531999999999999</v>
      </c>
      <c r="AK18" s="28">
        <v>6.3891666666666597E-2</v>
      </c>
      <c r="AL18" s="28">
        <v>0.16855239999999999</v>
      </c>
      <c r="AM18" s="28">
        <v>4.9000000000000002E-2</v>
      </c>
      <c r="AN18" s="28">
        <v>0.05</v>
      </c>
      <c r="AO18" s="28">
        <v>5.7000000000000002E-2</v>
      </c>
      <c r="AP18" s="28">
        <v>0.117762666666667</v>
      </c>
      <c r="AQ18" s="28">
        <v>0.05</v>
      </c>
      <c r="AR18" s="28">
        <v>5.2999999999999999E-2</v>
      </c>
      <c r="AS18" s="28">
        <v>0.17690466666666699</v>
      </c>
      <c r="AT18" s="28">
        <v>0.17089799999999999</v>
      </c>
      <c r="AU18" s="28">
        <v>0.13592499999999999</v>
      </c>
      <c r="AV18" s="28">
        <v>0.194217</v>
      </c>
      <c r="AW18" s="28">
        <v>1.0831729999999999</v>
      </c>
      <c r="AX18" s="28">
        <v>0.1743382</v>
      </c>
      <c r="AY18" s="28">
        <v>0.20996000000000001</v>
      </c>
      <c r="AZ18" s="28">
        <v>0.30725656054421802</v>
      </c>
      <c r="BA18" s="34">
        <v>15.055571466666679</v>
      </c>
    </row>
    <row r="19" spans="1:53" x14ac:dyDescent="0.25">
      <c r="A19" s="24">
        <v>18</v>
      </c>
      <c r="B19" s="26">
        <v>8.5</v>
      </c>
      <c r="C19" s="28">
        <v>1.20147266666667</v>
      </c>
      <c r="D19" s="28">
        <v>0.15339659999999999</v>
      </c>
      <c r="E19" s="28">
        <v>0.18631</v>
      </c>
      <c r="F19" s="28">
        <v>0.607570733333334</v>
      </c>
      <c r="G19" s="28">
        <v>0.167206666666667</v>
      </c>
      <c r="H19" s="28">
        <v>0.68965833333333404</v>
      </c>
      <c r="I19" s="28">
        <v>0.23196366666666701</v>
      </c>
      <c r="J19" s="28">
        <v>0.13809660000000001</v>
      </c>
      <c r="K19" s="28">
        <v>1.5453843333333299</v>
      </c>
      <c r="L19" s="28">
        <v>9.3876299999999996E-2</v>
      </c>
      <c r="M19" s="28">
        <v>0.30282506666666698</v>
      </c>
      <c r="N19" s="28">
        <v>0.10939</v>
      </c>
      <c r="O19" s="28">
        <v>4.4052666666666698E-2</v>
      </c>
      <c r="P19" s="28">
        <v>8.4163199999999994E-2</v>
      </c>
      <c r="Q19" s="28">
        <v>0.13797999999999999</v>
      </c>
      <c r="R19" s="28">
        <v>0.103646</v>
      </c>
      <c r="S19" s="28">
        <v>1.8482350000000001</v>
      </c>
      <c r="T19" s="28">
        <v>0.25158700000000001</v>
      </c>
      <c r="U19" s="28">
        <v>0.109825266666667</v>
      </c>
      <c r="V19" s="28">
        <v>0.59744833333333403</v>
      </c>
      <c r="W19" s="28">
        <v>0.109555</v>
      </c>
      <c r="X19" s="28">
        <v>5.3747866666666699E-2</v>
      </c>
      <c r="Y19" s="28">
        <v>0.161378666666667</v>
      </c>
      <c r="Z19" s="28">
        <v>0.12129</v>
      </c>
      <c r="AA19" s="28">
        <v>0.228335333333333</v>
      </c>
      <c r="AB19" s="28">
        <v>0.33421766666666702</v>
      </c>
      <c r="AC19" s="28">
        <v>0.33096066666666701</v>
      </c>
      <c r="AD19" s="28">
        <v>0.256174666666666</v>
      </c>
      <c r="AE19" s="28">
        <v>4.1000000000000002E-2</v>
      </c>
      <c r="AF19" s="28">
        <v>5.2999999999999999E-2</v>
      </c>
      <c r="AG19" s="28">
        <v>0.49810333333333301</v>
      </c>
      <c r="AH19" s="28">
        <v>4.8486333333333402E-2</v>
      </c>
      <c r="AI19" s="28">
        <v>0.211806666666667</v>
      </c>
      <c r="AJ19" s="28">
        <v>0.11285000000000001</v>
      </c>
      <c r="AK19" s="28">
        <v>0.156624666666667</v>
      </c>
      <c r="AL19" s="28">
        <v>0.138887333333333</v>
      </c>
      <c r="AM19" s="28">
        <v>5.6866666666666697E-2</v>
      </c>
      <c r="AN19" s="28">
        <v>0.21259500000000001</v>
      </c>
      <c r="AO19" s="28">
        <v>0.31236366666666698</v>
      </c>
      <c r="AP19" s="28">
        <v>0.194856</v>
      </c>
      <c r="AQ19" s="28">
        <v>0.1473911</v>
      </c>
      <c r="AR19" s="28">
        <v>5.2999999999999999E-2</v>
      </c>
      <c r="AS19" s="28">
        <v>0.11624</v>
      </c>
      <c r="AT19" s="28">
        <v>5.3999999999999999E-2</v>
      </c>
      <c r="AU19" s="28">
        <v>6.6996E-2</v>
      </c>
      <c r="AV19" s="28">
        <v>7.2789000000000006E-2</v>
      </c>
      <c r="AW19" s="28">
        <v>0.178733</v>
      </c>
      <c r="AX19" s="28">
        <v>0.147095266666667</v>
      </c>
      <c r="AY19" s="28">
        <v>0.24764600000000001</v>
      </c>
      <c r="AZ19" s="28">
        <v>0.27185874149659878</v>
      </c>
      <c r="BA19" s="34">
        <v>13.32107833333334</v>
      </c>
    </row>
    <row r="20" spans="1:53" x14ac:dyDescent="0.25">
      <c r="A20" s="24">
        <v>19</v>
      </c>
      <c r="B20" s="26">
        <v>9</v>
      </c>
      <c r="C20" s="28">
        <v>0.95247266666666597</v>
      </c>
      <c r="D20" s="28">
        <v>8.9785599999999993E-2</v>
      </c>
      <c r="E20" s="28">
        <v>0.85711999999999999</v>
      </c>
      <c r="F20" s="28">
        <v>0.644044333333333</v>
      </c>
      <c r="G20" s="28">
        <v>9.5992066666666695E-2</v>
      </c>
      <c r="H20" s="28">
        <v>0.30127700000000002</v>
      </c>
      <c r="I20" s="28">
        <v>0.171801333333333</v>
      </c>
      <c r="J20" s="28">
        <v>0.20998259999999999</v>
      </c>
      <c r="K20" s="28">
        <v>1.29375333333333</v>
      </c>
      <c r="L20" s="28">
        <v>0.98493836666666601</v>
      </c>
      <c r="M20" s="28">
        <v>6.6886000000000001E-2</v>
      </c>
      <c r="N20" s="28">
        <v>8.2845333333333299E-2</v>
      </c>
      <c r="O20" s="28">
        <v>0.92843520000000102</v>
      </c>
      <c r="P20" s="28">
        <v>9.5815999999999998E-2</v>
      </c>
      <c r="Q20" s="28">
        <v>0.126776</v>
      </c>
      <c r="R20" s="28">
        <v>0.51087466666666703</v>
      </c>
      <c r="S20" s="28">
        <v>1.2958133333333299</v>
      </c>
      <c r="T20" s="28">
        <v>0.24740633333333301</v>
      </c>
      <c r="U20" s="28">
        <v>0.21469199999999999</v>
      </c>
      <c r="V20" s="28">
        <v>4.1003999999999999E-2</v>
      </c>
      <c r="W20" s="28">
        <v>0.15950900000000001</v>
      </c>
      <c r="X20" s="28">
        <v>0.163400666666667</v>
      </c>
      <c r="Y20" s="28">
        <v>0.22303799999999999</v>
      </c>
      <c r="Z20" s="28">
        <v>0.16156200000000001</v>
      </c>
      <c r="AA20" s="28">
        <v>0.13224133333333299</v>
      </c>
      <c r="AB20" s="28">
        <v>0.21442166666666701</v>
      </c>
      <c r="AC20" s="28">
        <v>0.29249399999999998</v>
      </c>
      <c r="AD20" s="28">
        <v>0.06</v>
      </c>
      <c r="AE20" s="28">
        <v>0.111968</v>
      </c>
      <c r="AF20" s="28">
        <v>0.14954266666666699</v>
      </c>
      <c r="AG20" s="28">
        <v>0.234074</v>
      </c>
      <c r="AH20" s="28">
        <v>0.204513</v>
      </c>
      <c r="AI20" s="28">
        <v>0.2246725</v>
      </c>
      <c r="AJ20" s="28">
        <v>1.9726633333333301</v>
      </c>
      <c r="AK20" s="28">
        <v>0.97034673333333399</v>
      </c>
      <c r="AL20" s="28">
        <v>4.2000000000000003E-2</v>
      </c>
      <c r="AM20" s="28">
        <v>0.164091666666667</v>
      </c>
      <c r="AN20" s="28">
        <v>0.36310366666666699</v>
      </c>
      <c r="AO20" s="28">
        <v>2.25847</v>
      </c>
      <c r="AP20" s="28">
        <v>0.21743000000000001</v>
      </c>
      <c r="AQ20" s="28">
        <v>7.4227000000000001E-2</v>
      </c>
      <c r="AR20" s="28">
        <v>5.2999999999999999E-2</v>
      </c>
      <c r="AS20" s="28">
        <v>0.19392933333333301</v>
      </c>
      <c r="AT20" s="28">
        <v>5.3999999999999999E-2</v>
      </c>
      <c r="AU20" s="28">
        <v>0.57094100000000003</v>
      </c>
      <c r="AV20" s="28">
        <v>0.12798799999999999</v>
      </c>
      <c r="AW20" s="28">
        <v>0.14725133333333301</v>
      </c>
      <c r="AX20" s="28">
        <v>0.22063533333333299</v>
      </c>
      <c r="AY20" s="28">
        <v>9.2490666666666693E-2</v>
      </c>
      <c r="AZ20" s="28">
        <v>0.38909634829931949</v>
      </c>
      <c r="BA20" s="34">
        <v>19.065721066666661</v>
      </c>
    </row>
    <row r="21" spans="1:53" x14ac:dyDescent="0.25">
      <c r="A21" s="24">
        <v>20</v>
      </c>
      <c r="B21" s="26">
        <v>9.5</v>
      </c>
      <c r="C21" s="28">
        <v>0.31595473333333302</v>
      </c>
      <c r="D21" s="28">
        <v>0.99103166666666598</v>
      </c>
      <c r="E21" s="28">
        <v>0.76375933333333401</v>
      </c>
      <c r="F21" s="28">
        <v>1.87389466666667</v>
      </c>
      <c r="G21" s="28">
        <v>0.167206666666667</v>
      </c>
      <c r="H21" s="28">
        <v>0.36673600000000001</v>
      </c>
      <c r="I21" s="28">
        <v>0.101581</v>
      </c>
      <c r="J21" s="28">
        <v>7.2811600000000004E-2</v>
      </c>
      <c r="K21" s="28">
        <v>0.69643333333333302</v>
      </c>
      <c r="L21" s="28">
        <v>5.5187466666666699E-2</v>
      </c>
      <c r="M21" s="28">
        <v>0.33468033333333302</v>
      </c>
      <c r="N21" s="28">
        <v>0.32483933333333298</v>
      </c>
      <c r="O21" s="28">
        <v>0.29931600000000003</v>
      </c>
      <c r="P21" s="28">
        <v>0.22236800000000001</v>
      </c>
      <c r="Q21" s="28">
        <v>4.7E-2</v>
      </c>
      <c r="R21" s="28">
        <v>1.486596</v>
      </c>
      <c r="S21" s="28">
        <v>0.26311800000000002</v>
      </c>
      <c r="T21" s="28">
        <v>4.8000000000000001E-2</v>
      </c>
      <c r="U21" s="28">
        <v>0.16708366666666699</v>
      </c>
      <c r="V21" s="28">
        <v>7.4268666666666705E-2</v>
      </c>
      <c r="W21" s="28">
        <v>6.36385333333334E-2</v>
      </c>
      <c r="X21" s="28">
        <v>0.23016</v>
      </c>
      <c r="Y21" s="28">
        <v>0.32085599999999997</v>
      </c>
      <c r="Z21" s="28">
        <v>4.8000000000000001E-2</v>
      </c>
      <c r="AA21" s="28">
        <v>4.9000000000000002E-2</v>
      </c>
      <c r="AB21" s="28">
        <v>0.13258200000000001</v>
      </c>
      <c r="AC21" s="28">
        <v>0.24249999999999999</v>
      </c>
      <c r="AD21" s="28">
        <v>8.6296000000000095E-2</v>
      </c>
      <c r="AE21" s="28">
        <v>4.1000000000000002E-2</v>
      </c>
      <c r="AF21" s="28">
        <v>0.236179</v>
      </c>
      <c r="AG21" s="28">
        <v>0.31194</v>
      </c>
      <c r="AH21" s="28">
        <v>3.5999999999999997E-2</v>
      </c>
      <c r="AI21" s="28">
        <v>0.234364666666667</v>
      </c>
      <c r="AJ21" s="28">
        <v>0.466550666666667</v>
      </c>
      <c r="AK21" s="28">
        <v>0.242675</v>
      </c>
      <c r="AL21" s="28">
        <v>0.189033333333333</v>
      </c>
      <c r="AM21" s="28">
        <v>0.1846952</v>
      </c>
      <c r="AN21" s="28">
        <v>0.27124183333333302</v>
      </c>
      <c r="AO21" s="28">
        <v>2.9767899999999998</v>
      </c>
      <c r="AP21" s="28">
        <v>0.18743000000000001</v>
      </c>
      <c r="AQ21" s="28">
        <v>9.1942899999999994E-2</v>
      </c>
      <c r="AR21" s="28">
        <v>5.2999999999999999E-2</v>
      </c>
      <c r="AS21" s="28">
        <v>0.71364499999999997</v>
      </c>
      <c r="AT21" s="28">
        <v>0.14333399999999999</v>
      </c>
      <c r="AU21" s="28">
        <v>8.0641666666666598E-2</v>
      </c>
      <c r="AV21" s="28">
        <v>0.22840199999999999</v>
      </c>
      <c r="AW21" s="28">
        <v>0.229040666666667</v>
      </c>
      <c r="AX21" s="28">
        <v>0.19705013333333299</v>
      </c>
      <c r="AY21" s="28">
        <v>0.18396000000000001</v>
      </c>
      <c r="AZ21" s="28">
        <v>0.34987377687074828</v>
      </c>
      <c r="BA21" s="34">
        <v>17.143815066666669</v>
      </c>
    </row>
    <row r="22" spans="1:53" x14ac:dyDescent="0.25">
      <c r="A22" s="24">
        <v>21</v>
      </c>
      <c r="B22" s="26">
        <v>10</v>
      </c>
      <c r="C22" s="28">
        <v>1.4873666666666701</v>
      </c>
      <c r="D22" s="28">
        <v>0.561774</v>
      </c>
      <c r="E22" s="28">
        <v>0.25769500000000001</v>
      </c>
      <c r="F22" s="28">
        <v>5.5976999999999999E-2</v>
      </c>
      <c r="G22" s="28">
        <v>9.2874333333333406E-2</v>
      </c>
      <c r="H22" s="28">
        <v>0.20054966666666699</v>
      </c>
      <c r="I22" s="28">
        <v>0.20198366666666701</v>
      </c>
      <c r="J22" s="28">
        <v>0.13242863333333299</v>
      </c>
      <c r="K22" s="28">
        <v>0.16454099999999999</v>
      </c>
      <c r="L22" s="28">
        <v>6.6702999999999998E-2</v>
      </c>
      <c r="M22" s="28">
        <v>0.20397000000000001</v>
      </c>
      <c r="N22" s="28">
        <v>0.12870699999999999</v>
      </c>
      <c r="O22" s="28">
        <v>1.5256483999999999</v>
      </c>
      <c r="P22" s="28">
        <v>0.21546199999999999</v>
      </c>
      <c r="Q22" s="28">
        <v>0.59345099999999995</v>
      </c>
      <c r="R22" s="28">
        <v>1.7703</v>
      </c>
      <c r="S22" s="28">
        <v>0.27528999999999998</v>
      </c>
      <c r="T22" s="28">
        <v>0.176853333333333</v>
      </c>
      <c r="U22" s="28">
        <v>0.22026799999999999</v>
      </c>
      <c r="V22" s="28">
        <v>0.20684066666666701</v>
      </c>
      <c r="W22" s="28">
        <v>0.14990666666666699</v>
      </c>
      <c r="X22" s="28">
        <v>0.30626320000000001</v>
      </c>
      <c r="Y22" s="28">
        <v>0.19509000000000001</v>
      </c>
      <c r="Z22" s="28">
        <v>0.15632699999999999</v>
      </c>
      <c r="AA22" s="28">
        <v>0.125944</v>
      </c>
      <c r="AB22" s="28">
        <v>0.10761999999999999</v>
      </c>
      <c r="AC22" s="28">
        <v>0.398482</v>
      </c>
      <c r="AD22" s="28">
        <v>0.27596199999999999</v>
      </c>
      <c r="AE22" s="28">
        <v>4.1000000000000002E-2</v>
      </c>
      <c r="AF22" s="28">
        <v>0.17114133333333301</v>
      </c>
      <c r="AG22" s="28">
        <v>0.55420266666666695</v>
      </c>
      <c r="AH22" s="28">
        <v>5.0906E-2</v>
      </c>
      <c r="AI22" s="28">
        <v>0.143708</v>
      </c>
      <c r="AJ22" s="28">
        <v>0.39961466666666701</v>
      </c>
      <c r="AK22" s="28">
        <v>0.18725566666666699</v>
      </c>
      <c r="AL22" s="28">
        <v>4.2000000000000003E-2</v>
      </c>
      <c r="AM22" s="28">
        <v>0.66215293333333303</v>
      </c>
      <c r="AN22" s="28">
        <v>0.303466666666667</v>
      </c>
      <c r="AO22" s="28">
        <v>0.96720266666666699</v>
      </c>
      <c r="AP22" s="28">
        <v>5.2999999999999999E-2</v>
      </c>
      <c r="AQ22" s="28">
        <v>0.120074</v>
      </c>
      <c r="AR22" s="28">
        <v>5.2999999999999999E-2</v>
      </c>
      <c r="AS22" s="28">
        <v>1.62555266666667</v>
      </c>
      <c r="AT22" s="28">
        <v>5.3999999999999999E-2</v>
      </c>
      <c r="AU22" s="28">
        <v>0.19701866666666701</v>
      </c>
      <c r="AV22" s="28">
        <v>0.352150666666667</v>
      </c>
      <c r="AW22" s="28">
        <v>0.115440666666667</v>
      </c>
      <c r="AX22" s="28">
        <v>0.39985166666666699</v>
      </c>
      <c r="AY22" s="28">
        <v>0.15122533333333299</v>
      </c>
      <c r="AZ22" s="28">
        <v>0.34486209183673489</v>
      </c>
      <c r="BA22" s="34">
        <v>16.898242500000009</v>
      </c>
    </row>
    <row r="23" spans="1:53" x14ac:dyDescent="0.25">
      <c r="A23" s="24">
        <v>22</v>
      </c>
      <c r="B23" s="26">
        <v>10.5</v>
      </c>
      <c r="C23" s="28">
        <v>1.420884</v>
      </c>
      <c r="D23" s="28">
        <v>0.39959466666666699</v>
      </c>
      <c r="E23" s="28">
        <v>0.23161499999999999</v>
      </c>
      <c r="F23" s="28">
        <v>7.6522999999999994E-2</v>
      </c>
      <c r="G23" s="28">
        <v>5.8110000000000002E-2</v>
      </c>
      <c r="H23" s="28">
        <v>0.11816776666666701</v>
      </c>
      <c r="I23" s="28">
        <v>0.20741066666666699</v>
      </c>
      <c r="J23" s="28">
        <v>8.8999999999999996E-2</v>
      </c>
      <c r="K23" s="28">
        <v>8.0865000000000006E-2</v>
      </c>
      <c r="L23" s="28">
        <v>0.36351139999999998</v>
      </c>
      <c r="M23" s="28">
        <v>5.3999999999999999E-2</v>
      </c>
      <c r="N23" s="28">
        <v>4.4999999999999998E-2</v>
      </c>
      <c r="O23" s="28">
        <v>2.13180096666667</v>
      </c>
      <c r="P23" s="28">
        <v>0.147644</v>
      </c>
      <c r="Q23" s="28">
        <v>0.22658066666666701</v>
      </c>
      <c r="R23" s="28">
        <v>2.1891183333333299</v>
      </c>
      <c r="S23" s="28">
        <v>0.40256166666666598</v>
      </c>
      <c r="T23" s="28">
        <v>0.22045799999999999</v>
      </c>
      <c r="U23" s="28">
        <v>0.111424</v>
      </c>
      <c r="V23" s="28">
        <v>9.0031999999999904E-2</v>
      </c>
      <c r="W23" s="28">
        <v>0.05</v>
      </c>
      <c r="X23" s="28">
        <v>0.17361436666666699</v>
      </c>
      <c r="Y23" s="28">
        <v>0.338227</v>
      </c>
      <c r="Z23" s="28">
        <v>0.126525</v>
      </c>
      <c r="AA23" s="28">
        <v>0.23463266666666699</v>
      </c>
      <c r="AB23" s="28">
        <v>0.10549333333333299</v>
      </c>
      <c r="AC23" s="28">
        <v>0.111744</v>
      </c>
      <c r="AD23" s="28">
        <v>9.2543333333333394E-2</v>
      </c>
      <c r="AE23" s="28">
        <v>0.111968</v>
      </c>
      <c r="AF23" s="28">
        <v>9.2999999999999999E-2</v>
      </c>
      <c r="AG23" s="28">
        <v>0.47246666666666598</v>
      </c>
      <c r="AH23" s="28">
        <v>0.18506</v>
      </c>
      <c r="AI23" s="28">
        <v>0.20253833333333299</v>
      </c>
      <c r="AJ23" s="28">
        <v>0.47367933333333301</v>
      </c>
      <c r="AK23" s="28">
        <v>0.26726633333333399</v>
      </c>
      <c r="AL23" s="28">
        <v>0.108833333333333</v>
      </c>
      <c r="AM23" s="28">
        <v>0.492213866666667</v>
      </c>
      <c r="AN23" s="28">
        <v>0.23711333333333301</v>
      </c>
      <c r="AO23" s="28">
        <v>5.7000000000000002E-2</v>
      </c>
      <c r="AP23" s="28">
        <v>5.2999999999999999E-2</v>
      </c>
      <c r="AQ23" s="28">
        <v>0.31110500000000002</v>
      </c>
      <c r="AR23" s="28">
        <v>5.4644400000000003E-2</v>
      </c>
      <c r="AS23" s="28">
        <v>0.1820582</v>
      </c>
      <c r="AT23" s="28">
        <v>5.3999999999999999E-2</v>
      </c>
      <c r="AU23" s="28">
        <v>0.3681546</v>
      </c>
      <c r="AV23" s="28">
        <v>0.30943733333333401</v>
      </c>
      <c r="AW23" s="28">
        <v>0.16224</v>
      </c>
      <c r="AX23" s="28">
        <v>7.7624666666666606E-2</v>
      </c>
      <c r="AY23" s="28">
        <v>0.12522533333333299</v>
      </c>
      <c r="AZ23" s="28">
        <v>0.29174917482993201</v>
      </c>
      <c r="BA23" s="34">
        <v>14.29570956666667</v>
      </c>
    </row>
    <row r="24" spans="1:53" x14ac:dyDescent="0.25">
      <c r="A24" s="24">
        <v>23</v>
      </c>
      <c r="B24" s="26">
        <v>11</v>
      </c>
      <c r="C24" s="28">
        <v>1.08392933333333</v>
      </c>
      <c r="D24" s="28">
        <v>0.13506689999999999</v>
      </c>
      <c r="E24" s="28">
        <v>0.18543433333333301</v>
      </c>
      <c r="F24" s="28">
        <v>0.23552799999999999</v>
      </c>
      <c r="G24" s="28">
        <v>0.171019333333333</v>
      </c>
      <c r="H24" s="28">
        <v>0.36661566666666701</v>
      </c>
      <c r="I24" s="28">
        <v>0.11731800000000001</v>
      </c>
      <c r="J24" s="28">
        <v>3.1100430000000001</v>
      </c>
      <c r="K24" s="28">
        <v>4.5999999999999999E-2</v>
      </c>
      <c r="L24" s="28">
        <v>1.4396762999999999</v>
      </c>
      <c r="M24" s="28">
        <v>5.3999999999999999E-2</v>
      </c>
      <c r="N24" s="28">
        <v>6.1666666666666703E-2</v>
      </c>
      <c r="O24" s="28">
        <v>2.61323666666667</v>
      </c>
      <c r="P24" s="28">
        <v>0.290186</v>
      </c>
      <c r="Q24" s="28">
        <v>0.28526200000000002</v>
      </c>
      <c r="R24" s="28">
        <v>2.5585300000000002</v>
      </c>
      <c r="S24" s="28">
        <v>0.148356666666667</v>
      </c>
      <c r="T24" s="28">
        <v>0.176853333333333</v>
      </c>
      <c r="U24" s="28">
        <v>9.1270000000000004E-2</v>
      </c>
      <c r="V24" s="28">
        <v>6.0764666666666703E-2</v>
      </c>
      <c r="W24" s="28">
        <v>0.14990666666666699</v>
      </c>
      <c r="X24" s="28">
        <v>0.56290770000000001</v>
      </c>
      <c r="Y24" s="28">
        <v>0.22903100000000001</v>
      </c>
      <c r="Z24" s="28">
        <v>0.107735</v>
      </c>
      <c r="AA24" s="28">
        <v>4.9000000000000002E-2</v>
      </c>
      <c r="AB24" s="28">
        <v>0.155953333333333</v>
      </c>
      <c r="AC24" s="28">
        <v>0.16673650000000001</v>
      </c>
      <c r="AD24" s="28">
        <v>0.152036</v>
      </c>
      <c r="AE24" s="28">
        <v>4.1000000000000002E-2</v>
      </c>
      <c r="AF24" s="28">
        <v>1.3663000000000001</v>
      </c>
      <c r="AG24" s="28">
        <v>0.22708466666666699</v>
      </c>
      <c r="AH24" s="28">
        <v>3.5999999999999997E-2</v>
      </c>
      <c r="AI24" s="28">
        <v>1.82570733333333</v>
      </c>
      <c r="AJ24" s="28">
        <v>0.108858333333333</v>
      </c>
      <c r="AK24" s="28">
        <v>0.33409499999999998</v>
      </c>
      <c r="AL24" s="28">
        <v>0.1222</v>
      </c>
      <c r="AM24" s="28">
        <v>1.9594689999999999</v>
      </c>
      <c r="AN24" s="28">
        <v>0.15249933333333299</v>
      </c>
      <c r="AO24" s="28">
        <v>5.7000000000000002E-2</v>
      </c>
      <c r="AP24" s="28">
        <v>5.2999999999999999E-2</v>
      </c>
      <c r="AQ24" s="28">
        <v>0.05</v>
      </c>
      <c r="AR24" s="28">
        <v>6.5333000000000002E-2</v>
      </c>
      <c r="AS24" s="28">
        <v>0.169243333333333</v>
      </c>
      <c r="AT24" s="28">
        <v>5.3999999999999999E-2</v>
      </c>
      <c r="AU24" s="28">
        <v>0.15089016666666699</v>
      </c>
      <c r="AV24" s="28">
        <v>0.32827400000000001</v>
      </c>
      <c r="AW24" s="28">
        <v>0.05</v>
      </c>
      <c r="AX24" s="28">
        <v>0.144848</v>
      </c>
      <c r="AY24" s="28">
        <v>0.13347200000000001</v>
      </c>
      <c r="AZ24" s="28">
        <v>0.45374157619047611</v>
      </c>
      <c r="BA24" s="34">
        <v>22.23333723333333</v>
      </c>
    </row>
    <row r="25" spans="1:53" x14ac:dyDescent="0.25">
      <c r="A25" s="24">
        <v>24</v>
      </c>
      <c r="B25" s="26">
        <v>11.5</v>
      </c>
      <c r="C25" s="28">
        <v>0.413843666666667</v>
      </c>
      <c r="D25" s="28">
        <v>0.25803243333333298</v>
      </c>
      <c r="E25" s="28">
        <v>8.6905999999999997E-2</v>
      </c>
      <c r="F25" s="28">
        <v>0.19378999999999999</v>
      </c>
      <c r="G25" s="28">
        <v>0.92634366666666601</v>
      </c>
      <c r="H25" s="28">
        <v>0.35762233333333299</v>
      </c>
      <c r="I25" s="28">
        <v>0.24290066666666699</v>
      </c>
      <c r="J25" s="28">
        <v>2.23206666666667</v>
      </c>
      <c r="K25" s="28">
        <v>0.199406</v>
      </c>
      <c r="L25" s="28">
        <v>0.23151666666666701</v>
      </c>
      <c r="M25" s="28">
        <v>0.11382299999999999</v>
      </c>
      <c r="N25" s="28">
        <v>1.07185666666667</v>
      </c>
      <c r="O25" s="28">
        <v>0.73261900000000002</v>
      </c>
      <c r="P25" s="28">
        <v>7.0407999999999998E-2</v>
      </c>
      <c r="Q25" s="28">
        <v>0.176858666666667</v>
      </c>
      <c r="R25" s="28">
        <v>1.9796879999999999</v>
      </c>
      <c r="S25" s="28">
        <v>0.20688100000000001</v>
      </c>
      <c r="T25" s="28">
        <v>9.5033999999999993E-2</v>
      </c>
      <c r="U25" s="28">
        <v>8.2615999999999995E-2</v>
      </c>
      <c r="V25" s="28">
        <v>0.27637666666666699</v>
      </c>
      <c r="W25" s="28">
        <v>0.05</v>
      </c>
      <c r="X25" s="28">
        <v>0.9979017</v>
      </c>
      <c r="Y25" s="28">
        <v>1.36191966666667</v>
      </c>
      <c r="Z25" s="28">
        <v>0.159412</v>
      </c>
      <c r="AA25" s="28">
        <v>0.24914566666666699</v>
      </c>
      <c r="AB25" s="28">
        <v>0.1159256</v>
      </c>
      <c r="AC25" s="28">
        <v>0.168641966666667</v>
      </c>
      <c r="AD25" s="28">
        <v>0.112592</v>
      </c>
      <c r="AE25" s="28">
        <v>4.1000000000000002E-2</v>
      </c>
      <c r="AF25" s="28">
        <v>0.178536</v>
      </c>
      <c r="AG25" s="28">
        <v>0.38865100000000002</v>
      </c>
      <c r="AH25" s="28">
        <v>8.0717999999999998E-2</v>
      </c>
      <c r="AI25" s="28">
        <v>2.0809783333333298</v>
      </c>
      <c r="AJ25" s="28">
        <v>4.1000000000000002E-2</v>
      </c>
      <c r="AK25" s="28">
        <v>1.08961666666667</v>
      </c>
      <c r="AL25" s="28">
        <v>4.2000000000000003E-2</v>
      </c>
      <c r="AM25" s="28">
        <v>3.0177</v>
      </c>
      <c r="AN25" s="28">
        <v>0.178434333333333</v>
      </c>
      <c r="AO25" s="28">
        <v>0.19350000000000001</v>
      </c>
      <c r="AP25" s="28">
        <v>5.2999999999999999E-2</v>
      </c>
      <c r="AQ25" s="28">
        <v>0.27713739999999998</v>
      </c>
      <c r="AR25" s="28">
        <v>9.6761333333333296E-2</v>
      </c>
      <c r="AS25" s="28">
        <v>5.1060000000000001E-2</v>
      </c>
      <c r="AT25" s="28">
        <v>5.3999999999999999E-2</v>
      </c>
      <c r="AU25" s="28">
        <v>0.27770166666666701</v>
      </c>
      <c r="AV25" s="28">
        <v>0.19822000000000001</v>
      </c>
      <c r="AW25" s="28">
        <v>0.14861133333333301</v>
      </c>
      <c r="AX25" s="28">
        <v>0.201677</v>
      </c>
      <c r="AY25" s="28">
        <v>0.13459733333333301</v>
      </c>
      <c r="AZ25" s="28">
        <v>0.44875567551020418</v>
      </c>
      <c r="BA25" s="34">
        <v>21.989028100000009</v>
      </c>
    </row>
    <row r="26" spans="1:53" x14ac:dyDescent="0.25">
      <c r="A26" s="24">
        <v>25</v>
      </c>
      <c r="B26" s="26">
        <v>12</v>
      </c>
      <c r="C26" s="28">
        <v>0.26122099999999998</v>
      </c>
      <c r="D26" s="28">
        <v>0.17918933333333301</v>
      </c>
      <c r="E26" s="28">
        <v>0.15485533333333301</v>
      </c>
      <c r="F26" s="28">
        <v>0.19378999999999999</v>
      </c>
      <c r="G26" s="28">
        <v>4.8000000000000001E-2</v>
      </c>
      <c r="H26" s="28">
        <v>0.14216000000000001</v>
      </c>
      <c r="I26" s="28">
        <v>0.1727445</v>
      </c>
      <c r="J26" s="28">
        <v>0.63647786666666695</v>
      </c>
      <c r="K26" s="28">
        <v>0.16806399999999999</v>
      </c>
      <c r="L26" s="28">
        <v>0.45092933333333302</v>
      </c>
      <c r="M26" s="28">
        <v>5.7519000000000001E-2</v>
      </c>
      <c r="N26" s="28">
        <v>0.20452626666666701</v>
      </c>
      <c r="O26" s="28">
        <v>0.23945066666666701</v>
      </c>
      <c r="P26" s="28">
        <v>0.131549</v>
      </c>
      <c r="Q26" s="28">
        <v>0.126776</v>
      </c>
      <c r="R26" s="28">
        <v>0.13607666666666701</v>
      </c>
      <c r="S26" s="28">
        <v>0.53727266666666695</v>
      </c>
      <c r="T26" s="28">
        <v>0.17342399999999999</v>
      </c>
      <c r="U26" s="28">
        <v>0.27071099999999998</v>
      </c>
      <c r="V26" s="28">
        <v>3.4000000000000002E-2</v>
      </c>
      <c r="W26" s="28">
        <v>9.4958000000000001E-2</v>
      </c>
      <c r="X26" s="28">
        <v>6.7516433333333306E-2</v>
      </c>
      <c r="Y26" s="28">
        <v>0.26504733333333302</v>
      </c>
      <c r="Z26" s="28">
        <v>6.3704999999999998E-2</v>
      </c>
      <c r="AA26" s="28">
        <v>0.111431</v>
      </c>
      <c r="AB26" s="28">
        <v>0.40962166666666699</v>
      </c>
      <c r="AC26" s="28">
        <v>5.3999999999999999E-2</v>
      </c>
      <c r="AD26" s="28">
        <v>0.06</v>
      </c>
      <c r="AE26" s="28">
        <v>4.2000000000000003E-2</v>
      </c>
      <c r="AF26" s="28">
        <v>0.24696833333333301</v>
      </c>
      <c r="AG26" s="28">
        <v>1.52622733333333</v>
      </c>
      <c r="AH26" s="28">
        <v>0.155248</v>
      </c>
      <c r="AI26" s="28">
        <v>0.64054033333333404</v>
      </c>
      <c r="AJ26" s="28">
        <v>4.1000000000000002E-2</v>
      </c>
      <c r="AK26" s="28">
        <v>0.44573833333333401</v>
      </c>
      <c r="AL26" s="28">
        <v>4.2000000000000003E-2</v>
      </c>
      <c r="AM26" s="28">
        <v>1.6081033333333301</v>
      </c>
      <c r="AN26" s="28">
        <v>0.16086300000000001</v>
      </c>
      <c r="AO26" s="28">
        <v>5.7000000000000002E-2</v>
      </c>
      <c r="AP26" s="28">
        <v>5.2999999999999999E-2</v>
      </c>
      <c r="AQ26" s="28">
        <v>6.9546900000000106E-2</v>
      </c>
      <c r="AR26" s="28">
        <v>0.15221999999999999</v>
      </c>
      <c r="AS26" s="28">
        <v>0.17690466666666699</v>
      </c>
      <c r="AT26" s="28">
        <v>5.3999999999999999E-2</v>
      </c>
      <c r="AU26" s="28">
        <v>0.125135</v>
      </c>
      <c r="AV26" s="28">
        <v>0.05</v>
      </c>
      <c r="AW26" s="28">
        <v>0.218332</v>
      </c>
      <c r="AX26" s="28">
        <v>0.42206766666666701</v>
      </c>
      <c r="AY26" s="28">
        <v>0.22144800000000001</v>
      </c>
      <c r="AZ26" s="28">
        <v>0.24394610136054429</v>
      </c>
      <c r="BA26" s="34">
        <v>11.95335896666667</v>
      </c>
    </row>
    <row r="27" spans="1:53" x14ac:dyDescent="0.25">
      <c r="A27" s="24">
        <v>26</v>
      </c>
      <c r="B27" s="26">
        <v>12.5</v>
      </c>
      <c r="C27" s="28">
        <v>9.9270566666666699E-2</v>
      </c>
      <c r="D27" s="28">
        <v>0.102957333333333</v>
      </c>
      <c r="E27" s="28">
        <v>0.191414</v>
      </c>
      <c r="F27" s="28">
        <v>0.14225966666666701</v>
      </c>
      <c r="G27" s="28">
        <v>0.35159800000000002</v>
      </c>
      <c r="H27" s="28">
        <v>0.176618</v>
      </c>
      <c r="I27" s="28">
        <v>0.196247</v>
      </c>
      <c r="J27" s="28">
        <v>0.102482066666667</v>
      </c>
      <c r="K27" s="28">
        <v>0.82408199999999998</v>
      </c>
      <c r="L27" s="28">
        <v>1.8620049999999999</v>
      </c>
      <c r="M27" s="28">
        <v>5.3999999999999999E-2</v>
      </c>
      <c r="N27" s="28">
        <v>0.16105613333333299</v>
      </c>
      <c r="O27" s="28">
        <v>0.53313033333333304</v>
      </c>
      <c r="P27" s="28">
        <v>0.25301433333333301</v>
      </c>
      <c r="Q27" s="28">
        <v>0.21540999999999999</v>
      </c>
      <c r="R27" s="28">
        <v>5.5E-2</v>
      </c>
      <c r="S27" s="28">
        <v>0.56773733333333298</v>
      </c>
      <c r="T27" s="28">
        <v>5.4442666666666702E-2</v>
      </c>
      <c r="U27" s="28">
        <v>6.0981E-2</v>
      </c>
      <c r="V27" s="28">
        <v>0.14905333333333301</v>
      </c>
      <c r="W27" s="28">
        <v>0.104948666666667</v>
      </c>
      <c r="X27" s="28">
        <v>0.105738833333333</v>
      </c>
      <c r="Y27" s="28">
        <v>0.151466666666667</v>
      </c>
      <c r="Z27" s="28">
        <v>0.11605500000000001</v>
      </c>
      <c r="AA27" s="28">
        <v>0.16271266666666701</v>
      </c>
      <c r="AB27" s="28">
        <v>0.14707000000000001</v>
      </c>
      <c r="AC27" s="28">
        <v>0.14161499999999999</v>
      </c>
      <c r="AD27" s="28">
        <v>0.204628</v>
      </c>
      <c r="AE27" s="28">
        <v>0.103356</v>
      </c>
      <c r="AF27" s="28">
        <v>9.9791000000000005E-2</v>
      </c>
      <c r="AG27" s="28">
        <v>0.31326433333333298</v>
      </c>
      <c r="AH27" s="28">
        <v>3.5999999999999997E-2</v>
      </c>
      <c r="AI27" s="28">
        <v>0.40468199999999999</v>
      </c>
      <c r="AJ27" s="28">
        <v>4.1000000000000002E-2</v>
      </c>
      <c r="AK27" s="28">
        <v>0.67256333333333296</v>
      </c>
      <c r="AL27" s="28">
        <v>0.18235000000000001</v>
      </c>
      <c r="AM27" s="28">
        <v>4.9000000000000002E-2</v>
      </c>
      <c r="AN27" s="28">
        <v>0.2485192</v>
      </c>
      <c r="AO27" s="28">
        <v>5.7000000000000002E-2</v>
      </c>
      <c r="AP27" s="28">
        <v>5.2999999999999999E-2</v>
      </c>
      <c r="AQ27" s="28">
        <v>5.2314600000000003E-2</v>
      </c>
      <c r="AR27" s="28">
        <v>6.2922000000000006E-2</v>
      </c>
      <c r="AS27" s="28">
        <v>8.9444999999999997E-2</v>
      </c>
      <c r="AT27" s="28">
        <v>1.32038366666667</v>
      </c>
      <c r="AU27" s="28">
        <v>0.26525733333333301</v>
      </c>
      <c r="AV27" s="28">
        <v>0.21267333333333299</v>
      </c>
      <c r="AW27" s="28">
        <v>7.8046000000000004E-2</v>
      </c>
      <c r="AX27" s="28">
        <v>0.78983000000000003</v>
      </c>
      <c r="AY27" s="28">
        <v>0.332440666666666</v>
      </c>
      <c r="AZ27" s="28">
        <v>0.26022106258503402</v>
      </c>
      <c r="BA27" s="34">
        <v>12.750832066666669</v>
      </c>
    </row>
    <row r="28" spans="1:53" x14ac:dyDescent="0.25">
      <c r="A28" s="24">
        <v>27</v>
      </c>
      <c r="B28" s="26">
        <v>13</v>
      </c>
      <c r="C28" s="28">
        <v>0.46846386666666701</v>
      </c>
      <c r="D28" s="28">
        <v>0.57256433333333401</v>
      </c>
      <c r="E28" s="28">
        <v>0.20968000000000001</v>
      </c>
      <c r="F28" s="28">
        <v>1.33637566666667</v>
      </c>
      <c r="G28" s="28">
        <v>0.14799999999999999</v>
      </c>
      <c r="H28" s="28">
        <v>5.2999999999999999E-2</v>
      </c>
      <c r="I28" s="28">
        <v>0.33575700000000003</v>
      </c>
      <c r="J28" s="28">
        <v>0.11659600000000001</v>
      </c>
      <c r="K28" s="28">
        <v>0.49772966666666701</v>
      </c>
      <c r="L28" s="28">
        <v>0.96102000000000098</v>
      </c>
      <c r="M28" s="28">
        <v>9.9747000000000002E-2</v>
      </c>
      <c r="N28" s="28">
        <v>0.15176000000000001</v>
      </c>
      <c r="O28" s="28">
        <v>4.1265200000000002</v>
      </c>
      <c r="P28" s="28">
        <v>0.156459666666667</v>
      </c>
      <c r="Q28" s="28">
        <v>8.2456000000000002E-2</v>
      </c>
      <c r="R28" s="28">
        <v>5.5E-2</v>
      </c>
      <c r="S28" s="28">
        <v>0.54005999999999998</v>
      </c>
      <c r="T28" s="28">
        <v>0.24096166666666699</v>
      </c>
      <c r="U28" s="28">
        <v>0.125886</v>
      </c>
      <c r="V28" s="28">
        <v>0.17058000000000001</v>
      </c>
      <c r="W28" s="28">
        <v>0.05</v>
      </c>
      <c r="X28" s="28">
        <v>0.140716333333333</v>
      </c>
      <c r="Y28" s="28">
        <v>0.20371400000000001</v>
      </c>
      <c r="Z28" s="28">
        <v>9.5115000000000005E-2</v>
      </c>
      <c r="AA28" s="28">
        <v>0.19786400000000001</v>
      </c>
      <c r="AB28" s="28">
        <v>5.969E-2</v>
      </c>
      <c r="AC28" s="28">
        <v>0.14161499999999999</v>
      </c>
      <c r="AD28" s="28">
        <v>0.190173333333333</v>
      </c>
      <c r="AE28" s="28">
        <v>0.21100666666666701</v>
      </c>
      <c r="AF28" s="28">
        <v>5.2999999999999999E-2</v>
      </c>
      <c r="AG28" s="28">
        <v>0.46143600000000001</v>
      </c>
      <c r="AH28" s="28">
        <v>3.5999999999999997E-2</v>
      </c>
      <c r="AI28" s="28">
        <v>0.380736666666667</v>
      </c>
      <c r="AJ28" s="28">
        <v>0.17124</v>
      </c>
      <c r="AK28" s="28">
        <v>1.489541</v>
      </c>
      <c r="AL28" s="28">
        <v>5.5357999999999997E-2</v>
      </c>
      <c r="AM28" s="28">
        <v>0.27623999999999999</v>
      </c>
      <c r="AN28" s="28">
        <v>0.300304133333333</v>
      </c>
      <c r="AO28" s="28">
        <v>0.18790933333333301</v>
      </c>
      <c r="AP28" s="28">
        <v>5.2999999999999999E-2</v>
      </c>
      <c r="AQ28" s="28">
        <v>0.05</v>
      </c>
      <c r="AR28" s="28">
        <v>0.35984833333333299</v>
      </c>
      <c r="AS28" s="28">
        <v>8.78033333333334E-2</v>
      </c>
      <c r="AT28" s="28">
        <v>1.0702499999999999</v>
      </c>
      <c r="AU28" s="28">
        <v>0.20729266666666701</v>
      </c>
      <c r="AV28" s="28">
        <v>7.1663333333333398E-2</v>
      </c>
      <c r="AW28" s="28">
        <v>0.486298333333333</v>
      </c>
      <c r="AX28" s="28">
        <v>0.17978666666666701</v>
      </c>
      <c r="AY28" s="28">
        <v>0.41929066666666598</v>
      </c>
      <c r="AZ28" s="28">
        <v>0.370112442176871</v>
      </c>
      <c r="BA28" s="34">
        <v>18.135509666666682</v>
      </c>
    </row>
    <row r="29" spans="1:53" x14ac:dyDescent="0.25">
      <c r="A29" s="24">
        <v>28</v>
      </c>
      <c r="B29" s="26">
        <v>13.5</v>
      </c>
      <c r="C29" s="28">
        <v>0.1098392</v>
      </c>
      <c r="D29" s="28">
        <v>5.3643999999999997E-2</v>
      </c>
      <c r="E29" s="28">
        <v>0.181332666666667</v>
      </c>
      <c r="F29" s="28">
        <v>0.84875999999999896</v>
      </c>
      <c r="G29" s="28">
        <v>0.26720666666666698</v>
      </c>
      <c r="H29" s="28">
        <v>0.14216000000000001</v>
      </c>
      <c r="I29" s="28">
        <v>0.147237333333333</v>
      </c>
      <c r="J29" s="28">
        <v>5.6658666666666697E-2</v>
      </c>
      <c r="K29" s="28">
        <v>0.37594566666666601</v>
      </c>
      <c r="L29" s="28">
        <v>0.44974866666666702</v>
      </c>
      <c r="M29" s="28">
        <v>7.1595000000000006E-2</v>
      </c>
      <c r="N29" s="28">
        <v>0.27994200000000002</v>
      </c>
      <c r="O29" s="28">
        <v>2.5311926666666702</v>
      </c>
      <c r="P29" s="28">
        <v>0.90931266666666699</v>
      </c>
      <c r="Q29" s="28">
        <v>9.1320000000000096E-2</v>
      </c>
      <c r="R29" s="28">
        <v>0.16801833333333299</v>
      </c>
      <c r="S29" s="28">
        <v>0.29863666666666699</v>
      </c>
      <c r="T29" s="28">
        <v>0.14990700000000001</v>
      </c>
      <c r="U29" s="28">
        <v>0.20580599999999999</v>
      </c>
      <c r="V29" s="28">
        <v>0.53755133333333305</v>
      </c>
      <c r="W29" s="28">
        <v>0.199063666666667</v>
      </c>
      <c r="X29" s="28">
        <v>8.7757933333333302E-2</v>
      </c>
      <c r="Y29" s="28">
        <v>0.05</v>
      </c>
      <c r="Z29" s="28">
        <v>0.11569966666666701</v>
      </c>
      <c r="AA29" s="28">
        <v>4.9000000000000002E-2</v>
      </c>
      <c r="AB29" s="28">
        <v>0.19700000000000001</v>
      </c>
      <c r="AC29" s="28">
        <v>5.7513666666666699E-2</v>
      </c>
      <c r="AD29" s="28">
        <v>0.41710066666666701</v>
      </c>
      <c r="AE29" s="28">
        <v>0.36423933333333303</v>
      </c>
      <c r="AF29" s="28">
        <v>5.2999999999999999E-2</v>
      </c>
      <c r="AG29" s="28">
        <v>0.46391199999999999</v>
      </c>
      <c r="AH29" s="28">
        <v>0.20263266666666699</v>
      </c>
      <c r="AI29" s="28">
        <v>0.67158399999999996</v>
      </c>
      <c r="AJ29" s="28">
        <v>5.69666666666667E-2</v>
      </c>
      <c r="AK29" s="28">
        <v>2.01911</v>
      </c>
      <c r="AL29" s="28">
        <v>0.171527133333333</v>
      </c>
      <c r="AM29" s="28">
        <v>0.19111</v>
      </c>
      <c r="AN29" s="28">
        <v>0.88096719999999995</v>
      </c>
      <c r="AO29" s="28">
        <v>0.13292999999999999</v>
      </c>
      <c r="AP29" s="28">
        <v>5.2999999999999999E-2</v>
      </c>
      <c r="AQ29" s="28">
        <v>0.05</v>
      </c>
      <c r="AR29" s="28">
        <v>1.60625333333333</v>
      </c>
      <c r="AS29" s="28">
        <v>0.14442633333333299</v>
      </c>
      <c r="AT29" s="28">
        <v>0.33358333333333301</v>
      </c>
      <c r="AU29" s="28">
        <v>0.164968</v>
      </c>
      <c r="AV29" s="28">
        <v>0.178012</v>
      </c>
      <c r="AW29" s="28">
        <v>0.16313866666666699</v>
      </c>
      <c r="AX29" s="28">
        <v>0.324392666666667</v>
      </c>
      <c r="AY29" s="28">
        <v>0.134606</v>
      </c>
      <c r="AZ29" s="28">
        <v>0.35529202993197279</v>
      </c>
      <c r="BA29" s="34">
        <v>17.40930946666667</v>
      </c>
    </row>
    <row r="30" spans="1:53" x14ac:dyDescent="0.25">
      <c r="A30" s="24">
        <v>29</v>
      </c>
      <c r="B30" s="26">
        <v>14</v>
      </c>
      <c r="C30" s="28">
        <v>0.264907</v>
      </c>
      <c r="D30" s="28">
        <v>0.145372</v>
      </c>
      <c r="E30" s="28">
        <v>0.14628933333333299</v>
      </c>
      <c r="F30" s="28">
        <v>0.22365406666666701</v>
      </c>
      <c r="G30" s="28">
        <v>6.1214666666666702E-2</v>
      </c>
      <c r="H30" s="28">
        <v>0.176618</v>
      </c>
      <c r="I30" s="28">
        <v>0.45798800000000001</v>
      </c>
      <c r="J30" s="28">
        <v>0.118598</v>
      </c>
      <c r="K30" s="28">
        <v>5.0204333333333399E-2</v>
      </c>
      <c r="L30" s="28">
        <v>0.40211133333333299</v>
      </c>
      <c r="M30" s="28">
        <v>0.103266</v>
      </c>
      <c r="N30" s="28">
        <v>5.5466000000000001E-2</v>
      </c>
      <c r="O30" s="28">
        <v>0.37272266666666698</v>
      </c>
      <c r="P30" s="28">
        <v>0.41483999999999999</v>
      </c>
      <c r="Q30" s="28">
        <v>0.21540999999999999</v>
      </c>
      <c r="R30" s="28">
        <v>0.81553133333333305</v>
      </c>
      <c r="S30" s="28">
        <v>0.45859</v>
      </c>
      <c r="T30" s="28">
        <v>0.13819733333333301</v>
      </c>
      <c r="U30" s="28">
        <v>0.236526666666667</v>
      </c>
      <c r="V30" s="28">
        <v>0.45659333333333302</v>
      </c>
      <c r="W30" s="28">
        <v>0.125028</v>
      </c>
      <c r="X30" s="28">
        <v>0.97199206666666704</v>
      </c>
      <c r="Y30" s="28">
        <v>0.146726666666667</v>
      </c>
      <c r="Z30" s="28">
        <v>0.22340833333333299</v>
      </c>
      <c r="AA30" s="28">
        <v>0.277913666666667</v>
      </c>
      <c r="AB30" s="28">
        <v>0.20851466666666699</v>
      </c>
      <c r="AC30" s="28">
        <v>0.18940499999999999</v>
      </c>
      <c r="AD30" s="28">
        <v>0.20761333333333301</v>
      </c>
      <c r="AE30" s="28">
        <v>0.24274799999999999</v>
      </c>
      <c r="AF30" s="28">
        <v>5.2999999999999999E-2</v>
      </c>
      <c r="AG30" s="28">
        <v>0.10016953333333301</v>
      </c>
      <c r="AH30" s="28">
        <v>0.30186360000000001</v>
      </c>
      <c r="AI30" s="28">
        <v>0.103275333333333</v>
      </c>
      <c r="AJ30" s="28">
        <v>0.12637936666666699</v>
      </c>
      <c r="AK30" s="28">
        <v>3.3653533333333399</v>
      </c>
      <c r="AL30" s="28">
        <v>0.136184</v>
      </c>
      <c r="AM30" s="28">
        <v>5.0162133333333303E-2</v>
      </c>
      <c r="AN30" s="28">
        <v>0.18367</v>
      </c>
      <c r="AO30" s="28">
        <v>9.0169666666666606E-2</v>
      </c>
      <c r="AP30" s="28">
        <v>5.2999999999999999E-2</v>
      </c>
      <c r="AQ30" s="28">
        <v>0.05</v>
      </c>
      <c r="AR30" s="28">
        <v>0.21921533333333301</v>
      </c>
      <c r="AS30" s="28">
        <v>0.11076999999999999</v>
      </c>
      <c r="AT30" s="28">
        <v>0.580905</v>
      </c>
      <c r="AU30" s="28">
        <v>0.27818100000000001</v>
      </c>
      <c r="AV30" s="28">
        <v>0.106324666666667</v>
      </c>
      <c r="AW30" s="28">
        <v>0.143677</v>
      </c>
      <c r="AX30" s="28">
        <v>9.1353066666666705E-2</v>
      </c>
      <c r="AY30" s="28">
        <v>3.3000000000000002E-2</v>
      </c>
      <c r="AZ30" s="28">
        <v>0.28743067006802742</v>
      </c>
      <c r="BA30" s="34">
        <v>14.08410283333334</v>
      </c>
    </row>
    <row r="31" spans="1:53" x14ac:dyDescent="0.25">
      <c r="A31" s="24">
        <v>30</v>
      </c>
      <c r="B31" s="26">
        <v>14.5</v>
      </c>
      <c r="C31" s="28">
        <v>0.195691333333333</v>
      </c>
      <c r="D31" s="28">
        <v>9.9507999999999902E-2</v>
      </c>
      <c r="E31" s="28">
        <v>0.113624</v>
      </c>
      <c r="F31" s="28">
        <v>0.135534133333333</v>
      </c>
      <c r="G31" s="28">
        <v>0.102308333333333</v>
      </c>
      <c r="H31" s="28">
        <v>0.14216000000000001</v>
      </c>
      <c r="I31" s="28">
        <v>1.28566</v>
      </c>
      <c r="J31" s="28">
        <v>5.8046E-2</v>
      </c>
      <c r="K31" s="28">
        <v>0.10598753333333299</v>
      </c>
      <c r="L31" s="28">
        <v>0.51845533333333305</v>
      </c>
      <c r="M31" s="28">
        <v>6.8075999999999998E-2</v>
      </c>
      <c r="N31" s="28">
        <v>0.28704600000000002</v>
      </c>
      <c r="O31" s="28">
        <v>0.38854633333333299</v>
      </c>
      <c r="P31" s="28">
        <v>0.71244066666666594</v>
      </c>
      <c r="Q31" s="28">
        <v>0.126776</v>
      </c>
      <c r="R31" s="28">
        <v>5.5E-2</v>
      </c>
      <c r="S31" s="28">
        <v>0.29528333333333301</v>
      </c>
      <c r="T31" s="28">
        <v>0.219919</v>
      </c>
      <c r="U31" s="28">
        <v>0.37920300000000001</v>
      </c>
      <c r="V31" s="28">
        <v>0.349144333333333</v>
      </c>
      <c r="W31" s="28">
        <v>0.22592300000000001</v>
      </c>
      <c r="X31" s="28">
        <v>0.12648533333333301</v>
      </c>
      <c r="Y31" s="28">
        <v>0.30942766666666699</v>
      </c>
      <c r="Z31" s="28">
        <v>0.17203199999999999</v>
      </c>
      <c r="AA31" s="28">
        <v>8.2663E-2</v>
      </c>
      <c r="AB31" s="28">
        <v>0.27273433333333302</v>
      </c>
      <c r="AC31" s="28">
        <v>9.3824999999999895E-2</v>
      </c>
      <c r="AD31" s="28">
        <v>0.23980626666666699</v>
      </c>
      <c r="AE31" s="28">
        <v>0.34845999999999999</v>
      </c>
      <c r="AF31" s="28">
        <v>5.2999999999999999E-2</v>
      </c>
      <c r="AG31" s="28">
        <v>0.19128493333333299</v>
      </c>
      <c r="AH31" s="28">
        <v>1.2069534</v>
      </c>
      <c r="AI31" s="28">
        <v>0.28506799999999999</v>
      </c>
      <c r="AJ31" s="28">
        <v>0.26264033333333398</v>
      </c>
      <c r="AK31" s="28">
        <v>1.9333499999999999</v>
      </c>
      <c r="AL31" s="28">
        <v>4.2000000000000003E-2</v>
      </c>
      <c r="AM31" s="28">
        <v>7.1082999999999993E-2</v>
      </c>
      <c r="AN31" s="28">
        <v>0.31933333333333302</v>
      </c>
      <c r="AO31" s="28">
        <v>0.31412333333333398</v>
      </c>
      <c r="AP31" s="28">
        <v>5.2999999999999999E-2</v>
      </c>
      <c r="AQ31" s="28">
        <v>0.05</v>
      </c>
      <c r="AR31" s="28">
        <v>0.23143</v>
      </c>
      <c r="AS31" s="28">
        <v>0.17690466666666699</v>
      </c>
      <c r="AT31" s="28">
        <v>0.23454033333333299</v>
      </c>
      <c r="AU31" s="28">
        <v>8.2401000000000002E-2</v>
      </c>
      <c r="AV31" s="28">
        <v>0.05</v>
      </c>
      <c r="AW31" s="28">
        <v>1.6546843333333301</v>
      </c>
      <c r="AX31" s="28">
        <v>0.86385053333333395</v>
      </c>
      <c r="AY31" s="28">
        <v>8.7917333333333306E-2</v>
      </c>
      <c r="AZ31" s="28">
        <v>0.31986388707482988</v>
      </c>
      <c r="BA31" s="34">
        <v>15.673330466666661</v>
      </c>
    </row>
    <row r="32" spans="1:53" x14ac:dyDescent="0.25">
      <c r="A32" s="24">
        <v>31</v>
      </c>
      <c r="B32" s="26">
        <v>15</v>
      </c>
      <c r="C32" s="28">
        <v>0.40006066666666701</v>
      </c>
      <c r="D32" s="28">
        <v>4.5999999999999999E-2</v>
      </c>
      <c r="E32" s="28">
        <v>4.5999999999999999E-2</v>
      </c>
      <c r="F32" s="28">
        <v>0.16338293333333301</v>
      </c>
      <c r="G32" s="28">
        <v>0.32935666666666702</v>
      </c>
      <c r="H32" s="28">
        <v>5.2999999999999999E-2</v>
      </c>
      <c r="I32" s="28">
        <v>0.27488233333333301</v>
      </c>
      <c r="J32" s="28">
        <v>5.2999999999999999E-2</v>
      </c>
      <c r="K32" s="28">
        <v>0.15706693333333299</v>
      </c>
      <c r="L32" s="28">
        <v>0.62613466666666695</v>
      </c>
      <c r="M32" s="28">
        <v>0.117342</v>
      </c>
      <c r="N32" s="28">
        <v>0.1088876</v>
      </c>
      <c r="O32" s="28">
        <v>3.9086919999999998</v>
      </c>
      <c r="P32" s="28">
        <v>0.17738606666666701</v>
      </c>
      <c r="Q32" s="28">
        <v>4.7E-2</v>
      </c>
      <c r="R32" s="28">
        <v>0.119861333333333</v>
      </c>
      <c r="S32" s="28">
        <v>0.30232866666666702</v>
      </c>
      <c r="T32" s="28">
        <v>0.170949666666667</v>
      </c>
      <c r="U32" s="28">
        <v>0.330249666666667</v>
      </c>
      <c r="V32" s="28">
        <v>0.36228300000000002</v>
      </c>
      <c r="W32" s="28">
        <v>0.32796720000000001</v>
      </c>
      <c r="X32" s="28">
        <v>0.14786666666666701</v>
      </c>
      <c r="Y32" s="28">
        <v>1.25896266666667</v>
      </c>
      <c r="Z32" s="28">
        <v>4.8000000000000001E-2</v>
      </c>
      <c r="AA32" s="28">
        <v>0.13075300000000001</v>
      </c>
      <c r="AB32" s="28">
        <v>8.2058333333333303E-2</v>
      </c>
      <c r="AC32" s="28">
        <v>9.4878633333333406E-2</v>
      </c>
      <c r="AD32" s="28">
        <v>0.12573999999999999</v>
      </c>
      <c r="AE32" s="28">
        <v>0.26457399999999998</v>
      </c>
      <c r="AF32" s="28">
        <v>5.2999999999999999E-2</v>
      </c>
      <c r="AG32" s="28">
        <v>0.50631533333333401</v>
      </c>
      <c r="AH32" s="28">
        <v>9.0871199999999999E-2</v>
      </c>
      <c r="AI32" s="28">
        <v>0.202144666666667</v>
      </c>
      <c r="AJ32" s="28">
        <v>0.203464333333333</v>
      </c>
      <c r="AK32" s="28">
        <v>7.6426666666666698E-2</v>
      </c>
      <c r="AL32" s="28">
        <v>1.71427333333333</v>
      </c>
      <c r="AM32" s="28">
        <v>0.24477813333333301</v>
      </c>
      <c r="AN32" s="28">
        <v>0.27655600000000002</v>
      </c>
      <c r="AO32" s="28">
        <v>8.6409333333333296E-2</v>
      </c>
      <c r="AP32" s="28">
        <v>5.2999999999999999E-2</v>
      </c>
      <c r="AQ32" s="28">
        <v>0.05</v>
      </c>
      <c r="AR32" s="28">
        <v>0.13347666666666699</v>
      </c>
      <c r="AS32" s="28">
        <v>3.4000000000000002E-2</v>
      </c>
      <c r="AT32" s="28">
        <v>0.50395299999999998</v>
      </c>
      <c r="AU32" s="28">
        <v>1.56520066666667</v>
      </c>
      <c r="AV32" s="28">
        <v>0.234336666666667</v>
      </c>
      <c r="AW32" s="28">
        <v>3.44198</v>
      </c>
      <c r="AX32" s="28">
        <v>0.493991666666667</v>
      </c>
      <c r="AY32" s="28">
        <v>0.37900533333333303</v>
      </c>
      <c r="AZ32" s="28">
        <v>0.42077240204081651</v>
      </c>
      <c r="BA32" s="34">
        <v>20.617847700000009</v>
      </c>
    </row>
    <row r="33" spans="1:53" x14ac:dyDescent="0.25">
      <c r="A33" s="24">
        <v>32</v>
      </c>
      <c r="B33" s="26">
        <v>15.5</v>
      </c>
      <c r="C33" s="28">
        <v>0.28378666666666702</v>
      </c>
      <c r="D33" s="28">
        <v>0.125554</v>
      </c>
      <c r="E33" s="28">
        <v>0.29346133333333302</v>
      </c>
      <c r="F33" s="28">
        <v>0.395662666666667</v>
      </c>
      <c r="G33" s="28">
        <v>0.234782666666667</v>
      </c>
      <c r="H33" s="28">
        <v>0.26577800000000001</v>
      </c>
      <c r="I33" s="28">
        <v>0.43391133333333298</v>
      </c>
      <c r="J33" s="28">
        <v>0.134966</v>
      </c>
      <c r="K33" s="28">
        <v>5.4408666666666702E-2</v>
      </c>
      <c r="L33" s="28">
        <v>0.314632666666667</v>
      </c>
      <c r="M33" s="28">
        <v>0.119275333333333</v>
      </c>
      <c r="N33" s="28">
        <v>0.178597533333333</v>
      </c>
      <c r="O33" s="28">
        <v>2.8208466666666698</v>
      </c>
      <c r="P33" s="28">
        <v>0.16692460000000001</v>
      </c>
      <c r="Q33" s="28">
        <v>4.7E-2</v>
      </c>
      <c r="R33" s="28">
        <v>1.66875333333333</v>
      </c>
      <c r="S33" s="28">
        <v>0.450056333333333</v>
      </c>
      <c r="T33" s="28">
        <v>0.179327666666667</v>
      </c>
      <c r="U33" s="28">
        <v>5.6654000000000003E-2</v>
      </c>
      <c r="V33" s="28">
        <v>0.35899799999999998</v>
      </c>
      <c r="W33" s="28">
        <v>0.15933086666666699</v>
      </c>
      <c r="X33" s="28">
        <v>7.6055999999999999E-2</v>
      </c>
      <c r="Y33" s="28">
        <v>0.22868933333333399</v>
      </c>
      <c r="Z33" s="28">
        <v>0.16317000000000001</v>
      </c>
      <c r="AA33" s="28">
        <v>0.22982366666666701</v>
      </c>
      <c r="AB33" s="28">
        <v>0.10761999999999999</v>
      </c>
      <c r="AC33" s="28">
        <v>0.30187266666666701</v>
      </c>
      <c r="AD33" s="28">
        <v>0.118578</v>
      </c>
      <c r="AE33" s="28">
        <v>0.39243033333333299</v>
      </c>
      <c r="AF33" s="28">
        <v>5.2999999999999999E-2</v>
      </c>
      <c r="AG33" s="28">
        <v>0.74866966666666701</v>
      </c>
      <c r="AH33" s="28">
        <v>0.12616910000000001</v>
      </c>
      <c r="AI33" s="28">
        <v>7.2284666666666705E-2</v>
      </c>
      <c r="AJ33" s="28">
        <v>0.1306447</v>
      </c>
      <c r="AK33" s="28">
        <v>4.8508000000000003E-2</v>
      </c>
      <c r="AL33" s="28">
        <v>6.2050000000000001E-2</v>
      </c>
      <c r="AM33" s="28">
        <v>5.5614799999999999E-2</v>
      </c>
      <c r="AN33" s="28">
        <v>0.46805166666666698</v>
      </c>
      <c r="AO33" s="28">
        <v>5.7000000000000002E-2</v>
      </c>
      <c r="AP33" s="28">
        <v>5.2999999999999999E-2</v>
      </c>
      <c r="AQ33" s="28">
        <v>5.2208999999999998E-2</v>
      </c>
      <c r="AR33" s="28">
        <v>5.2999999999999999E-2</v>
      </c>
      <c r="AS33" s="28">
        <v>5.9589999999999997E-2</v>
      </c>
      <c r="AT33" s="28">
        <v>0.54932899999999996</v>
      </c>
      <c r="AU33" s="28">
        <v>0.323826</v>
      </c>
      <c r="AV33" s="28">
        <v>0.05</v>
      </c>
      <c r="AW33" s="28">
        <v>2.5556753333333302</v>
      </c>
      <c r="AX33" s="28">
        <v>0.23723060000000001</v>
      </c>
      <c r="AY33" s="28">
        <v>6.1438666666666697E-2</v>
      </c>
      <c r="AZ33" s="28">
        <v>0.33016815374149661</v>
      </c>
      <c r="BA33" s="34">
        <v>16.178239533333329</v>
      </c>
    </row>
    <row r="34" spans="1:53" x14ac:dyDescent="0.25">
      <c r="A34" s="24">
        <v>33</v>
      </c>
      <c r="B34" s="26">
        <v>16</v>
      </c>
      <c r="C34" s="28">
        <v>0.16247466666666699</v>
      </c>
      <c r="D34" s="28">
        <v>8.1256666666666699E-2</v>
      </c>
      <c r="E34" s="28">
        <v>0.155148333333333</v>
      </c>
      <c r="F34" s="28">
        <v>8.2077333333333405E-2</v>
      </c>
      <c r="G34" s="28">
        <v>0.37271266666666703</v>
      </c>
      <c r="H34" s="28">
        <v>5.2999999999999999E-2</v>
      </c>
      <c r="I34" s="28">
        <v>1.0596823333333301</v>
      </c>
      <c r="J34" s="28">
        <v>0.24143000000000001</v>
      </c>
      <c r="K34" s="28">
        <v>0.21130299999999999</v>
      </c>
      <c r="L34" s="28">
        <v>0.27961200000000003</v>
      </c>
      <c r="M34" s="28">
        <v>0.23970566666666701</v>
      </c>
      <c r="N34" s="28">
        <v>0.52398266666666704</v>
      </c>
      <c r="O34" s="28">
        <v>0.555047333333333</v>
      </c>
      <c r="P34" s="28">
        <v>0.62998953333333296</v>
      </c>
      <c r="Q34" s="28">
        <v>0.27302599999999999</v>
      </c>
      <c r="R34" s="28">
        <v>0.49484033333333299</v>
      </c>
      <c r="S34" s="28">
        <v>0.22020999999999999</v>
      </c>
      <c r="T34" s="28">
        <v>0.37050666666666698</v>
      </c>
      <c r="U34" s="28">
        <v>0.338552666666667</v>
      </c>
      <c r="V34" s="28">
        <v>0.43368400000000001</v>
      </c>
      <c r="W34" s="28">
        <v>0.210687333333333</v>
      </c>
      <c r="X34" s="28">
        <v>0.137538666666667</v>
      </c>
      <c r="Y34" s="28">
        <v>9.8363333333333205E-2</v>
      </c>
      <c r="Z34" s="28">
        <v>0.119682</v>
      </c>
      <c r="AA34" s="28">
        <v>4.9000000000000002E-2</v>
      </c>
      <c r="AB34" s="28">
        <v>0.121116666666667</v>
      </c>
      <c r="AC34" s="28">
        <v>0.14702999999999999</v>
      </c>
      <c r="AD34" s="28">
        <v>0.19076133333333301</v>
      </c>
      <c r="AE34" s="28">
        <v>0.41831766666666698</v>
      </c>
      <c r="AF34" s="28">
        <v>5.2999999999999999E-2</v>
      </c>
      <c r="AG34" s="28">
        <v>0.68730899999999995</v>
      </c>
      <c r="AH34" s="28">
        <v>0.14296210000000001</v>
      </c>
      <c r="AI34" s="28">
        <v>0.40351833333333298</v>
      </c>
      <c r="AJ34" s="28">
        <v>9.7455566666666701E-2</v>
      </c>
      <c r="AK34" s="28">
        <v>0.21040300000000001</v>
      </c>
      <c r="AL34" s="28">
        <v>0.13731433333333301</v>
      </c>
      <c r="AM34" s="28">
        <v>0.29259200000000002</v>
      </c>
      <c r="AN34" s="28">
        <v>0.29530833333333401</v>
      </c>
      <c r="AO34" s="28">
        <v>2.4579546666666698</v>
      </c>
      <c r="AP34" s="28">
        <v>5.2999999999999999E-2</v>
      </c>
      <c r="AQ34" s="28">
        <v>0.32991533333333301</v>
      </c>
      <c r="AR34" s="28">
        <v>5.2999999999999999E-2</v>
      </c>
      <c r="AS34" s="28">
        <v>0.22158900000000001</v>
      </c>
      <c r="AT34" s="28">
        <v>0.26696266666666701</v>
      </c>
      <c r="AU34" s="28">
        <v>0.79827000000000004</v>
      </c>
      <c r="AV34" s="28">
        <v>0.156348666666667</v>
      </c>
      <c r="AW34" s="28">
        <v>0.46854913333333398</v>
      </c>
      <c r="AX34" s="28">
        <v>0.31989173333333298</v>
      </c>
      <c r="AY34" s="28">
        <v>0.22868333333333299</v>
      </c>
      <c r="AZ34" s="28">
        <v>0.32540338911564631</v>
      </c>
      <c r="BA34" s="34">
        <v>15.94476606666667</v>
      </c>
    </row>
    <row r="35" spans="1:53" x14ac:dyDescent="0.25">
      <c r="A35" s="24">
        <v>34</v>
      </c>
      <c r="B35" s="26">
        <v>16.5</v>
      </c>
      <c r="C35" s="28">
        <v>0.29809400000000003</v>
      </c>
      <c r="D35" s="28">
        <v>1.13410266666667</v>
      </c>
      <c r="E35" s="28">
        <v>7.4176666666666696E-2</v>
      </c>
      <c r="F35" s="28">
        <v>0.101118</v>
      </c>
      <c r="G35" s="28">
        <v>0.23827633333333301</v>
      </c>
      <c r="H35" s="28">
        <v>0.13728499999999999</v>
      </c>
      <c r="I35" s="28">
        <v>0.85246</v>
      </c>
      <c r="J35" s="28">
        <v>6.8972000000000006E-2</v>
      </c>
      <c r="K35" s="28">
        <v>0.16497000000000001</v>
      </c>
      <c r="L35" s="28">
        <v>0.34267833333333297</v>
      </c>
      <c r="M35" s="28">
        <v>2.8576860000000002</v>
      </c>
      <c r="N35" s="28">
        <v>0.126509333333333</v>
      </c>
      <c r="O35" s="28">
        <v>0.55040800000000001</v>
      </c>
      <c r="P35" s="28">
        <v>0.16317860000000001</v>
      </c>
      <c r="Q35" s="28">
        <v>6.9159999999999999E-2</v>
      </c>
      <c r="R35" s="28">
        <v>0.72745713333333295</v>
      </c>
      <c r="S35" s="28">
        <v>0.35555700000000001</v>
      </c>
      <c r="T35" s="28">
        <v>0.14099</v>
      </c>
      <c r="U35" s="28">
        <v>0.20150199999999999</v>
      </c>
      <c r="V35" s="28">
        <v>0.18781666666666699</v>
      </c>
      <c r="W35" s="28">
        <v>0.27456293333333298</v>
      </c>
      <c r="X35" s="28">
        <v>5.2999999999999999E-2</v>
      </c>
      <c r="Y35" s="28">
        <v>0.16771766666666699</v>
      </c>
      <c r="Z35" s="28">
        <v>0.1527</v>
      </c>
      <c r="AA35" s="28">
        <v>4.9000000000000002E-2</v>
      </c>
      <c r="AB35" s="28">
        <v>0.13674</v>
      </c>
      <c r="AC35" s="28">
        <v>0.29803800000000003</v>
      </c>
      <c r="AD35" s="28">
        <v>0.17800533333333299</v>
      </c>
      <c r="AE35" s="28">
        <v>0.21810633333333301</v>
      </c>
      <c r="AF35" s="28">
        <v>5.2999999999999999E-2</v>
      </c>
      <c r="AG35" s="28">
        <v>0.818828</v>
      </c>
      <c r="AH35" s="28">
        <v>6.2742466666666705E-2</v>
      </c>
      <c r="AI35" s="28">
        <v>6.9414000000000003E-2</v>
      </c>
      <c r="AJ35" s="28">
        <v>0.23408899999999999</v>
      </c>
      <c r="AK35" s="28">
        <v>0.13930000000000001</v>
      </c>
      <c r="AL35" s="28">
        <v>0.31288576666666701</v>
      </c>
      <c r="AM35" s="28">
        <v>0.384687</v>
      </c>
      <c r="AN35" s="28">
        <v>1.0639863333333299</v>
      </c>
      <c r="AO35" s="28">
        <v>2.87618666666667</v>
      </c>
      <c r="AP35" s="28">
        <v>5.2999999999999999E-2</v>
      </c>
      <c r="AQ35" s="28">
        <v>0.23658799999999999</v>
      </c>
      <c r="AR35" s="28">
        <v>5.2999999999999999E-2</v>
      </c>
      <c r="AS35" s="28">
        <v>4.0495666666666701E-2</v>
      </c>
      <c r="AT35" s="28">
        <v>0.23374200000000001</v>
      </c>
      <c r="AU35" s="28">
        <v>0.71397933333333297</v>
      </c>
      <c r="AV35" s="28">
        <v>0.05</v>
      </c>
      <c r="AW35" s="28">
        <v>0.24285799999999999</v>
      </c>
      <c r="AX35" s="28">
        <v>4.9450633333333299E-2</v>
      </c>
      <c r="AY35" s="28">
        <v>0.51148333333333296</v>
      </c>
      <c r="AZ35" s="28">
        <v>0.37795886122448991</v>
      </c>
      <c r="BA35" s="34">
        <v>18.5199842</v>
      </c>
    </row>
    <row r="36" spans="1:53" x14ac:dyDescent="0.25">
      <c r="A36" s="24">
        <v>35</v>
      </c>
      <c r="B36" s="26">
        <v>17</v>
      </c>
      <c r="C36" s="28">
        <v>0.22658766666666699</v>
      </c>
      <c r="D36" s="28">
        <v>3.1861666666666699</v>
      </c>
      <c r="E36" s="28">
        <v>0.23115866666666701</v>
      </c>
      <c r="F36" s="28">
        <v>0.11292199999999999</v>
      </c>
      <c r="G36" s="28">
        <v>9.3121266666666702E-2</v>
      </c>
      <c r="H36" s="28">
        <v>0.17158633333333301</v>
      </c>
      <c r="I36" s="28">
        <v>0.459681333333333</v>
      </c>
      <c r="J36" s="28">
        <v>8.8901999999999995E-2</v>
      </c>
      <c r="K36" s="28">
        <v>0.12736233333333299</v>
      </c>
      <c r="L36" s="28">
        <v>0.43897566666666699</v>
      </c>
      <c r="M36" s="28">
        <v>0.43402600000000002</v>
      </c>
      <c r="N36" s="28">
        <v>0.18665799999999999</v>
      </c>
      <c r="O36" s="28">
        <v>1.3130836666666701</v>
      </c>
      <c r="P36" s="28">
        <v>0.33548753333333298</v>
      </c>
      <c r="Q36" s="28">
        <v>0.18962599999999999</v>
      </c>
      <c r="R36" s="28">
        <v>0.27647389999999999</v>
      </c>
      <c r="S36" s="28">
        <v>1.3428819999999999</v>
      </c>
      <c r="T36" s="28">
        <v>0.41366966666666699</v>
      </c>
      <c r="U36" s="28">
        <v>0.257085333333333</v>
      </c>
      <c r="V36" s="28">
        <v>0.88195800000000002</v>
      </c>
      <c r="W36" s="28">
        <v>0.15885913333333301</v>
      </c>
      <c r="X36" s="28">
        <v>5.2999999999999999E-2</v>
      </c>
      <c r="Y36" s="28">
        <v>0.24863499999999999</v>
      </c>
      <c r="Z36" s="28">
        <v>0.32953900000000003</v>
      </c>
      <c r="AA36" s="28">
        <v>0.13075300000000001</v>
      </c>
      <c r="AB36" s="28">
        <v>0.10761999999999999</v>
      </c>
      <c r="AC36" s="28">
        <v>0.14042399999999999</v>
      </c>
      <c r="AD36" s="28">
        <v>0.17735200000000001</v>
      </c>
      <c r="AE36" s="28">
        <v>0.27881266666666699</v>
      </c>
      <c r="AF36" s="28">
        <v>5.2999999999999999E-2</v>
      </c>
      <c r="AG36" s="28">
        <v>0.33706966666666599</v>
      </c>
      <c r="AH36" s="28">
        <v>0.23829829999999999</v>
      </c>
      <c r="AI36" s="28">
        <v>0.24076133333333299</v>
      </c>
      <c r="AJ36" s="28">
        <v>0.14412166666666701</v>
      </c>
      <c r="AK36" s="28">
        <v>0.21086199999999999</v>
      </c>
      <c r="AL36" s="28">
        <v>0.40834110000000001</v>
      </c>
      <c r="AM36" s="28">
        <v>0.36557666666666699</v>
      </c>
      <c r="AN36" s="28">
        <v>0.34375800000000001</v>
      </c>
      <c r="AO36" s="28">
        <v>0.65292999999999901</v>
      </c>
      <c r="AP36" s="28">
        <v>5.2999999999999999E-2</v>
      </c>
      <c r="AQ36" s="28">
        <v>0.34556276666666602</v>
      </c>
      <c r="AR36" s="28">
        <v>5.2999999999999999E-2</v>
      </c>
      <c r="AS36" s="28">
        <v>7.6649999999999996E-2</v>
      </c>
      <c r="AT36" s="28">
        <v>0.13057199999999999</v>
      </c>
      <c r="AU36" s="28">
        <v>0.34659499999999999</v>
      </c>
      <c r="AV36" s="28">
        <v>0.14323733333333299</v>
      </c>
      <c r="AW36" s="28">
        <v>0.27089153333333299</v>
      </c>
      <c r="AX36" s="28">
        <v>0.136764</v>
      </c>
      <c r="AY36" s="28">
        <v>0.26858266666666702</v>
      </c>
      <c r="AZ36" s="28">
        <v>0.35126495646258532</v>
      </c>
      <c r="BA36" s="34">
        <v>17.211982866666681</v>
      </c>
    </row>
    <row r="37" spans="1:53" x14ac:dyDescent="0.25">
      <c r="A37" s="24">
        <v>36</v>
      </c>
      <c r="B37" s="26">
        <v>17.5</v>
      </c>
      <c r="C37" s="28">
        <v>0.35718533333333302</v>
      </c>
      <c r="D37" s="28">
        <v>2.1117676666666698</v>
      </c>
      <c r="E37" s="28">
        <v>0.107734</v>
      </c>
      <c r="F37" s="28">
        <v>0.29354999999999998</v>
      </c>
      <c r="G37" s="28">
        <v>0.31958266666666701</v>
      </c>
      <c r="H37" s="28">
        <v>0.24854799999999999</v>
      </c>
      <c r="I37" s="28">
        <v>0.50323799999999996</v>
      </c>
      <c r="J37" s="28">
        <v>3.3000000000000002E-2</v>
      </c>
      <c r="K37" s="28">
        <v>0.20546</v>
      </c>
      <c r="L37" s="28">
        <v>0.90748566666666697</v>
      </c>
      <c r="M37" s="28">
        <v>0.20381199999999999</v>
      </c>
      <c r="N37" s="28">
        <v>0.13930400000000001</v>
      </c>
      <c r="O37" s="28">
        <v>0.61759500000000001</v>
      </c>
      <c r="P37" s="28">
        <v>0.55558366666666703</v>
      </c>
      <c r="Q37" s="28">
        <v>0.15256</v>
      </c>
      <c r="R37" s="28">
        <v>0.22526099999999999</v>
      </c>
      <c r="S37" s="28">
        <v>0.15352866666666701</v>
      </c>
      <c r="T37" s="28">
        <v>0.42052333333333303</v>
      </c>
      <c r="U37" s="28">
        <v>0.18479000000000001</v>
      </c>
      <c r="V37" s="28">
        <v>1.9298613333333301</v>
      </c>
      <c r="W37" s="28">
        <v>0.13651160000000001</v>
      </c>
      <c r="X37" s="28">
        <v>0.187939666666667</v>
      </c>
      <c r="Y37" s="28">
        <v>0.16558066666666699</v>
      </c>
      <c r="Z37" s="28">
        <v>0.233863666666667</v>
      </c>
      <c r="AA37" s="28">
        <v>0.22982366666666701</v>
      </c>
      <c r="AB37" s="28">
        <v>0.214856666666667</v>
      </c>
      <c r="AC37" s="28">
        <v>0.1370305</v>
      </c>
      <c r="AD37" s="28">
        <v>0.29631400000000002</v>
      </c>
      <c r="AE37" s="28">
        <v>0.39011933333333398</v>
      </c>
      <c r="AF37" s="28">
        <v>5.2999999999999999E-2</v>
      </c>
      <c r="AG37" s="28">
        <v>0.30873</v>
      </c>
      <c r="AH37" s="28">
        <v>6.1526900000000002E-2</v>
      </c>
      <c r="AI37" s="28">
        <v>0.24645366666666699</v>
      </c>
      <c r="AJ37" s="28">
        <v>0.19652600000000001</v>
      </c>
      <c r="AK37" s="28">
        <v>0.74160400000000004</v>
      </c>
      <c r="AL37" s="28">
        <v>0.38127286666666699</v>
      </c>
      <c r="AM37" s="28">
        <v>0.39888000000000001</v>
      </c>
      <c r="AN37" s="28">
        <v>0.275685666666667</v>
      </c>
      <c r="AO37" s="28">
        <v>0.19903863333333299</v>
      </c>
      <c r="AP37" s="28">
        <v>5.2999999999999999E-2</v>
      </c>
      <c r="AQ37" s="28">
        <v>6.1573000000000003E-2</v>
      </c>
      <c r="AR37" s="28">
        <v>5.2999999999999999E-2</v>
      </c>
      <c r="AS37" s="28">
        <v>0.211024666666667</v>
      </c>
      <c r="AT37" s="28">
        <v>0.10965999999999999</v>
      </c>
      <c r="AU37" s="28">
        <v>0.39339639999999998</v>
      </c>
      <c r="AV37" s="28">
        <v>0.14109933333333299</v>
      </c>
      <c r="AW37" s="28">
        <v>0.78986516666666695</v>
      </c>
      <c r="AX37" s="28">
        <v>0.28760200000000002</v>
      </c>
      <c r="AY37" s="28">
        <v>0.28531400000000001</v>
      </c>
      <c r="AZ37" s="28">
        <v>0.34511555918367359</v>
      </c>
      <c r="BA37" s="34">
        <v>16.91066240000001</v>
      </c>
    </row>
    <row r="38" spans="1:53" x14ac:dyDescent="0.25">
      <c r="A38" s="24">
        <v>37</v>
      </c>
      <c r="B38" s="26">
        <v>18</v>
      </c>
      <c r="C38" s="28">
        <v>0.26947599999999999</v>
      </c>
      <c r="D38" s="28">
        <v>0.17594799999999999</v>
      </c>
      <c r="E38" s="28">
        <v>0.158706666666667</v>
      </c>
      <c r="F38" s="28">
        <v>2.66052</v>
      </c>
      <c r="G38" s="28">
        <v>0.37164766666666699</v>
      </c>
      <c r="H38" s="28">
        <v>0.41582533333333299</v>
      </c>
      <c r="I38" s="28">
        <v>0.30174746666666702</v>
      </c>
      <c r="J38" s="28">
        <v>3.3000000000000002E-2</v>
      </c>
      <c r="K38" s="28">
        <v>7.5333333333333294E-2</v>
      </c>
      <c r="L38" s="28">
        <v>0.53249433333333296</v>
      </c>
      <c r="M38" s="28">
        <v>0.27237800000000001</v>
      </c>
      <c r="N38" s="28">
        <v>0.105526666666667</v>
      </c>
      <c r="O38" s="28">
        <v>0.101000666666667</v>
      </c>
      <c r="P38" s="28">
        <v>0.124</v>
      </c>
      <c r="Q38" s="28">
        <v>4.7E-2</v>
      </c>
      <c r="R38" s="28">
        <v>7.1684333333333294E-2</v>
      </c>
      <c r="S38" s="28">
        <v>0.20671933333333301</v>
      </c>
      <c r="T38" s="28">
        <v>0.43508233333333302</v>
      </c>
      <c r="U38" s="28">
        <v>0.365246666666667</v>
      </c>
      <c r="V38" s="28">
        <v>0.46142366666666601</v>
      </c>
      <c r="W38" s="28">
        <v>0.19034733333333301</v>
      </c>
      <c r="X38" s="28">
        <v>0.34991646666666698</v>
      </c>
      <c r="Y38" s="28">
        <v>0.238145</v>
      </c>
      <c r="Z38" s="28">
        <v>0.45422366666666703</v>
      </c>
      <c r="AA38" s="28">
        <v>0.152099333333333</v>
      </c>
      <c r="AB38" s="28">
        <v>5.7360000000000001E-2</v>
      </c>
      <c r="AC38" s="28">
        <v>0.29537886666666702</v>
      </c>
      <c r="AD38" s="28">
        <v>0.35152499999999998</v>
      </c>
      <c r="AE38" s="28">
        <v>1.32745133333333</v>
      </c>
      <c r="AF38" s="28">
        <v>9.3811199999999997E-2</v>
      </c>
      <c r="AG38" s="28">
        <v>0.458822333333333</v>
      </c>
      <c r="AH38" s="28">
        <v>0.04</v>
      </c>
      <c r="AI38" s="28">
        <v>9.1019199999999995E-2</v>
      </c>
      <c r="AJ38" s="28">
        <v>0.29958299999999999</v>
      </c>
      <c r="AK38" s="28">
        <v>1.95425973333333</v>
      </c>
      <c r="AL38" s="28">
        <v>0.43223553333333298</v>
      </c>
      <c r="AM38" s="28">
        <v>0.43123899999999998</v>
      </c>
      <c r="AN38" s="28">
        <v>0.35447699999999999</v>
      </c>
      <c r="AO38" s="28">
        <v>6.7022999999999999E-2</v>
      </c>
      <c r="AP38" s="28">
        <v>5.2999999999999999E-2</v>
      </c>
      <c r="AQ38" s="28">
        <v>5.1928833333333403E-2</v>
      </c>
      <c r="AR38" s="28">
        <v>5.2999999999999999E-2</v>
      </c>
      <c r="AS38" s="28">
        <v>3.4000000000000002E-2</v>
      </c>
      <c r="AT38" s="28">
        <v>0.31325866666666702</v>
      </c>
      <c r="AU38" s="28">
        <v>0.51624566666666705</v>
      </c>
      <c r="AV38" s="28">
        <v>0.05</v>
      </c>
      <c r="AW38" s="28">
        <v>0.46214133333333401</v>
      </c>
      <c r="AX38" s="28">
        <v>0.158055</v>
      </c>
      <c r="AY38" s="28">
        <v>9.8626666666666599E-2</v>
      </c>
      <c r="AZ38" s="28">
        <v>0.33905987006802718</v>
      </c>
      <c r="BA38" s="34">
        <v>16.613933633333328</v>
      </c>
    </row>
    <row r="39" spans="1:53" x14ac:dyDescent="0.25">
      <c r="A39" s="24">
        <v>38</v>
      </c>
      <c r="B39" s="26">
        <v>18.5</v>
      </c>
      <c r="C39" s="28">
        <v>0.41705033333333302</v>
      </c>
      <c r="D39" s="28">
        <v>0.13648733333333299</v>
      </c>
      <c r="E39" s="28">
        <v>0.14538266666666699</v>
      </c>
      <c r="F39" s="28">
        <v>2.2719833333333299</v>
      </c>
      <c r="G39" s="28">
        <v>0.45019599999999999</v>
      </c>
      <c r="H39" s="28">
        <v>0.37524666666666601</v>
      </c>
      <c r="I39" s="28">
        <v>0.1285936</v>
      </c>
      <c r="J39" s="28">
        <v>0.10973266666666701</v>
      </c>
      <c r="K39" s="28">
        <v>0.19243299999999999</v>
      </c>
      <c r="L39" s="28">
        <v>0.57048266666666703</v>
      </c>
      <c r="M39" s="28">
        <v>0.278569333333333</v>
      </c>
      <c r="N39" s="28">
        <v>0.17130400000000001</v>
      </c>
      <c r="O39" s="28">
        <v>0.206222666666667</v>
      </c>
      <c r="P39" s="28">
        <v>0.25951966666666698</v>
      </c>
      <c r="Q39" s="28">
        <v>0.126776</v>
      </c>
      <c r="R39" s="28">
        <v>0.41068833333333299</v>
      </c>
      <c r="S39" s="28">
        <v>9.6823166666666599E-2</v>
      </c>
      <c r="T39" s="28">
        <v>0.39880100000000002</v>
      </c>
      <c r="U39" s="28">
        <v>0.241629333333333</v>
      </c>
      <c r="V39" s="28">
        <v>0.23410566666666699</v>
      </c>
      <c r="W39" s="28">
        <v>0.274892566666667</v>
      </c>
      <c r="X39" s="28">
        <v>1.12878266666667</v>
      </c>
      <c r="Y39" s="28">
        <v>0.14877000000000001</v>
      </c>
      <c r="Z39" s="28">
        <v>0.50802533333333399</v>
      </c>
      <c r="AA39" s="28">
        <v>0.209013333333333</v>
      </c>
      <c r="AB39" s="28">
        <v>0.265116666666667</v>
      </c>
      <c r="AC39" s="28">
        <v>0.1160133</v>
      </c>
      <c r="AD39" s="28">
        <v>0.20094566666666699</v>
      </c>
      <c r="AE39" s="28">
        <v>1.84345433333333</v>
      </c>
      <c r="AF39" s="28">
        <v>0.127479066666667</v>
      </c>
      <c r="AG39" s="28">
        <v>1.77362833333333</v>
      </c>
      <c r="AH39" s="28">
        <v>0.14543600000000001</v>
      </c>
      <c r="AI39" s="28">
        <v>0.34278433333333302</v>
      </c>
      <c r="AJ39" s="28">
        <v>0.45749000000000001</v>
      </c>
      <c r="AK39" s="28">
        <v>0.37962106666666601</v>
      </c>
      <c r="AL39" s="28">
        <v>1.6580278666666699</v>
      </c>
      <c r="AM39" s="28">
        <v>0.27907533333333301</v>
      </c>
      <c r="AN39" s="28">
        <v>0.23219083333333301</v>
      </c>
      <c r="AO39" s="28">
        <v>6.2679700000000005E-2</v>
      </c>
      <c r="AP39" s="28">
        <v>5.2999999999999999E-2</v>
      </c>
      <c r="AQ39" s="28">
        <v>0.05</v>
      </c>
      <c r="AR39" s="28">
        <v>5.2999999999999999E-2</v>
      </c>
      <c r="AS39" s="28">
        <v>0.22769200000000001</v>
      </c>
      <c r="AT39" s="28">
        <v>0.11308106666666699</v>
      </c>
      <c r="AU39" s="28">
        <v>0.19551033333333301</v>
      </c>
      <c r="AV39" s="28">
        <v>0.20400799999999999</v>
      </c>
      <c r="AW39" s="28">
        <v>0.34066566666666698</v>
      </c>
      <c r="AX39" s="28">
        <v>1.5364500000000001</v>
      </c>
      <c r="AY39" s="28">
        <v>6.1533333333333301E-2</v>
      </c>
      <c r="AZ39" s="28">
        <v>0.41245702517006799</v>
      </c>
      <c r="BA39" s="34">
        <v>20.210394233333329</v>
      </c>
    </row>
    <row r="40" spans="1:53" x14ac:dyDescent="0.25">
      <c r="A40" s="24">
        <v>39</v>
      </c>
      <c r="B40" s="26">
        <v>19</v>
      </c>
      <c r="C40" s="28">
        <v>0.35572666666666702</v>
      </c>
      <c r="D40" s="28">
        <v>0.123738</v>
      </c>
      <c r="E40" s="28">
        <v>0.31997599999999998</v>
      </c>
      <c r="F40" s="28">
        <v>0.15423600000000001</v>
      </c>
      <c r="G40" s="28">
        <v>0.56568766666666703</v>
      </c>
      <c r="H40" s="28">
        <v>0.355870666666667</v>
      </c>
      <c r="I40" s="28">
        <v>0.231299</v>
      </c>
      <c r="J40" s="28">
        <v>8.14626666666666E-2</v>
      </c>
      <c r="K40" s="28">
        <v>7.4642666666666704E-2</v>
      </c>
      <c r="L40" s="28">
        <v>0.18382899999999999</v>
      </c>
      <c r="M40" s="28">
        <v>0.447732666666667</v>
      </c>
      <c r="N40" s="28">
        <v>0.194918333333333</v>
      </c>
      <c r="O40" s="28">
        <v>0.100725066666667</v>
      </c>
      <c r="P40" s="28">
        <v>0.28493033333333301</v>
      </c>
      <c r="Q40" s="28">
        <v>0.16947999999999999</v>
      </c>
      <c r="R40" s="28">
        <v>0.64919733333333296</v>
      </c>
      <c r="S40" s="28">
        <v>0.208486266666667</v>
      </c>
      <c r="T40" s="28">
        <v>0.54460666666666702</v>
      </c>
      <c r="U40" s="28">
        <v>0.152079666666667</v>
      </c>
      <c r="V40" s="28">
        <v>1.17702533333333</v>
      </c>
      <c r="W40" s="28">
        <v>0.23071</v>
      </c>
      <c r="X40" s="28">
        <v>0.598102666666667</v>
      </c>
      <c r="Y40" s="28">
        <v>0.16197</v>
      </c>
      <c r="Z40" s="28">
        <v>0.34077033333333301</v>
      </c>
      <c r="AA40" s="28">
        <v>6.50013333333333E-2</v>
      </c>
      <c r="AB40" s="28">
        <v>0.10154666666666699</v>
      </c>
      <c r="AC40" s="28">
        <v>0.33848133333333302</v>
      </c>
      <c r="AD40" s="28">
        <v>0.649399333333333</v>
      </c>
      <c r="AE40" s="28">
        <v>0.73104133333333299</v>
      </c>
      <c r="AF40" s="28">
        <v>0.11150513333333301</v>
      </c>
      <c r="AG40" s="28">
        <v>0.39468066666666701</v>
      </c>
      <c r="AH40" s="28">
        <v>0.24014896666666699</v>
      </c>
      <c r="AI40" s="28">
        <v>0.59945599999999999</v>
      </c>
      <c r="AJ40" s="28">
        <v>0.27594733333333299</v>
      </c>
      <c r="AK40" s="28">
        <v>0.134348</v>
      </c>
      <c r="AL40" s="28">
        <v>0.15561666666666699</v>
      </c>
      <c r="AM40" s="28">
        <v>0.242033</v>
      </c>
      <c r="AN40" s="28">
        <v>0.158020666666667</v>
      </c>
      <c r="AO40" s="28">
        <v>0.29112446666666703</v>
      </c>
      <c r="AP40" s="28">
        <v>5.2999999999999999E-2</v>
      </c>
      <c r="AQ40" s="28">
        <v>0.05</v>
      </c>
      <c r="AR40" s="28">
        <v>0.33763700000000002</v>
      </c>
      <c r="AS40" s="28">
        <v>5.9982666666666698E-2</v>
      </c>
      <c r="AT40" s="28">
        <v>9.7203999999999999E-2</v>
      </c>
      <c r="AU40" s="28">
        <v>0.35088533333333299</v>
      </c>
      <c r="AV40" s="28">
        <v>8.0328666666666701E-2</v>
      </c>
      <c r="AW40" s="28">
        <v>0.29808836666666699</v>
      </c>
      <c r="AX40" s="28">
        <v>0.91814333333333298</v>
      </c>
      <c r="AY40" s="28">
        <v>0.52089666666666601</v>
      </c>
      <c r="AZ40" s="28">
        <v>0.3053412231292516</v>
      </c>
      <c r="BA40" s="34">
        <v>14.961719933333329</v>
      </c>
    </row>
    <row r="41" spans="1:53" x14ac:dyDescent="0.25">
      <c r="A41" s="24">
        <v>40</v>
      </c>
      <c r="B41" s="26">
        <v>19.5</v>
      </c>
      <c r="C41" s="28">
        <v>0.68525199999999997</v>
      </c>
      <c r="D41" s="28">
        <v>0.21020966666666699</v>
      </c>
      <c r="E41" s="28">
        <v>0.360298333333333</v>
      </c>
      <c r="F41" s="28">
        <v>5.9804000000000003E-2</v>
      </c>
      <c r="G41" s="28">
        <v>0.29757766666666702</v>
      </c>
      <c r="H41" s="28">
        <v>0.44717166666666702</v>
      </c>
      <c r="I41" s="28">
        <v>0.502840333333333</v>
      </c>
      <c r="J41" s="28">
        <v>4.2000000000000003E-2</v>
      </c>
      <c r="K41" s="28">
        <v>0.28837166666666703</v>
      </c>
      <c r="L41" s="28">
        <v>0.56755999999999995</v>
      </c>
      <c r="M41" s="28">
        <v>0.41328733333333301</v>
      </c>
      <c r="N41" s="28">
        <v>1.2712396666666701</v>
      </c>
      <c r="O41" s="28">
        <v>0.38962400000000003</v>
      </c>
      <c r="P41" s="28">
        <v>0.43305833333333299</v>
      </c>
      <c r="Q41" s="28">
        <v>0.138042533333333</v>
      </c>
      <c r="R41" s="28">
        <v>0.86263199999999995</v>
      </c>
      <c r="S41" s="28">
        <v>0.221738666666667</v>
      </c>
      <c r="T41" s="28">
        <v>0.59900200000000003</v>
      </c>
      <c r="U41" s="28">
        <v>0.54600199999999999</v>
      </c>
      <c r="V41" s="28">
        <v>0.76081833333333304</v>
      </c>
      <c r="W41" s="28">
        <v>1.6831199999999999</v>
      </c>
      <c r="X41" s="28">
        <v>0.24016000000000001</v>
      </c>
      <c r="Y41" s="28">
        <v>0.35437600000000002</v>
      </c>
      <c r="Z41" s="28">
        <v>0.54248333333333298</v>
      </c>
      <c r="AA41" s="28">
        <v>9.0620666666666697E-2</v>
      </c>
      <c r="AB41" s="28">
        <v>0.31814166666666699</v>
      </c>
      <c r="AC41" s="28">
        <v>0.35653166666666702</v>
      </c>
      <c r="AD41" s="28">
        <v>0.66871233333333302</v>
      </c>
      <c r="AE41" s="28">
        <v>0.25256733333333298</v>
      </c>
      <c r="AF41" s="28">
        <v>0.46562666666666702</v>
      </c>
      <c r="AG41" s="28">
        <v>0.483721333333333</v>
      </c>
      <c r="AH41" s="28">
        <v>0.270982</v>
      </c>
      <c r="AI41" s="28">
        <v>0.90543133333333403</v>
      </c>
      <c r="AJ41" s="28">
        <v>0.49428133333333302</v>
      </c>
      <c r="AK41" s="28">
        <v>1.13832</v>
      </c>
      <c r="AL41" s="28">
        <v>7.5416666666666701E-2</v>
      </c>
      <c r="AM41" s="28">
        <v>1.352441</v>
      </c>
      <c r="AN41" s="28">
        <v>0.43812166666666702</v>
      </c>
      <c r="AO41" s="28">
        <v>0.35878466666666697</v>
      </c>
      <c r="AP41" s="28">
        <v>5.2999999999999999E-2</v>
      </c>
      <c r="AQ41" s="28">
        <v>0.05</v>
      </c>
      <c r="AR41" s="28">
        <v>0.44870466666666697</v>
      </c>
      <c r="AS41" s="28">
        <v>9.1675666666666697E-2</v>
      </c>
      <c r="AT41" s="28">
        <v>0.45403369999999998</v>
      </c>
      <c r="AU41" s="28">
        <v>0.69987466666666698</v>
      </c>
      <c r="AV41" s="28">
        <v>8.8994000000000004E-2</v>
      </c>
      <c r="AW41" s="28">
        <v>0.56607666666666701</v>
      </c>
      <c r="AX41" s="28">
        <v>0.18583666666666701</v>
      </c>
      <c r="AY41" s="28">
        <v>1.439125</v>
      </c>
      <c r="AZ41" s="28">
        <v>0.48293246734693901</v>
      </c>
      <c r="BA41" s="34">
        <v>23.66369090000001</v>
      </c>
    </row>
    <row r="42" spans="1:53" x14ac:dyDescent="0.25">
      <c r="A42" s="24">
        <v>41</v>
      </c>
      <c r="B42" s="26">
        <v>20</v>
      </c>
      <c r="C42" s="28">
        <v>0.78385066666666603</v>
      </c>
      <c r="D42" s="28">
        <v>0.24415999999999999</v>
      </c>
      <c r="E42" s="28">
        <v>0.44198666666666703</v>
      </c>
      <c r="F42" s="28">
        <v>4.8000000000000001E-2</v>
      </c>
      <c r="G42" s="28">
        <v>0.19869999999999999</v>
      </c>
      <c r="H42" s="28">
        <v>0.42327599999999999</v>
      </c>
      <c r="I42" s="28">
        <v>0.58576533333333303</v>
      </c>
      <c r="J42" s="28">
        <v>6.2128999999999997E-2</v>
      </c>
      <c r="K42" s="28">
        <v>0.140218866666667</v>
      </c>
      <c r="L42" s="28">
        <v>0.43546000000000001</v>
      </c>
      <c r="M42" s="28">
        <v>0.47166133333333299</v>
      </c>
      <c r="N42" s="28">
        <v>0.32409933333333302</v>
      </c>
      <c r="O42" s="28">
        <v>0.36716666666666697</v>
      </c>
      <c r="P42" s="28">
        <v>0.52905766666666698</v>
      </c>
      <c r="Q42" s="28">
        <v>0.109557933333333</v>
      </c>
      <c r="R42" s="28">
        <v>0.92679800000000001</v>
      </c>
      <c r="S42" s="28">
        <v>0.34761666666666702</v>
      </c>
      <c r="T42" s="28">
        <v>0.583125</v>
      </c>
      <c r="U42" s="28">
        <v>0.32291266666666701</v>
      </c>
      <c r="V42" s="28">
        <v>0.68087966666666699</v>
      </c>
      <c r="W42" s="28">
        <v>0.29093933333333299</v>
      </c>
      <c r="X42" s="28">
        <v>5.2999999999999999E-2</v>
      </c>
      <c r="Y42" s="28">
        <v>1.210159</v>
      </c>
      <c r="Z42" s="28">
        <v>0.57852333333333295</v>
      </c>
      <c r="AA42" s="28">
        <v>0.26995599999999997</v>
      </c>
      <c r="AB42" s="28">
        <v>0.50593366666666695</v>
      </c>
      <c r="AC42" s="28">
        <v>0.39899633333333301</v>
      </c>
      <c r="AD42" s="28">
        <v>1.3503369999999999</v>
      </c>
      <c r="AE42" s="28">
        <v>0.37986566666666699</v>
      </c>
      <c r="AF42" s="28">
        <v>0.2979</v>
      </c>
      <c r="AG42" s="28">
        <v>1.67404466666667</v>
      </c>
      <c r="AH42" s="28">
        <v>0.40076200000000001</v>
      </c>
      <c r="AI42" s="28">
        <v>0.52550333333333299</v>
      </c>
      <c r="AJ42" s="28">
        <v>4.1000000000000002E-2</v>
      </c>
      <c r="AK42" s="28">
        <v>0.23465</v>
      </c>
      <c r="AL42" s="28">
        <v>0.222592133333333</v>
      </c>
      <c r="AM42" s="28">
        <v>1.267504</v>
      </c>
      <c r="AN42" s="28">
        <v>0.33199733333333298</v>
      </c>
      <c r="AO42" s="28">
        <v>0.41369966666666602</v>
      </c>
      <c r="AP42" s="28">
        <v>5.2999999999999999E-2</v>
      </c>
      <c r="AQ42" s="28">
        <v>0.05</v>
      </c>
      <c r="AR42" s="28">
        <v>0.45911533333333299</v>
      </c>
      <c r="AS42" s="28">
        <v>0.19599900000000001</v>
      </c>
      <c r="AT42" s="28">
        <v>0.31737666666666697</v>
      </c>
      <c r="AU42" s="28">
        <v>0.93156166666666695</v>
      </c>
      <c r="AV42" s="28">
        <v>0.195342666666667</v>
      </c>
      <c r="AW42" s="28">
        <v>0.32568133333333299</v>
      </c>
      <c r="AX42" s="28">
        <v>0.33828000000000003</v>
      </c>
      <c r="AY42" s="28">
        <v>1.3432489999999999</v>
      </c>
      <c r="AZ42" s="28">
        <v>0.46292633877551032</v>
      </c>
      <c r="BA42" s="34">
        <v>22.68339060000001</v>
      </c>
    </row>
    <row r="43" spans="1:53" x14ac:dyDescent="0.25">
      <c r="A43" s="24">
        <v>42</v>
      </c>
      <c r="B43" s="26">
        <v>20.5</v>
      </c>
      <c r="C43" s="28">
        <v>0.63678100000000004</v>
      </c>
      <c r="D43" s="28">
        <v>0.40088400000000002</v>
      </c>
      <c r="E43" s="28">
        <v>0.51710166666666701</v>
      </c>
      <c r="F43" s="28">
        <v>0.233356333333333</v>
      </c>
      <c r="G43" s="28">
        <v>0.94202600000000003</v>
      </c>
      <c r="H43" s="28">
        <v>0.59424033333333404</v>
      </c>
      <c r="I43" s="28">
        <v>0.76089966666666697</v>
      </c>
      <c r="J43" s="28">
        <v>0.100881</v>
      </c>
      <c r="K43" s="28">
        <v>0.22442366666666699</v>
      </c>
      <c r="L43" s="28">
        <v>0.685195</v>
      </c>
      <c r="M43" s="28">
        <v>0.90949999999999998</v>
      </c>
      <c r="N43" s="28">
        <v>0.45270033333333298</v>
      </c>
      <c r="O43" s="28">
        <v>0.36292166666666698</v>
      </c>
      <c r="P43" s="28">
        <v>0.420951666666667</v>
      </c>
      <c r="Q43" s="28">
        <v>0.369398333333333</v>
      </c>
      <c r="R43" s="28">
        <v>2.4162426666666699</v>
      </c>
      <c r="S43" s="28">
        <v>0.528036333333333</v>
      </c>
      <c r="T43" s="28">
        <v>0.80450066666666697</v>
      </c>
      <c r="U43" s="28">
        <v>4.8000000000000001E-2</v>
      </c>
      <c r="V43" s="28">
        <v>0.77679200000000004</v>
      </c>
      <c r="W43" s="28">
        <v>0.30660066666666702</v>
      </c>
      <c r="X43" s="28">
        <v>5.2999999999999999E-2</v>
      </c>
      <c r="Y43" s="28">
        <v>0.235353333333333</v>
      </c>
      <c r="Z43" s="28">
        <v>0.50603666666666702</v>
      </c>
      <c r="AA43" s="28">
        <v>4.9000000000000002E-2</v>
      </c>
      <c r="AB43" s="28">
        <v>0.42986999999999997</v>
      </c>
      <c r="AC43" s="28">
        <v>0.582395</v>
      </c>
      <c r="AD43" s="28">
        <v>1.33823133333333</v>
      </c>
      <c r="AE43" s="28">
        <v>0.36996400000000002</v>
      </c>
      <c r="AF43" s="28">
        <v>0.100126666666667</v>
      </c>
      <c r="AG43" s="28">
        <v>0.53741799999999995</v>
      </c>
      <c r="AH43" s="28">
        <v>0.39504099999999998</v>
      </c>
      <c r="AI43" s="28">
        <v>0.96581899999999998</v>
      </c>
      <c r="AJ43" s="28">
        <v>0.13572000000000001</v>
      </c>
      <c r="AK43" s="28">
        <v>0.273642</v>
      </c>
      <c r="AL43" s="28">
        <v>0.55968533333333303</v>
      </c>
      <c r="AM43" s="28">
        <v>0.46086666666666698</v>
      </c>
      <c r="AN43" s="28">
        <v>0.39631333333333402</v>
      </c>
      <c r="AO43" s="28">
        <v>0.56997233333333297</v>
      </c>
      <c r="AP43" s="28">
        <v>5.2999999999999999E-2</v>
      </c>
      <c r="AQ43" s="28">
        <v>0.25727733333333302</v>
      </c>
      <c r="AR43" s="28">
        <v>0.44159066666666702</v>
      </c>
      <c r="AS43" s="28">
        <v>6.812E-2</v>
      </c>
      <c r="AT43" s="28">
        <v>0.43464566666666699</v>
      </c>
      <c r="AU43" s="28">
        <v>0.62457499999999999</v>
      </c>
      <c r="AV43" s="28">
        <v>0.05</v>
      </c>
      <c r="AW43" s="28">
        <v>0.31861499999999998</v>
      </c>
      <c r="AX43" s="28">
        <v>0.38942199999999999</v>
      </c>
      <c r="AY43" s="28">
        <v>0.41478500000000001</v>
      </c>
      <c r="AZ43" s="28">
        <v>0.47963098639455792</v>
      </c>
      <c r="BA43" s="34">
        <v>23.501918333333339</v>
      </c>
    </row>
    <row r="44" spans="1:53" x14ac:dyDescent="0.25">
      <c r="A44" s="24">
        <v>43</v>
      </c>
      <c r="B44" s="26">
        <v>21</v>
      </c>
      <c r="C44" s="28">
        <v>0.96902600000000005</v>
      </c>
      <c r="D44" s="28">
        <v>0.529179333333334</v>
      </c>
      <c r="E44" s="28">
        <v>0.57573733333333299</v>
      </c>
      <c r="F44" s="28">
        <v>0.12687933333333301</v>
      </c>
      <c r="G44" s="28">
        <v>1.132099</v>
      </c>
      <c r="H44" s="28">
        <v>0.44203666666666702</v>
      </c>
      <c r="I44" s="28">
        <v>0.63874299999999995</v>
      </c>
      <c r="J44" s="28">
        <v>3.3000000000000002E-2</v>
      </c>
      <c r="K44" s="28">
        <v>0.374155666666667</v>
      </c>
      <c r="L44" s="28">
        <v>0.70198766666666701</v>
      </c>
      <c r="M44" s="28">
        <v>1.2032879999999999</v>
      </c>
      <c r="N44" s="28">
        <v>0.55150066666666697</v>
      </c>
      <c r="O44" s="28">
        <v>0.161526</v>
      </c>
      <c r="P44" s="28">
        <v>0.45358900000000002</v>
      </c>
      <c r="Q44" s="28">
        <v>0.21273666666666699</v>
      </c>
      <c r="R44" s="28">
        <v>2.2718986666666701</v>
      </c>
      <c r="S44" s="28">
        <v>0.36656766666666701</v>
      </c>
      <c r="T44" s="28">
        <v>0.62229266666666705</v>
      </c>
      <c r="U44" s="28">
        <v>0.283692</v>
      </c>
      <c r="V44" s="28">
        <v>0.98045599999999999</v>
      </c>
      <c r="W44" s="28">
        <v>0.28217666666666702</v>
      </c>
      <c r="X44" s="28">
        <v>0.160594666666667</v>
      </c>
      <c r="Y44" s="28">
        <v>0.70158200000000004</v>
      </c>
      <c r="Z44" s="28">
        <v>0.13175999999999999</v>
      </c>
      <c r="AA44" s="28">
        <v>0.311576666666667</v>
      </c>
      <c r="AB44" s="28">
        <v>0.48754966666666699</v>
      </c>
      <c r="AC44" s="28">
        <v>0.63959633333333299</v>
      </c>
      <c r="AD44" s="28">
        <v>0.79736700000000005</v>
      </c>
      <c r="AE44" s="28">
        <v>0.32205266666666699</v>
      </c>
      <c r="AF44" s="28">
        <v>5.2999999999999999E-2</v>
      </c>
      <c r="AG44" s="28">
        <v>0.66084266666666702</v>
      </c>
      <c r="AH44" s="28">
        <v>0.57141233333333297</v>
      </c>
      <c r="AI44" s="28">
        <v>0.81251166666666597</v>
      </c>
      <c r="AJ44" s="28">
        <v>0.41364766666666702</v>
      </c>
      <c r="AK44" s="28">
        <v>0.39349166666666702</v>
      </c>
      <c r="AL44" s="28">
        <v>0.42825800000000003</v>
      </c>
      <c r="AM44" s="28">
        <v>0.719217</v>
      </c>
      <c r="AN44" s="28">
        <v>0.48582066666666701</v>
      </c>
      <c r="AO44" s="28">
        <v>0.61390933333333297</v>
      </c>
      <c r="AP44" s="28">
        <v>5.2999999999999999E-2</v>
      </c>
      <c r="AQ44" s="28">
        <v>0.27494200000000002</v>
      </c>
      <c r="AR44" s="28">
        <v>0.73662366666666701</v>
      </c>
      <c r="AS44" s="28">
        <v>0.33830100000000002</v>
      </c>
      <c r="AT44" s="28">
        <v>0.72936566666666702</v>
      </c>
      <c r="AU44" s="28">
        <v>0.49528966666666702</v>
      </c>
      <c r="AV44" s="28">
        <v>0.05</v>
      </c>
      <c r="AW44" s="28">
        <v>0.49265833333333298</v>
      </c>
      <c r="AX44" s="28">
        <v>0.57559000000000005</v>
      </c>
      <c r="AY44" s="28">
        <v>0.20322100000000001</v>
      </c>
      <c r="AZ44" s="28">
        <v>0.52174998639455783</v>
      </c>
      <c r="BA44" s="34">
        <v>25.56574933333334</v>
      </c>
    </row>
    <row r="45" spans="1:53" x14ac:dyDescent="0.25">
      <c r="A45" s="24">
        <v>44</v>
      </c>
      <c r="B45" s="26">
        <v>21.5</v>
      </c>
      <c r="C45" s="28">
        <v>0.69504266666666703</v>
      </c>
      <c r="D45" s="28">
        <v>0.336476</v>
      </c>
      <c r="E45" s="28">
        <v>0.35511466666666602</v>
      </c>
      <c r="F45" s="28">
        <v>0.40616466666666701</v>
      </c>
      <c r="G45" s="28">
        <v>0.48005700000000001</v>
      </c>
      <c r="H45" s="28">
        <v>1.4197883333333301</v>
      </c>
      <c r="I45" s="28">
        <v>0.77564466666666598</v>
      </c>
      <c r="J45" s="28">
        <v>4.0986000000000002E-2</v>
      </c>
      <c r="K45" s="28">
        <v>0.25828499999999999</v>
      </c>
      <c r="L45" s="28">
        <v>0.62033466666666703</v>
      </c>
      <c r="M45" s="28">
        <v>0.43266266666666697</v>
      </c>
      <c r="N45" s="28">
        <v>0.54932300000000001</v>
      </c>
      <c r="O45" s="28">
        <v>0.40357300000000002</v>
      </c>
      <c r="P45" s="28">
        <v>0.41900733333333301</v>
      </c>
      <c r="Q45" s="28">
        <v>0.36905700000000002</v>
      </c>
      <c r="R45" s="28">
        <v>1.169259</v>
      </c>
      <c r="S45" s="28">
        <v>0.39737166666666701</v>
      </c>
      <c r="T45" s="28">
        <v>0.80152833333333295</v>
      </c>
      <c r="U45" s="28">
        <v>4.8000000000000001E-2</v>
      </c>
      <c r="V45" s="28">
        <v>0.70123866666666701</v>
      </c>
      <c r="W45" s="28">
        <v>0.37044700000000003</v>
      </c>
      <c r="X45" s="28">
        <v>5.2999999999999999E-2</v>
      </c>
      <c r="Y45" s="28">
        <v>0.44294800000000001</v>
      </c>
      <c r="Z45" s="28">
        <v>7.5876333333333407E-2</v>
      </c>
      <c r="AA45" s="28">
        <v>4.9000000000000002E-2</v>
      </c>
      <c r="AB45" s="28">
        <v>0.32070700000000002</v>
      </c>
      <c r="AC45" s="28">
        <v>0.53973733333333296</v>
      </c>
      <c r="AD45" s="28">
        <v>1.001625</v>
      </c>
      <c r="AE45" s="28">
        <v>0.36141766666666703</v>
      </c>
      <c r="AF45" s="28">
        <v>5.2999999999999999E-2</v>
      </c>
      <c r="AG45" s="28">
        <v>0.990520333333334</v>
      </c>
      <c r="AH45" s="28">
        <v>0.59318700000000002</v>
      </c>
      <c r="AI45" s="28">
        <v>0.72166433333333302</v>
      </c>
      <c r="AJ45" s="28">
        <v>0.30229866666666699</v>
      </c>
      <c r="AK45" s="28">
        <v>0.41650500000000001</v>
      </c>
      <c r="AL45" s="28">
        <v>0.50770266666666597</v>
      </c>
      <c r="AM45" s="28">
        <v>0.49983</v>
      </c>
      <c r="AN45" s="28">
        <v>0.49457166666666702</v>
      </c>
      <c r="AO45" s="28">
        <v>0.52877933333333305</v>
      </c>
      <c r="AP45" s="28">
        <v>5.2999999999999999E-2</v>
      </c>
      <c r="AQ45" s="28">
        <v>0.35860433333333303</v>
      </c>
      <c r="AR45" s="28">
        <v>0.34496233333333298</v>
      </c>
      <c r="AS45" s="28">
        <v>0.26148700000000002</v>
      </c>
      <c r="AT45" s="28">
        <v>0.562313333333333</v>
      </c>
      <c r="AU45" s="28">
        <v>0.47072566666666699</v>
      </c>
      <c r="AV45" s="28">
        <v>0.37696333333333298</v>
      </c>
      <c r="AW45" s="28">
        <v>0.39991666666666698</v>
      </c>
      <c r="AX45" s="28">
        <v>0.76804166666666696</v>
      </c>
      <c r="AY45" s="28">
        <v>0.402268666666667</v>
      </c>
      <c r="AZ45" s="28">
        <v>0.46938805442176851</v>
      </c>
      <c r="BA45" s="34">
        <v>23.000014666666651</v>
      </c>
    </row>
    <row r="46" spans="1:53" x14ac:dyDescent="0.25">
      <c r="A46" s="24">
        <v>45</v>
      </c>
      <c r="B46" s="26">
        <v>22</v>
      </c>
      <c r="C46" s="28">
        <v>1.1143926666666699</v>
      </c>
      <c r="D46" s="28">
        <v>0.32027600000000001</v>
      </c>
      <c r="E46" s="28">
        <v>0.27598666666666699</v>
      </c>
      <c r="F46" s="28">
        <v>0.38712299999999999</v>
      </c>
      <c r="G46" s="28">
        <v>0.465220666666667</v>
      </c>
      <c r="H46" s="28">
        <v>1.67927166666667</v>
      </c>
      <c r="I46" s="28">
        <v>0.63672233333333295</v>
      </c>
      <c r="J46" s="28">
        <v>9.6888000000000002E-2</v>
      </c>
      <c r="K46" s="28">
        <v>0.37839266666666699</v>
      </c>
      <c r="L46" s="28">
        <v>0.74486966666666699</v>
      </c>
      <c r="M46" s="28">
        <v>0.44166466666666698</v>
      </c>
      <c r="N46" s="28">
        <v>0.364806666666667</v>
      </c>
      <c r="O46" s="28">
        <v>0.369076666666667</v>
      </c>
      <c r="P46" s="28">
        <v>0.43810866666666698</v>
      </c>
      <c r="Q46" s="28">
        <v>5.9200000000000003E-2</v>
      </c>
      <c r="R46" s="28">
        <v>0.956094</v>
      </c>
      <c r="S46" s="28">
        <v>1.0337086666666699</v>
      </c>
      <c r="T46" s="28">
        <v>0.90005633333333401</v>
      </c>
      <c r="U46" s="28">
        <v>9.5597000000000001E-2</v>
      </c>
      <c r="V46" s="28">
        <v>0.76027666666666605</v>
      </c>
      <c r="W46" s="28">
        <v>0.30818333333333298</v>
      </c>
      <c r="X46" s="28">
        <v>0.160594666666667</v>
      </c>
      <c r="Y46" s="28">
        <v>0.321126666666667</v>
      </c>
      <c r="Z46" s="28">
        <v>0.29647566666666703</v>
      </c>
      <c r="AA46" s="28">
        <v>0.17701066666666701</v>
      </c>
      <c r="AB46" s="28">
        <v>0.63209666666666597</v>
      </c>
      <c r="AC46" s="28">
        <v>0.61287999999999998</v>
      </c>
      <c r="AD46" s="28">
        <v>1.30094</v>
      </c>
      <c r="AE46" s="28">
        <v>0.193619333333333</v>
      </c>
      <c r="AF46" s="28">
        <v>0.48574533333333297</v>
      </c>
      <c r="AG46" s="28">
        <v>1.7460086666666701</v>
      </c>
      <c r="AH46" s="28">
        <v>0.42228900000000003</v>
      </c>
      <c r="AI46" s="28">
        <v>0.85934033333333404</v>
      </c>
      <c r="AJ46" s="28">
        <v>0.57549266666666699</v>
      </c>
      <c r="AK46" s="28">
        <v>0.34732333333333298</v>
      </c>
      <c r="AL46" s="28">
        <v>0.693608</v>
      </c>
      <c r="AM46" s="28">
        <v>0.46607433333333298</v>
      </c>
      <c r="AN46" s="28">
        <v>0.62321933333333301</v>
      </c>
      <c r="AO46" s="28">
        <v>0.71433933333333299</v>
      </c>
      <c r="AP46" s="28">
        <v>5.2999999999999999E-2</v>
      </c>
      <c r="AQ46" s="28">
        <v>0.05</v>
      </c>
      <c r="AR46" s="28">
        <v>0.29799166666666699</v>
      </c>
      <c r="AS46" s="28">
        <v>0.47388999999999998</v>
      </c>
      <c r="AT46" s="28">
        <v>0.67197600000000002</v>
      </c>
      <c r="AU46" s="28">
        <v>1.1719839999999999</v>
      </c>
      <c r="AV46" s="28">
        <v>0.22991</v>
      </c>
      <c r="AW46" s="28">
        <v>0.42529266666666599</v>
      </c>
      <c r="AX46" s="28">
        <v>1.7013736666666699</v>
      </c>
      <c r="AY46" s="28">
        <v>0.26715333333333302</v>
      </c>
      <c r="AZ46" s="28">
        <v>0.56727900680272147</v>
      </c>
      <c r="BA46" s="34">
        <v>27.79667133333335</v>
      </c>
    </row>
    <row r="47" spans="1:53" x14ac:dyDescent="0.25">
      <c r="A47" s="24">
        <v>46</v>
      </c>
      <c r="B47" s="26">
        <v>22.5</v>
      </c>
      <c r="C47" s="28">
        <v>0.98021633333333402</v>
      </c>
      <c r="D47" s="28">
        <v>0.666306333333334</v>
      </c>
      <c r="E47" s="28">
        <v>7.4176666666666696E-2</v>
      </c>
      <c r="F47" s="28">
        <v>0.48966533333333301</v>
      </c>
      <c r="G47" s="28">
        <v>0.34950833333333298</v>
      </c>
      <c r="H47" s="28">
        <v>0.41027233333333302</v>
      </c>
      <c r="I47" s="28">
        <v>0.67741600000000002</v>
      </c>
      <c r="J47" s="28">
        <v>3.3000000000000002E-2</v>
      </c>
      <c r="K47" s="28">
        <v>0.21070700000000001</v>
      </c>
      <c r="L47" s="28">
        <v>0.469098666666667</v>
      </c>
      <c r="M47" s="28">
        <v>0.34764666666666699</v>
      </c>
      <c r="N47" s="28">
        <v>0.36057733333333303</v>
      </c>
      <c r="O47" s="28">
        <v>0.30120000000000002</v>
      </c>
      <c r="P47" s="28">
        <v>0.27537566666666702</v>
      </c>
      <c r="Q47" s="28">
        <v>0.18172766666666701</v>
      </c>
      <c r="R47" s="28">
        <v>1.03280533333333</v>
      </c>
      <c r="S47" s="28">
        <v>0.30525200000000002</v>
      </c>
      <c r="T47" s="28">
        <v>0.76176666666666704</v>
      </c>
      <c r="U47" s="28">
        <v>0.236095</v>
      </c>
      <c r="V47" s="28">
        <v>0.89271033333333405</v>
      </c>
      <c r="W47" s="28">
        <v>0.94883399999999996</v>
      </c>
      <c r="X47" s="28">
        <v>5.2999999999999999E-2</v>
      </c>
      <c r="Y47" s="28">
        <v>0.19870433333333301</v>
      </c>
      <c r="Z47" s="28">
        <v>0.34186733333333302</v>
      </c>
      <c r="AA47" s="28">
        <v>9.7004000000000007E-2</v>
      </c>
      <c r="AB47" s="28">
        <v>0.45023999999999997</v>
      </c>
      <c r="AC47" s="28">
        <v>0.39746399999999998</v>
      </c>
      <c r="AD47" s="28">
        <v>1.022313</v>
      </c>
      <c r="AE47" s="28">
        <v>4.1000000000000002E-2</v>
      </c>
      <c r="AF47" s="28">
        <v>0.452125</v>
      </c>
      <c r="AG47" s="28">
        <v>1.6348533333333299</v>
      </c>
      <c r="AH47" s="28">
        <v>0.43807800000000002</v>
      </c>
      <c r="AI47" s="28">
        <v>0.92057333333333402</v>
      </c>
      <c r="AJ47" s="28">
        <v>0.67635833333333295</v>
      </c>
      <c r="AK47" s="28">
        <v>0.11821</v>
      </c>
      <c r="AL47" s="28">
        <v>1.3586326666666699</v>
      </c>
      <c r="AM47" s="28">
        <v>0.30056500000000003</v>
      </c>
      <c r="AN47" s="28">
        <v>0.87565800000000005</v>
      </c>
      <c r="AO47" s="28">
        <v>0.73743599999999998</v>
      </c>
      <c r="AP47" s="28">
        <v>5.2999999999999999E-2</v>
      </c>
      <c r="AQ47" s="28">
        <v>0.05</v>
      </c>
      <c r="AR47" s="28">
        <v>0.34746333333333301</v>
      </c>
      <c r="AS47" s="28">
        <v>0.74984233333333306</v>
      </c>
      <c r="AT47" s="28">
        <v>0.59122833333333302</v>
      </c>
      <c r="AU47" s="28">
        <v>0.48368299999999997</v>
      </c>
      <c r="AV47" s="28">
        <v>0.255664</v>
      </c>
      <c r="AW47" s="28">
        <v>0.42664400000000002</v>
      </c>
      <c r="AX47" s="28">
        <v>0.79325299999999999</v>
      </c>
      <c r="AY47" s="28">
        <v>0.54029366666666701</v>
      </c>
      <c r="AZ47" s="28">
        <v>0.4981532993197279</v>
      </c>
      <c r="BA47" s="34">
        <v>24.40951166666667</v>
      </c>
    </row>
    <row r="48" spans="1:53" x14ac:dyDescent="0.25">
      <c r="A48" s="24">
        <v>47</v>
      </c>
      <c r="B48" s="26">
        <v>23</v>
      </c>
      <c r="C48" s="28">
        <v>0.18009566666666699</v>
      </c>
      <c r="D48" s="28">
        <v>4.5999999999999999E-2</v>
      </c>
      <c r="E48" s="28">
        <v>0.16316666666666699</v>
      </c>
      <c r="F48" s="28">
        <v>0.24976999999999999</v>
      </c>
      <c r="G48" s="28">
        <v>4.8000000000000001E-2</v>
      </c>
      <c r="H48" s="28">
        <v>0.24110400000000001</v>
      </c>
      <c r="I48" s="28">
        <v>0.66683866666666702</v>
      </c>
      <c r="J48" s="28">
        <v>0.104874</v>
      </c>
      <c r="K48" s="28">
        <v>1.2443596666666701</v>
      </c>
      <c r="L48" s="28">
        <v>0.56684066666666699</v>
      </c>
      <c r="M48" s="28">
        <v>8.2152000000000003E-2</v>
      </c>
      <c r="N48" s="28">
        <v>0.102536</v>
      </c>
      <c r="O48" s="28">
        <v>0.458060666666667</v>
      </c>
      <c r="P48" s="28">
        <v>0.201303333333333</v>
      </c>
      <c r="Q48" s="28">
        <v>1.538249</v>
      </c>
      <c r="R48" s="28">
        <v>0.160399666666667</v>
      </c>
      <c r="S48" s="28">
        <v>0.50582533333333302</v>
      </c>
      <c r="T48" s="28">
        <v>0.57998666666666698</v>
      </c>
      <c r="U48" s="28">
        <v>4.8000000000000001E-2</v>
      </c>
      <c r="V48" s="28">
        <v>0.98620533333333305</v>
      </c>
      <c r="W48" s="28">
        <v>0.816757333333333</v>
      </c>
      <c r="X48" s="28">
        <v>6.0685333333333299E-2</v>
      </c>
      <c r="Y48" s="28">
        <v>0.222275</v>
      </c>
      <c r="Z48" s="28">
        <v>0.394164666666667</v>
      </c>
      <c r="AA48" s="28">
        <v>8.1002666666666695E-2</v>
      </c>
      <c r="AB48" s="28">
        <v>0.462835</v>
      </c>
      <c r="AC48" s="28">
        <v>0.42857166666666602</v>
      </c>
      <c r="AD48" s="28">
        <v>0.87497366666666698</v>
      </c>
      <c r="AE48" s="28">
        <v>0.111968</v>
      </c>
      <c r="AF48" s="28">
        <v>0.71261633333333296</v>
      </c>
      <c r="AG48" s="28">
        <v>0.76022833333333395</v>
      </c>
      <c r="AH48" s="28">
        <v>0.30566266666666703</v>
      </c>
      <c r="AI48" s="28">
        <v>0.82195033333333301</v>
      </c>
      <c r="AJ48" s="28">
        <v>0.44093666666666698</v>
      </c>
      <c r="AK48" s="28">
        <v>4.2999999999999997E-2</v>
      </c>
      <c r="AL48" s="28">
        <v>0.320809333333333</v>
      </c>
      <c r="AM48" s="28">
        <v>0.30427333333333301</v>
      </c>
      <c r="AN48" s="28">
        <v>0.55179033333333305</v>
      </c>
      <c r="AO48" s="28">
        <v>0.703965333333333</v>
      </c>
      <c r="AP48" s="28">
        <v>5.2999999999999999E-2</v>
      </c>
      <c r="AQ48" s="28">
        <v>0.05</v>
      </c>
      <c r="AR48" s="28">
        <v>5.2999999999999999E-2</v>
      </c>
      <c r="AS48" s="28">
        <v>0.41012666666666697</v>
      </c>
      <c r="AT48" s="28">
        <v>0.506859333333333</v>
      </c>
      <c r="AU48" s="28">
        <v>0.76266266666666704</v>
      </c>
      <c r="AV48" s="28">
        <v>0.38888366666666702</v>
      </c>
      <c r="AW48" s="28">
        <v>0.05</v>
      </c>
      <c r="AX48" s="28">
        <v>0.26300000000000001</v>
      </c>
      <c r="AY48" s="28">
        <v>0.51709666666666698</v>
      </c>
      <c r="AZ48" s="28">
        <v>0.40095637414966012</v>
      </c>
      <c r="BA48" s="34">
        <v>19.646862333333349</v>
      </c>
    </row>
    <row r="49" spans="1:53" x14ac:dyDescent="0.25">
      <c r="A49" s="25">
        <v>48</v>
      </c>
      <c r="B49" s="27">
        <v>23.5</v>
      </c>
      <c r="C49" s="29">
        <v>0.93791933333333299</v>
      </c>
      <c r="D49" s="29">
        <v>0.17594799999999999</v>
      </c>
      <c r="E49" s="29">
        <v>0.17572599999999999</v>
      </c>
      <c r="F49" s="29">
        <v>4.8000000000000001E-2</v>
      </c>
      <c r="G49" s="29">
        <v>0.167206666666667</v>
      </c>
      <c r="H49" s="29">
        <v>0.17099900000000001</v>
      </c>
      <c r="I49" s="29">
        <v>0.13382666666666701</v>
      </c>
      <c r="J49" s="29">
        <v>3.3000000000000002E-2</v>
      </c>
      <c r="K49" s="29">
        <v>0.224103</v>
      </c>
      <c r="L49" s="29">
        <v>0.182122333333333</v>
      </c>
      <c r="M49" s="29">
        <v>8.9189999999999894E-2</v>
      </c>
      <c r="N49" s="29">
        <v>7.3768E-2</v>
      </c>
      <c r="O49" s="29">
        <v>0.109182</v>
      </c>
      <c r="P49" s="29">
        <v>0.14942233333333299</v>
      </c>
      <c r="Q49" s="29">
        <v>1.4054943333333301</v>
      </c>
      <c r="R49" s="29">
        <v>0.127969</v>
      </c>
      <c r="S49" s="29">
        <v>0.171029666666667</v>
      </c>
      <c r="T49" s="29">
        <v>0.99138266666666597</v>
      </c>
      <c r="U49" s="29">
        <v>0.23336499999999999</v>
      </c>
      <c r="V49" s="29">
        <v>0.67667100000000002</v>
      </c>
      <c r="W49" s="29">
        <v>0.23891733333333301</v>
      </c>
      <c r="X49" s="29">
        <v>0.15290933333333301</v>
      </c>
      <c r="Y49" s="29">
        <v>0.572359333333333</v>
      </c>
      <c r="Z49" s="29">
        <v>0.17933379999999999</v>
      </c>
      <c r="AA49" s="29">
        <v>0.19301199999999999</v>
      </c>
      <c r="AB49" s="29">
        <v>0.283335</v>
      </c>
      <c r="AC49" s="29">
        <v>9.3824999999999895E-2</v>
      </c>
      <c r="AD49" s="29">
        <v>0.52163599999999999</v>
      </c>
      <c r="AE49" s="29">
        <v>4.1000000000000002E-2</v>
      </c>
      <c r="AF49" s="29">
        <v>0.160863333333333</v>
      </c>
      <c r="AG49" s="29">
        <v>7.2622666666666599E-2</v>
      </c>
      <c r="AH49" s="29">
        <v>0.30495233333333299</v>
      </c>
      <c r="AI49" s="29">
        <v>0.23604133333333299</v>
      </c>
      <c r="AJ49" s="29">
        <v>0.47260000000000002</v>
      </c>
      <c r="AK49" s="29">
        <v>4.2999999999999997E-2</v>
      </c>
      <c r="AL49" s="29">
        <v>0.16898333333333301</v>
      </c>
      <c r="AM49" s="29">
        <v>0.48329166666666701</v>
      </c>
      <c r="AN49" s="29">
        <v>0.79447000000000001</v>
      </c>
      <c r="AO49" s="29">
        <v>0.123171</v>
      </c>
      <c r="AP49" s="29">
        <v>5.2999999999999999E-2</v>
      </c>
      <c r="AQ49" s="29">
        <v>0.05</v>
      </c>
      <c r="AR49" s="29">
        <v>6.2673066666666694E-2</v>
      </c>
      <c r="AS49" s="29">
        <v>0.54863399999999996</v>
      </c>
      <c r="AT49" s="29">
        <v>0.64568333333333405</v>
      </c>
      <c r="AU49" s="29">
        <v>0.16202533333333299</v>
      </c>
      <c r="AV49" s="29">
        <v>0.453289</v>
      </c>
      <c r="AW49" s="29">
        <v>0.05</v>
      </c>
      <c r="AX49" s="29">
        <v>5.6270333333333297E-2</v>
      </c>
      <c r="AY49" s="29">
        <v>0.16799666666666699</v>
      </c>
      <c r="AZ49" s="29">
        <v>0.27882082040816308</v>
      </c>
      <c r="BA49" s="35">
        <v>13.662220199999989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53" width="15" customWidth="1"/>
  </cols>
  <sheetData>
    <row r="1" spans="1:53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9" t="s">
        <v>87</v>
      </c>
    </row>
    <row r="2" spans="1:53" x14ac:dyDescent="0.25">
      <c r="A2" s="24">
        <v>1</v>
      </c>
      <c r="B2" s="26">
        <v>0</v>
      </c>
      <c r="C2" s="28">
        <v>0</v>
      </c>
      <c r="D2" s="28">
        <v>0</v>
      </c>
      <c r="E2" s="28">
        <v>0</v>
      </c>
      <c r="F2" s="28">
        <v>0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>
        <v>0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8"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8">
        <v>0</v>
      </c>
      <c r="AN2" s="28">
        <v>0</v>
      </c>
      <c r="AO2" s="28">
        <v>0</v>
      </c>
      <c r="AP2" s="28">
        <v>0</v>
      </c>
      <c r="AQ2" s="28">
        <v>0</v>
      </c>
      <c r="AR2" s="28">
        <v>0</v>
      </c>
      <c r="AS2" s="28">
        <v>0</v>
      </c>
      <c r="AT2" s="28">
        <v>0</v>
      </c>
      <c r="AU2" s="28">
        <v>0</v>
      </c>
      <c r="AV2" s="28">
        <v>0</v>
      </c>
      <c r="AW2" s="28">
        <v>0</v>
      </c>
      <c r="AX2" s="28">
        <v>0</v>
      </c>
      <c r="AY2" s="28">
        <v>0</v>
      </c>
      <c r="AZ2" s="28">
        <v>0</v>
      </c>
      <c r="BA2" s="34">
        <v>0</v>
      </c>
    </row>
    <row r="3" spans="1:53" x14ac:dyDescent="0.25">
      <c r="A3" s="24">
        <v>2</v>
      </c>
      <c r="B3" s="26">
        <v>0.5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34">
        <v>0</v>
      </c>
    </row>
    <row r="4" spans="1:53" x14ac:dyDescent="0.25">
      <c r="A4" s="24">
        <v>3</v>
      </c>
      <c r="B4" s="26">
        <v>1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28">
        <v>0</v>
      </c>
      <c r="AY4" s="28">
        <v>0</v>
      </c>
      <c r="AZ4" s="28">
        <v>0</v>
      </c>
      <c r="BA4" s="34">
        <v>0</v>
      </c>
    </row>
    <row r="5" spans="1:53" x14ac:dyDescent="0.25">
      <c r="A5" s="24">
        <v>4</v>
      </c>
      <c r="B5" s="26">
        <v>1.5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34">
        <v>0</v>
      </c>
    </row>
    <row r="6" spans="1:53" x14ac:dyDescent="0.25">
      <c r="A6" s="24">
        <v>5</v>
      </c>
      <c r="B6" s="26">
        <v>2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34">
        <v>0</v>
      </c>
    </row>
    <row r="7" spans="1:53" x14ac:dyDescent="0.25">
      <c r="A7" s="24">
        <v>6</v>
      </c>
      <c r="B7" s="26">
        <v>2.5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34">
        <v>0</v>
      </c>
    </row>
    <row r="8" spans="1:53" x14ac:dyDescent="0.25">
      <c r="A8" s="24">
        <v>7</v>
      </c>
      <c r="B8" s="26">
        <v>3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34">
        <v>0</v>
      </c>
    </row>
    <row r="9" spans="1:53" x14ac:dyDescent="0.25">
      <c r="A9" s="24">
        <v>8</v>
      </c>
      <c r="B9" s="26">
        <v>3.5</v>
      </c>
      <c r="C9" s="28">
        <v>3.4408034666666681E-3</v>
      </c>
      <c r="D9" s="28">
        <v>3.4408034666666681E-3</v>
      </c>
      <c r="E9" s="28">
        <v>3.4408034666666681E-3</v>
      </c>
      <c r="F9" s="28">
        <v>2.5806026000000011E-3</v>
      </c>
      <c r="G9" s="28">
        <v>3.4408034666666681E-3</v>
      </c>
      <c r="H9" s="28">
        <v>3.4408034666666681E-3</v>
      </c>
      <c r="I9" s="28">
        <v>2.5806026000000011E-3</v>
      </c>
      <c r="J9" s="28">
        <v>3.0107030333333339E-3</v>
      </c>
      <c r="K9" s="28">
        <v>3.4408034666666681E-3</v>
      </c>
      <c r="L9" s="28">
        <v>3.4408034666666681E-3</v>
      </c>
      <c r="M9" s="28">
        <v>1.720401733333334E-3</v>
      </c>
      <c r="N9" s="28">
        <v>1.720401733333334E-3</v>
      </c>
      <c r="O9" s="28">
        <v>3.4408034666666681E-3</v>
      </c>
      <c r="P9" s="28">
        <v>3.4408034666666681E-3</v>
      </c>
      <c r="Q9" s="28">
        <v>1.720401733333334E-3</v>
      </c>
      <c r="R9" s="28">
        <v>2.1505021666666682E-3</v>
      </c>
      <c r="S9" s="28">
        <v>3.0107030333333339E-3</v>
      </c>
      <c r="T9" s="28">
        <v>3.4408034666666681E-3</v>
      </c>
      <c r="U9" s="28">
        <v>3.0107030333333339E-3</v>
      </c>
      <c r="V9" s="28">
        <v>1.290301300000001E-3</v>
      </c>
      <c r="W9" s="28">
        <v>3.4408034666666681E-3</v>
      </c>
      <c r="X9" s="28">
        <v>3.4408034666666681E-3</v>
      </c>
      <c r="Y9" s="28">
        <v>3.4408034666666681E-3</v>
      </c>
      <c r="Z9" s="28">
        <v>3.4408034666666681E-3</v>
      </c>
      <c r="AA9" s="28">
        <v>2.1505021666666682E-3</v>
      </c>
      <c r="AB9" s="28">
        <v>3.4408034666666681E-3</v>
      </c>
      <c r="AC9" s="28">
        <v>3.0107030333333339E-3</v>
      </c>
      <c r="AD9" s="28">
        <v>3.4408034666666681E-3</v>
      </c>
      <c r="AE9" s="28">
        <v>2.5806026000000011E-3</v>
      </c>
      <c r="AF9" s="28">
        <v>3.4408034666666681E-3</v>
      </c>
      <c r="AG9" s="28">
        <v>2.5806026000000011E-3</v>
      </c>
      <c r="AH9" s="28">
        <v>3.4408034666666681E-3</v>
      </c>
      <c r="AI9" s="28">
        <v>3.0107030333333339E-3</v>
      </c>
      <c r="AJ9" s="28">
        <v>2.1505021666666682E-3</v>
      </c>
      <c r="AK9" s="28">
        <v>3.4408034666666681E-3</v>
      </c>
      <c r="AL9" s="28">
        <v>1.720401733333334E-3</v>
      </c>
      <c r="AM9" s="28">
        <v>3.4408034666666681E-3</v>
      </c>
      <c r="AN9" s="28">
        <v>3.4408034666666681E-3</v>
      </c>
      <c r="AO9" s="28">
        <v>3.4408034666666681E-3</v>
      </c>
      <c r="AP9" s="28">
        <v>3.4408034666666681E-3</v>
      </c>
      <c r="AQ9" s="28">
        <v>2.5806026000000011E-3</v>
      </c>
      <c r="AR9" s="28">
        <v>2.1505021666666682E-3</v>
      </c>
      <c r="AS9" s="28">
        <v>3.0107030333333339E-3</v>
      </c>
      <c r="AT9" s="28">
        <v>2.5806026000000011E-3</v>
      </c>
      <c r="AU9" s="28">
        <v>3.0107030333333339E-3</v>
      </c>
      <c r="AV9" s="28">
        <v>3.0107030333333339E-3</v>
      </c>
      <c r="AW9" s="28">
        <v>1.720401733333334E-3</v>
      </c>
      <c r="AX9" s="28">
        <v>1.290301300000001E-3</v>
      </c>
      <c r="AY9" s="28">
        <v>1.720401733333334E-3</v>
      </c>
      <c r="AZ9" s="28">
        <v>2.8614845156462601E-3</v>
      </c>
      <c r="BA9" s="34">
        <v>0.14021274126666669</v>
      </c>
    </row>
    <row r="10" spans="1:53" x14ac:dyDescent="0.25">
      <c r="A10" s="24">
        <v>9</v>
      </c>
      <c r="B10" s="26">
        <v>4</v>
      </c>
      <c r="C10" s="28">
        <v>4.9734492533333202E-2</v>
      </c>
      <c r="D10" s="28">
        <v>4.9734492533333202E-2</v>
      </c>
      <c r="E10" s="28">
        <v>4.9734492533333202E-2</v>
      </c>
      <c r="F10" s="28">
        <v>3.7300869399999902E-2</v>
      </c>
      <c r="G10" s="28">
        <v>4.9734492533333202E-2</v>
      </c>
      <c r="H10" s="28">
        <v>4.9734492533333202E-2</v>
      </c>
      <c r="I10" s="28">
        <v>3.7300869399999902E-2</v>
      </c>
      <c r="J10" s="28">
        <v>4.3517680966666562E-2</v>
      </c>
      <c r="K10" s="28">
        <v>4.9734492533333202E-2</v>
      </c>
      <c r="L10" s="28">
        <v>4.9734492533333202E-2</v>
      </c>
      <c r="M10" s="28">
        <v>2.4867246266666601E-2</v>
      </c>
      <c r="N10" s="28">
        <v>2.4867246266666601E-2</v>
      </c>
      <c r="O10" s="28">
        <v>4.9734492533333202E-2</v>
      </c>
      <c r="P10" s="28">
        <v>4.9734492533333202E-2</v>
      </c>
      <c r="Q10" s="28">
        <v>2.4867246266666601E-2</v>
      </c>
      <c r="R10" s="28">
        <v>3.1084057833333251E-2</v>
      </c>
      <c r="S10" s="28">
        <v>4.3517680966666562E-2</v>
      </c>
      <c r="T10" s="28">
        <v>4.9734492533333202E-2</v>
      </c>
      <c r="U10" s="28">
        <v>4.3517680966666562E-2</v>
      </c>
      <c r="V10" s="28">
        <v>1.8650434699999951E-2</v>
      </c>
      <c r="W10" s="28">
        <v>4.9734492533333202E-2</v>
      </c>
      <c r="X10" s="28">
        <v>4.9734492533333202E-2</v>
      </c>
      <c r="Y10" s="28">
        <v>4.9734492533333202E-2</v>
      </c>
      <c r="Z10" s="28">
        <v>4.9734492533333202E-2</v>
      </c>
      <c r="AA10" s="28">
        <v>3.1084057833333251E-2</v>
      </c>
      <c r="AB10" s="28">
        <v>4.9734492533333202E-2</v>
      </c>
      <c r="AC10" s="28">
        <v>4.3517680966666562E-2</v>
      </c>
      <c r="AD10" s="28">
        <v>4.9734492533333202E-2</v>
      </c>
      <c r="AE10" s="28">
        <v>3.7300869399999902E-2</v>
      </c>
      <c r="AF10" s="28">
        <v>4.9734492533333202E-2</v>
      </c>
      <c r="AG10" s="28">
        <v>3.7300869399999902E-2</v>
      </c>
      <c r="AH10" s="28">
        <v>4.9734492533333202E-2</v>
      </c>
      <c r="AI10" s="28">
        <v>4.3517680966666562E-2</v>
      </c>
      <c r="AJ10" s="28">
        <v>3.1084057833333251E-2</v>
      </c>
      <c r="AK10" s="28">
        <v>4.9734492533333202E-2</v>
      </c>
      <c r="AL10" s="28">
        <v>2.4867246266666601E-2</v>
      </c>
      <c r="AM10" s="28">
        <v>4.9734492533333202E-2</v>
      </c>
      <c r="AN10" s="28">
        <v>4.9734492533333202E-2</v>
      </c>
      <c r="AO10" s="28">
        <v>4.9734492533333202E-2</v>
      </c>
      <c r="AP10" s="28">
        <v>4.9734492533333202E-2</v>
      </c>
      <c r="AQ10" s="28">
        <v>3.7300869399999902E-2</v>
      </c>
      <c r="AR10" s="28">
        <v>3.1084057833333251E-2</v>
      </c>
      <c r="AS10" s="28">
        <v>4.3517680966666562E-2</v>
      </c>
      <c r="AT10" s="28">
        <v>3.7300869399999902E-2</v>
      </c>
      <c r="AU10" s="28">
        <v>4.3517680966666562E-2</v>
      </c>
      <c r="AV10" s="28">
        <v>4.3517680966666562E-2</v>
      </c>
      <c r="AW10" s="28">
        <v>2.4867246266666601E-2</v>
      </c>
      <c r="AX10" s="28">
        <v>1.8650434699999951E-2</v>
      </c>
      <c r="AY10" s="28">
        <v>2.4867246266666601E-2</v>
      </c>
      <c r="AZ10" s="28">
        <v>4.1360827974149549E-2</v>
      </c>
      <c r="BA10" s="34">
        <v>2.026680570733328</v>
      </c>
    </row>
    <row r="11" spans="1:53" x14ac:dyDescent="0.25">
      <c r="A11" s="24">
        <v>10</v>
      </c>
      <c r="B11" s="26">
        <v>4.5</v>
      </c>
      <c r="C11" s="28">
        <v>0.2325735572</v>
      </c>
      <c r="D11" s="28">
        <v>0.2325735572</v>
      </c>
      <c r="E11" s="28">
        <v>0.2325735572</v>
      </c>
      <c r="F11" s="28">
        <v>0.17443016789999999</v>
      </c>
      <c r="G11" s="28">
        <v>0.2325735572</v>
      </c>
      <c r="H11" s="28">
        <v>0.2325735572</v>
      </c>
      <c r="I11" s="28">
        <v>0.17443016789999999</v>
      </c>
      <c r="J11" s="28">
        <v>0.20350186255</v>
      </c>
      <c r="K11" s="28">
        <v>0.2325735572</v>
      </c>
      <c r="L11" s="28">
        <v>0.2325735572</v>
      </c>
      <c r="M11" s="28">
        <v>0.1162867786</v>
      </c>
      <c r="N11" s="28">
        <v>0.1162867786</v>
      </c>
      <c r="O11" s="28">
        <v>0.2325735572</v>
      </c>
      <c r="P11" s="28">
        <v>0.2325735572</v>
      </c>
      <c r="Q11" s="28">
        <v>0.1162867786</v>
      </c>
      <c r="R11" s="28">
        <v>0.14535847325000001</v>
      </c>
      <c r="S11" s="28">
        <v>0.20350186255</v>
      </c>
      <c r="T11" s="28">
        <v>0.2325735572</v>
      </c>
      <c r="U11" s="28">
        <v>0.20350186255</v>
      </c>
      <c r="V11" s="28">
        <v>8.7215083949999994E-2</v>
      </c>
      <c r="W11" s="28">
        <v>0.2325735572</v>
      </c>
      <c r="X11" s="28">
        <v>0.2325735572</v>
      </c>
      <c r="Y11" s="28">
        <v>0.2325735572</v>
      </c>
      <c r="Z11" s="28">
        <v>0.2325735572</v>
      </c>
      <c r="AA11" s="28">
        <v>0.14535847325000001</v>
      </c>
      <c r="AB11" s="28">
        <v>0.2325735572</v>
      </c>
      <c r="AC11" s="28">
        <v>0.20350186255</v>
      </c>
      <c r="AD11" s="28">
        <v>0.2325735572</v>
      </c>
      <c r="AE11" s="28">
        <v>0.17443016789999999</v>
      </c>
      <c r="AF11" s="28">
        <v>0.2325735572</v>
      </c>
      <c r="AG11" s="28">
        <v>0.17443016789999999</v>
      </c>
      <c r="AH11" s="28">
        <v>0.2325735572</v>
      </c>
      <c r="AI11" s="28">
        <v>0.20350186255</v>
      </c>
      <c r="AJ11" s="28">
        <v>0.14535847325000001</v>
      </c>
      <c r="AK11" s="28">
        <v>0.2325735572</v>
      </c>
      <c r="AL11" s="28">
        <v>0.1162867786</v>
      </c>
      <c r="AM11" s="28">
        <v>0.2325735572</v>
      </c>
      <c r="AN11" s="28">
        <v>0.2325735572</v>
      </c>
      <c r="AO11" s="28">
        <v>0.2325735572</v>
      </c>
      <c r="AP11" s="28">
        <v>0.2325735572</v>
      </c>
      <c r="AQ11" s="28">
        <v>0.17443016789999999</v>
      </c>
      <c r="AR11" s="28">
        <v>0.14535847325000001</v>
      </c>
      <c r="AS11" s="28">
        <v>0.20350186255</v>
      </c>
      <c r="AT11" s="28">
        <v>0.17443016789999999</v>
      </c>
      <c r="AU11" s="28">
        <v>0.20350186255</v>
      </c>
      <c r="AV11" s="28">
        <v>0.20350186255</v>
      </c>
      <c r="AW11" s="28">
        <v>0.1162867786</v>
      </c>
      <c r="AX11" s="28">
        <v>8.7215083949999994E-2</v>
      </c>
      <c r="AY11" s="28">
        <v>0.1162867786</v>
      </c>
      <c r="AZ11" s="28">
        <v>0.19341576440612249</v>
      </c>
      <c r="BA11" s="34">
        <v>9.477372455900003</v>
      </c>
    </row>
    <row r="12" spans="1:53" x14ac:dyDescent="0.25">
      <c r="A12" s="24">
        <v>11</v>
      </c>
      <c r="B12" s="26">
        <v>5</v>
      </c>
      <c r="C12" s="28">
        <v>0.46134028826666801</v>
      </c>
      <c r="D12" s="28">
        <v>0.46134028826666801</v>
      </c>
      <c r="E12" s="28">
        <v>0.46134028826666801</v>
      </c>
      <c r="F12" s="28">
        <v>0.34600521620000102</v>
      </c>
      <c r="G12" s="28">
        <v>0.46134028826666801</v>
      </c>
      <c r="H12" s="28">
        <v>0.46134028826666801</v>
      </c>
      <c r="I12" s="28">
        <v>0.34600521620000102</v>
      </c>
      <c r="J12" s="28">
        <v>0.40367275223333449</v>
      </c>
      <c r="K12" s="28">
        <v>0.46134028826666801</v>
      </c>
      <c r="L12" s="28">
        <v>0.46134028826666801</v>
      </c>
      <c r="M12" s="28">
        <v>0.230670144133334</v>
      </c>
      <c r="N12" s="28">
        <v>0.230670144133334</v>
      </c>
      <c r="O12" s="28">
        <v>0.46134028826666801</v>
      </c>
      <c r="P12" s="28">
        <v>0.46134028826666801</v>
      </c>
      <c r="Q12" s="28">
        <v>0.230670144133334</v>
      </c>
      <c r="R12" s="28">
        <v>0.2883376801666675</v>
      </c>
      <c r="S12" s="28">
        <v>0.40367275223333449</v>
      </c>
      <c r="T12" s="28">
        <v>0.46134028826666801</v>
      </c>
      <c r="U12" s="28">
        <v>0.40367275223333449</v>
      </c>
      <c r="V12" s="28">
        <v>0.17300260810000051</v>
      </c>
      <c r="W12" s="28">
        <v>0.46134028826666801</v>
      </c>
      <c r="X12" s="28">
        <v>0.46134028826666801</v>
      </c>
      <c r="Y12" s="28">
        <v>0.46134028826666801</v>
      </c>
      <c r="Z12" s="28">
        <v>0.46134028826666801</v>
      </c>
      <c r="AA12" s="28">
        <v>0.2883376801666675</v>
      </c>
      <c r="AB12" s="28">
        <v>0.46134028826666801</v>
      </c>
      <c r="AC12" s="28">
        <v>0.40367275223333449</v>
      </c>
      <c r="AD12" s="28">
        <v>0.46134028826666801</v>
      </c>
      <c r="AE12" s="28">
        <v>0.34600521620000102</v>
      </c>
      <c r="AF12" s="28">
        <v>0.46134028826666801</v>
      </c>
      <c r="AG12" s="28">
        <v>0.34600521620000102</v>
      </c>
      <c r="AH12" s="28">
        <v>0.46134028826666801</v>
      </c>
      <c r="AI12" s="28">
        <v>0.40367275223333449</v>
      </c>
      <c r="AJ12" s="28">
        <v>0.2883376801666675</v>
      </c>
      <c r="AK12" s="28">
        <v>0.46134028826666801</v>
      </c>
      <c r="AL12" s="28">
        <v>0.230670144133334</v>
      </c>
      <c r="AM12" s="28">
        <v>0.46134028826666801</v>
      </c>
      <c r="AN12" s="28">
        <v>0.46134028826666801</v>
      </c>
      <c r="AO12" s="28">
        <v>0.46134028826666801</v>
      </c>
      <c r="AP12" s="28">
        <v>0.46134028826666801</v>
      </c>
      <c r="AQ12" s="28">
        <v>0.34600521620000102</v>
      </c>
      <c r="AR12" s="28">
        <v>0.2883376801666675</v>
      </c>
      <c r="AS12" s="28">
        <v>0.40367275223333449</v>
      </c>
      <c r="AT12" s="28">
        <v>0.34600521620000102</v>
      </c>
      <c r="AU12" s="28">
        <v>0.40367275223333449</v>
      </c>
      <c r="AV12" s="28">
        <v>0.40367275223333449</v>
      </c>
      <c r="AW12" s="28">
        <v>0.230670144133334</v>
      </c>
      <c r="AX12" s="28">
        <v>0.17300260810000051</v>
      </c>
      <c r="AY12" s="28">
        <v>0.230670144133334</v>
      </c>
      <c r="AZ12" s="28">
        <v>0.38366564789523899</v>
      </c>
      <c r="BA12" s="34">
        <v>18.799616746866711</v>
      </c>
    </row>
    <row r="13" spans="1:53" x14ac:dyDescent="0.25">
      <c r="A13" s="24">
        <v>12</v>
      </c>
      <c r="B13" s="26">
        <v>5.5</v>
      </c>
      <c r="C13" s="28">
        <v>0.74185797653333196</v>
      </c>
      <c r="D13" s="28">
        <v>0.74185797653333196</v>
      </c>
      <c r="E13" s="28">
        <v>0.74185797653333196</v>
      </c>
      <c r="F13" s="28">
        <v>0.55639348239999897</v>
      </c>
      <c r="G13" s="28">
        <v>0.74185797653333196</v>
      </c>
      <c r="H13" s="28">
        <v>0.74185797653333196</v>
      </c>
      <c r="I13" s="28">
        <v>0.55639348239999897</v>
      </c>
      <c r="J13" s="28">
        <v>0.64912572946666547</v>
      </c>
      <c r="K13" s="28">
        <v>0.74185797653333196</v>
      </c>
      <c r="L13" s="28">
        <v>0.74185797653333196</v>
      </c>
      <c r="M13" s="28">
        <v>0.37092898826666598</v>
      </c>
      <c r="N13" s="28">
        <v>0.37092898826666598</v>
      </c>
      <c r="O13" s="28">
        <v>0.74185797653333196</v>
      </c>
      <c r="P13" s="28">
        <v>0.74185797653333196</v>
      </c>
      <c r="Q13" s="28">
        <v>0.37092898826666598</v>
      </c>
      <c r="R13" s="28">
        <v>0.46366123533333248</v>
      </c>
      <c r="S13" s="28">
        <v>0.64912572946666547</v>
      </c>
      <c r="T13" s="28">
        <v>0.74185797653333196</v>
      </c>
      <c r="U13" s="28">
        <v>0.64912572946666547</v>
      </c>
      <c r="V13" s="28">
        <v>0.27819674119999949</v>
      </c>
      <c r="W13" s="28">
        <v>0.74185797653333196</v>
      </c>
      <c r="X13" s="28">
        <v>0.74185797653333196</v>
      </c>
      <c r="Y13" s="28">
        <v>0.74185797653333196</v>
      </c>
      <c r="Z13" s="28">
        <v>0.74185797653333196</v>
      </c>
      <c r="AA13" s="28">
        <v>0.46366123533333248</v>
      </c>
      <c r="AB13" s="28">
        <v>0.74185797653333196</v>
      </c>
      <c r="AC13" s="28">
        <v>0.64912572946666547</v>
      </c>
      <c r="AD13" s="28">
        <v>0.74185797653333196</v>
      </c>
      <c r="AE13" s="28">
        <v>0.55639348239999897</v>
      </c>
      <c r="AF13" s="28">
        <v>0.74185797653333196</v>
      </c>
      <c r="AG13" s="28">
        <v>0.55639348239999897</v>
      </c>
      <c r="AH13" s="28">
        <v>0.74185797653333196</v>
      </c>
      <c r="AI13" s="28">
        <v>0.64912572946666547</v>
      </c>
      <c r="AJ13" s="28">
        <v>0.46366123533333248</v>
      </c>
      <c r="AK13" s="28">
        <v>0.74185797653333196</v>
      </c>
      <c r="AL13" s="28">
        <v>0.37092898826666598</v>
      </c>
      <c r="AM13" s="28">
        <v>0.74185797653333196</v>
      </c>
      <c r="AN13" s="28">
        <v>0.74185797653333196</v>
      </c>
      <c r="AO13" s="28">
        <v>0.74185797653333196</v>
      </c>
      <c r="AP13" s="28">
        <v>0.74185797653333196</v>
      </c>
      <c r="AQ13" s="28">
        <v>0.55639348239999897</v>
      </c>
      <c r="AR13" s="28">
        <v>0.46366123533333248</v>
      </c>
      <c r="AS13" s="28">
        <v>0.64912572946666547</v>
      </c>
      <c r="AT13" s="28">
        <v>0.55639348239999897</v>
      </c>
      <c r="AU13" s="28">
        <v>0.64912572946666547</v>
      </c>
      <c r="AV13" s="28">
        <v>0.64912572946666547</v>
      </c>
      <c r="AW13" s="28">
        <v>0.37092898826666598</v>
      </c>
      <c r="AX13" s="28">
        <v>0.27819674119999949</v>
      </c>
      <c r="AY13" s="28">
        <v>0.37092898826666598</v>
      </c>
      <c r="AZ13" s="28">
        <v>0.61695331721904634</v>
      </c>
      <c r="BA13" s="34">
        <v>30.230712543733269</v>
      </c>
    </row>
    <row r="14" spans="1:53" x14ac:dyDescent="0.25">
      <c r="A14" s="24">
        <v>13</v>
      </c>
      <c r="B14" s="26">
        <v>6</v>
      </c>
      <c r="C14" s="28">
        <v>1.0479185926666681</v>
      </c>
      <c r="D14" s="28">
        <v>1.0479185926666681</v>
      </c>
      <c r="E14" s="28">
        <v>1.0479185926666681</v>
      </c>
      <c r="F14" s="28">
        <v>0.78593894450000112</v>
      </c>
      <c r="G14" s="28">
        <v>1.0479185926666681</v>
      </c>
      <c r="H14" s="28">
        <v>1.0479185926666681</v>
      </c>
      <c r="I14" s="28">
        <v>0.78593894450000112</v>
      </c>
      <c r="J14" s="28">
        <v>0.91692876858333461</v>
      </c>
      <c r="K14" s="28">
        <v>1.0479185926666681</v>
      </c>
      <c r="L14" s="28">
        <v>1.0479185926666681</v>
      </c>
      <c r="M14" s="28">
        <v>0.52395929633333405</v>
      </c>
      <c r="N14" s="28">
        <v>0.52395929633333405</v>
      </c>
      <c r="O14" s="28">
        <v>1.0479185926666681</v>
      </c>
      <c r="P14" s="28">
        <v>1.0479185926666681</v>
      </c>
      <c r="Q14" s="28">
        <v>0.52395929633333405</v>
      </c>
      <c r="R14" s="28">
        <v>0.65494912041666753</v>
      </c>
      <c r="S14" s="28">
        <v>0.91692876858333461</v>
      </c>
      <c r="T14" s="28">
        <v>1.0479185926666681</v>
      </c>
      <c r="U14" s="28">
        <v>0.91692876858333461</v>
      </c>
      <c r="V14" s="28">
        <v>0.39296947225000062</v>
      </c>
      <c r="W14" s="28">
        <v>1.0479185926666681</v>
      </c>
      <c r="X14" s="28">
        <v>1.0479185926666681</v>
      </c>
      <c r="Y14" s="28">
        <v>1.0479185926666681</v>
      </c>
      <c r="Z14" s="28">
        <v>1.0479185926666681</v>
      </c>
      <c r="AA14" s="28">
        <v>0.65494912041666753</v>
      </c>
      <c r="AB14" s="28">
        <v>1.0479185926666681</v>
      </c>
      <c r="AC14" s="28">
        <v>0.91692876858333461</v>
      </c>
      <c r="AD14" s="28">
        <v>1.0479185926666681</v>
      </c>
      <c r="AE14" s="28">
        <v>0.78593894450000112</v>
      </c>
      <c r="AF14" s="28">
        <v>1.0479185926666681</v>
      </c>
      <c r="AG14" s="28">
        <v>0.78593894450000112</v>
      </c>
      <c r="AH14" s="28">
        <v>1.0479185926666681</v>
      </c>
      <c r="AI14" s="28">
        <v>0.91692876858333461</v>
      </c>
      <c r="AJ14" s="28">
        <v>0.65494912041666753</v>
      </c>
      <c r="AK14" s="28">
        <v>1.0479185926666681</v>
      </c>
      <c r="AL14" s="28">
        <v>0.52395929633333405</v>
      </c>
      <c r="AM14" s="28">
        <v>1.0479185926666681</v>
      </c>
      <c r="AN14" s="28">
        <v>1.0479185926666681</v>
      </c>
      <c r="AO14" s="28">
        <v>1.0479185926666681</v>
      </c>
      <c r="AP14" s="28">
        <v>1.0479185926666681</v>
      </c>
      <c r="AQ14" s="28">
        <v>0.78593894450000112</v>
      </c>
      <c r="AR14" s="28">
        <v>0.65494912041666753</v>
      </c>
      <c r="AS14" s="28">
        <v>0.91692876858333461</v>
      </c>
      <c r="AT14" s="28">
        <v>0.78593894450000112</v>
      </c>
      <c r="AU14" s="28">
        <v>0.91692876858333461</v>
      </c>
      <c r="AV14" s="28">
        <v>0.91692876858333461</v>
      </c>
      <c r="AW14" s="28">
        <v>0.52395929633333405</v>
      </c>
      <c r="AX14" s="28">
        <v>0.39296947225000062</v>
      </c>
      <c r="AY14" s="28">
        <v>0.52395929633333405</v>
      </c>
      <c r="AZ14" s="28">
        <v>0.87148331941156598</v>
      </c>
      <c r="BA14" s="34">
        <v>42.702682651166732</v>
      </c>
    </row>
    <row r="15" spans="1:53" x14ac:dyDescent="0.25">
      <c r="A15" s="24">
        <v>14</v>
      </c>
      <c r="B15" s="26">
        <v>6.5</v>
      </c>
      <c r="C15" s="28">
        <v>1.357741167733332</v>
      </c>
      <c r="D15" s="28">
        <v>1.357741167733332</v>
      </c>
      <c r="E15" s="28">
        <v>1.357741167733332</v>
      </c>
      <c r="F15" s="28">
        <v>1.018305875799999</v>
      </c>
      <c r="G15" s="28">
        <v>1.357741167733332</v>
      </c>
      <c r="H15" s="28">
        <v>1.357741167733332</v>
      </c>
      <c r="I15" s="28">
        <v>1.018305875799999</v>
      </c>
      <c r="J15" s="28">
        <v>1.188023521766665</v>
      </c>
      <c r="K15" s="28">
        <v>1.357741167733332</v>
      </c>
      <c r="L15" s="28">
        <v>1.357741167733332</v>
      </c>
      <c r="M15" s="28">
        <v>0.67887058386666599</v>
      </c>
      <c r="N15" s="28">
        <v>0.67887058386666599</v>
      </c>
      <c r="O15" s="28">
        <v>1.357741167733332</v>
      </c>
      <c r="P15" s="28">
        <v>1.357741167733332</v>
      </c>
      <c r="Q15" s="28">
        <v>0.67887058386666599</v>
      </c>
      <c r="R15" s="28">
        <v>0.84858822983333249</v>
      </c>
      <c r="S15" s="28">
        <v>1.188023521766665</v>
      </c>
      <c r="T15" s="28">
        <v>1.357741167733332</v>
      </c>
      <c r="U15" s="28">
        <v>1.188023521766665</v>
      </c>
      <c r="V15" s="28">
        <v>0.50915293789999949</v>
      </c>
      <c r="W15" s="28">
        <v>1.357741167733332</v>
      </c>
      <c r="X15" s="28">
        <v>1.357741167733332</v>
      </c>
      <c r="Y15" s="28">
        <v>1.357741167733332</v>
      </c>
      <c r="Z15" s="28">
        <v>1.357741167733332</v>
      </c>
      <c r="AA15" s="28">
        <v>0.84858822983333249</v>
      </c>
      <c r="AB15" s="28">
        <v>1.357741167733332</v>
      </c>
      <c r="AC15" s="28">
        <v>1.188023521766665</v>
      </c>
      <c r="AD15" s="28">
        <v>1.357741167733332</v>
      </c>
      <c r="AE15" s="28">
        <v>1.018305875799999</v>
      </c>
      <c r="AF15" s="28">
        <v>1.357741167733332</v>
      </c>
      <c r="AG15" s="28">
        <v>1.018305875799999</v>
      </c>
      <c r="AH15" s="28">
        <v>1.357741167733332</v>
      </c>
      <c r="AI15" s="28">
        <v>1.188023521766665</v>
      </c>
      <c r="AJ15" s="28">
        <v>0.84858822983333249</v>
      </c>
      <c r="AK15" s="28">
        <v>1.357741167733332</v>
      </c>
      <c r="AL15" s="28">
        <v>0.67887058386666599</v>
      </c>
      <c r="AM15" s="28">
        <v>1.357741167733332</v>
      </c>
      <c r="AN15" s="28">
        <v>1.357741167733332</v>
      </c>
      <c r="AO15" s="28">
        <v>1.357741167733332</v>
      </c>
      <c r="AP15" s="28">
        <v>1.357741167733332</v>
      </c>
      <c r="AQ15" s="28">
        <v>1.018305875799999</v>
      </c>
      <c r="AR15" s="28">
        <v>0.84858822983333249</v>
      </c>
      <c r="AS15" s="28">
        <v>1.188023521766665</v>
      </c>
      <c r="AT15" s="28">
        <v>1.018305875799999</v>
      </c>
      <c r="AU15" s="28">
        <v>1.188023521766665</v>
      </c>
      <c r="AV15" s="28">
        <v>1.188023521766665</v>
      </c>
      <c r="AW15" s="28">
        <v>0.67887058386666599</v>
      </c>
      <c r="AX15" s="28">
        <v>0.50915293789999949</v>
      </c>
      <c r="AY15" s="28">
        <v>0.67887058386666599</v>
      </c>
      <c r="AZ15" s="28">
        <v>1.1291418894925149</v>
      </c>
      <c r="BA15" s="34">
        <v>55.327952585133247</v>
      </c>
    </row>
    <row r="16" spans="1:53" x14ac:dyDescent="0.25">
      <c r="A16" s="24">
        <v>15</v>
      </c>
      <c r="B16" s="26">
        <v>7</v>
      </c>
      <c r="C16" s="28">
        <v>1.6659594548000001</v>
      </c>
      <c r="D16" s="28">
        <v>1.6659594548000001</v>
      </c>
      <c r="E16" s="28">
        <v>1.6659594548000001</v>
      </c>
      <c r="F16" s="28">
        <v>1.2494695911</v>
      </c>
      <c r="G16" s="28">
        <v>1.6659594548000001</v>
      </c>
      <c r="H16" s="28">
        <v>1.6659594548000001</v>
      </c>
      <c r="I16" s="28">
        <v>1.2494695911</v>
      </c>
      <c r="J16" s="28">
        <v>1.4577145229499999</v>
      </c>
      <c r="K16" s="28">
        <v>1.6659594548000001</v>
      </c>
      <c r="L16" s="28">
        <v>1.6659594548000001</v>
      </c>
      <c r="M16" s="28">
        <v>0.83297972740000004</v>
      </c>
      <c r="N16" s="28">
        <v>0.83297972740000004</v>
      </c>
      <c r="O16" s="28">
        <v>1.6659594548000001</v>
      </c>
      <c r="P16" s="28">
        <v>1.6659594548000001</v>
      </c>
      <c r="Q16" s="28">
        <v>0.83297972740000004</v>
      </c>
      <c r="R16" s="28">
        <v>1.0412246592500001</v>
      </c>
      <c r="S16" s="28">
        <v>1.4577145229499999</v>
      </c>
      <c r="T16" s="28">
        <v>1.6659594548000001</v>
      </c>
      <c r="U16" s="28">
        <v>1.4577145229499999</v>
      </c>
      <c r="V16" s="28">
        <v>0.62473479555</v>
      </c>
      <c r="W16" s="28">
        <v>1.6659594548000001</v>
      </c>
      <c r="X16" s="28">
        <v>1.6659594548000001</v>
      </c>
      <c r="Y16" s="28">
        <v>1.6659594548000001</v>
      </c>
      <c r="Z16" s="28">
        <v>1.6659594548000001</v>
      </c>
      <c r="AA16" s="28">
        <v>1.0412246592500001</v>
      </c>
      <c r="AB16" s="28">
        <v>1.6659594548000001</v>
      </c>
      <c r="AC16" s="28">
        <v>1.4577145229499999</v>
      </c>
      <c r="AD16" s="28">
        <v>1.6659594548000001</v>
      </c>
      <c r="AE16" s="28">
        <v>1.2494695911</v>
      </c>
      <c r="AF16" s="28">
        <v>1.6659594548000001</v>
      </c>
      <c r="AG16" s="28">
        <v>1.2494695911</v>
      </c>
      <c r="AH16" s="28">
        <v>1.6659594548000001</v>
      </c>
      <c r="AI16" s="28">
        <v>1.4577145229499999</v>
      </c>
      <c r="AJ16" s="28">
        <v>1.0412246592500001</v>
      </c>
      <c r="AK16" s="28">
        <v>1.6659594548000001</v>
      </c>
      <c r="AL16" s="28">
        <v>0.83297972740000004</v>
      </c>
      <c r="AM16" s="28">
        <v>1.6659594548000001</v>
      </c>
      <c r="AN16" s="28">
        <v>1.6659594548000001</v>
      </c>
      <c r="AO16" s="28">
        <v>1.6659594548000001</v>
      </c>
      <c r="AP16" s="28">
        <v>1.6659594548000001</v>
      </c>
      <c r="AQ16" s="28">
        <v>1.2494695911</v>
      </c>
      <c r="AR16" s="28">
        <v>1.0412246592500001</v>
      </c>
      <c r="AS16" s="28">
        <v>1.4577145229499999</v>
      </c>
      <c r="AT16" s="28">
        <v>1.2494695911</v>
      </c>
      <c r="AU16" s="28">
        <v>1.4577145229499999</v>
      </c>
      <c r="AV16" s="28">
        <v>1.4577145229499999</v>
      </c>
      <c r="AW16" s="28">
        <v>0.83297972740000004</v>
      </c>
      <c r="AX16" s="28">
        <v>0.62473479555</v>
      </c>
      <c r="AY16" s="28">
        <v>0.83297972740000004</v>
      </c>
      <c r="AZ16" s="28">
        <v>1.3854662812877561</v>
      </c>
      <c r="BA16" s="34">
        <v>67.887847783100042</v>
      </c>
    </row>
    <row r="17" spans="1:53" x14ac:dyDescent="0.25">
      <c r="A17" s="24">
        <v>16</v>
      </c>
      <c r="B17" s="26">
        <v>7.5</v>
      </c>
      <c r="C17" s="28">
        <v>1.9746260899999999</v>
      </c>
      <c r="D17" s="28">
        <v>1.9746260899999999</v>
      </c>
      <c r="E17" s="28">
        <v>1.9746260899999999</v>
      </c>
      <c r="F17" s="28">
        <v>1.4809695675000001</v>
      </c>
      <c r="G17" s="28">
        <v>1.9746260899999999</v>
      </c>
      <c r="H17" s="28">
        <v>1.9746260899999999</v>
      </c>
      <c r="I17" s="28">
        <v>1.4809695675000001</v>
      </c>
      <c r="J17" s="28">
        <v>1.72779782875</v>
      </c>
      <c r="K17" s="28">
        <v>1.9746260899999999</v>
      </c>
      <c r="L17" s="28">
        <v>1.9746260899999999</v>
      </c>
      <c r="M17" s="28">
        <v>0.98731304499999994</v>
      </c>
      <c r="N17" s="28">
        <v>0.98731304499999994</v>
      </c>
      <c r="O17" s="28">
        <v>1.9746260899999999</v>
      </c>
      <c r="P17" s="28">
        <v>1.9746260899999999</v>
      </c>
      <c r="Q17" s="28">
        <v>0.98731304499999994</v>
      </c>
      <c r="R17" s="28">
        <v>1.23414130625</v>
      </c>
      <c r="S17" s="28">
        <v>1.72779782875</v>
      </c>
      <c r="T17" s="28">
        <v>1.9746260899999999</v>
      </c>
      <c r="U17" s="28">
        <v>1.72779782875</v>
      </c>
      <c r="V17" s="28">
        <v>0.74048478374999993</v>
      </c>
      <c r="W17" s="28">
        <v>1.9746260899999999</v>
      </c>
      <c r="X17" s="28">
        <v>1.9746260899999999</v>
      </c>
      <c r="Y17" s="28">
        <v>1.9746260899999999</v>
      </c>
      <c r="Z17" s="28">
        <v>1.9746260899999999</v>
      </c>
      <c r="AA17" s="28">
        <v>1.23414130625</v>
      </c>
      <c r="AB17" s="28">
        <v>1.9746260899999999</v>
      </c>
      <c r="AC17" s="28">
        <v>1.72779782875</v>
      </c>
      <c r="AD17" s="28">
        <v>1.9746260899999999</v>
      </c>
      <c r="AE17" s="28">
        <v>1.4809695675000001</v>
      </c>
      <c r="AF17" s="28">
        <v>1.9746260899999999</v>
      </c>
      <c r="AG17" s="28">
        <v>1.4809695675000001</v>
      </c>
      <c r="AH17" s="28">
        <v>1.9746260899999999</v>
      </c>
      <c r="AI17" s="28">
        <v>1.72779782875</v>
      </c>
      <c r="AJ17" s="28">
        <v>1.23414130625</v>
      </c>
      <c r="AK17" s="28">
        <v>1.9746260899999999</v>
      </c>
      <c r="AL17" s="28">
        <v>0.98731304499999994</v>
      </c>
      <c r="AM17" s="28">
        <v>1.9746260899999999</v>
      </c>
      <c r="AN17" s="28">
        <v>1.9746260899999999</v>
      </c>
      <c r="AO17" s="28">
        <v>1.9746260899999999</v>
      </c>
      <c r="AP17" s="28">
        <v>1.9746260899999999</v>
      </c>
      <c r="AQ17" s="28">
        <v>1.4809695675000001</v>
      </c>
      <c r="AR17" s="28">
        <v>1.23414130625</v>
      </c>
      <c r="AS17" s="28">
        <v>1.72779782875</v>
      </c>
      <c r="AT17" s="28">
        <v>1.4809695675000001</v>
      </c>
      <c r="AU17" s="28">
        <v>1.72779782875</v>
      </c>
      <c r="AV17" s="28">
        <v>1.72779782875</v>
      </c>
      <c r="AW17" s="28">
        <v>0.98731304499999994</v>
      </c>
      <c r="AX17" s="28">
        <v>0.74048478374999993</v>
      </c>
      <c r="AY17" s="28">
        <v>0.98731304499999994</v>
      </c>
      <c r="AZ17" s="28">
        <v>1.642163534030612</v>
      </c>
      <c r="BA17" s="34">
        <v>80.466013167499995</v>
      </c>
    </row>
    <row r="18" spans="1:53" x14ac:dyDescent="0.25">
      <c r="A18" s="24">
        <v>17</v>
      </c>
      <c r="B18" s="26">
        <v>8</v>
      </c>
      <c r="C18" s="28">
        <v>2.2643293982666681</v>
      </c>
      <c r="D18" s="28">
        <v>2.2643293982666681</v>
      </c>
      <c r="E18" s="28">
        <v>2.2643293982666681</v>
      </c>
      <c r="F18" s="28">
        <v>1.698247048700001</v>
      </c>
      <c r="G18" s="28">
        <v>2.2643293982666681</v>
      </c>
      <c r="H18" s="28">
        <v>2.2643293982666681</v>
      </c>
      <c r="I18" s="28">
        <v>1.698247048700001</v>
      </c>
      <c r="J18" s="28">
        <v>1.9812882234833351</v>
      </c>
      <c r="K18" s="28">
        <v>2.2643293982666681</v>
      </c>
      <c r="L18" s="28">
        <v>2.2643293982666681</v>
      </c>
      <c r="M18" s="28">
        <v>1.1321646991333341</v>
      </c>
      <c r="N18" s="28">
        <v>1.1321646991333341</v>
      </c>
      <c r="O18" s="28">
        <v>2.2643293982666681</v>
      </c>
      <c r="P18" s="28">
        <v>2.2643293982666681</v>
      </c>
      <c r="Q18" s="28">
        <v>1.1321646991333341</v>
      </c>
      <c r="R18" s="28">
        <v>1.415205873916668</v>
      </c>
      <c r="S18" s="28">
        <v>1.9812882234833351</v>
      </c>
      <c r="T18" s="28">
        <v>2.2643293982666681</v>
      </c>
      <c r="U18" s="28">
        <v>1.9812882234833351</v>
      </c>
      <c r="V18" s="28">
        <v>0.8491235243500006</v>
      </c>
      <c r="W18" s="28">
        <v>2.2643293982666681</v>
      </c>
      <c r="X18" s="28">
        <v>2.2643293982666681</v>
      </c>
      <c r="Y18" s="28">
        <v>2.2643293982666681</v>
      </c>
      <c r="Z18" s="28">
        <v>2.2643293982666681</v>
      </c>
      <c r="AA18" s="28">
        <v>1.415205873916668</v>
      </c>
      <c r="AB18" s="28">
        <v>2.2643293982666681</v>
      </c>
      <c r="AC18" s="28">
        <v>1.9812882234833351</v>
      </c>
      <c r="AD18" s="28">
        <v>2.2643293982666681</v>
      </c>
      <c r="AE18" s="28">
        <v>1.698247048700001</v>
      </c>
      <c r="AF18" s="28">
        <v>2.2643293982666681</v>
      </c>
      <c r="AG18" s="28">
        <v>1.698247048700001</v>
      </c>
      <c r="AH18" s="28">
        <v>2.2643293982666681</v>
      </c>
      <c r="AI18" s="28">
        <v>1.9812882234833351</v>
      </c>
      <c r="AJ18" s="28">
        <v>1.415205873916668</v>
      </c>
      <c r="AK18" s="28">
        <v>2.2643293982666681</v>
      </c>
      <c r="AL18" s="28">
        <v>1.1321646991333341</v>
      </c>
      <c r="AM18" s="28">
        <v>2.2643293982666681</v>
      </c>
      <c r="AN18" s="28">
        <v>2.2643293982666681</v>
      </c>
      <c r="AO18" s="28">
        <v>2.2643293982666681</v>
      </c>
      <c r="AP18" s="28">
        <v>2.2643293982666681</v>
      </c>
      <c r="AQ18" s="28">
        <v>1.698247048700001</v>
      </c>
      <c r="AR18" s="28">
        <v>1.415205873916668</v>
      </c>
      <c r="AS18" s="28">
        <v>1.9812882234833351</v>
      </c>
      <c r="AT18" s="28">
        <v>1.698247048700001</v>
      </c>
      <c r="AU18" s="28">
        <v>1.9812882234833351</v>
      </c>
      <c r="AV18" s="28">
        <v>1.9812882234833351</v>
      </c>
      <c r="AW18" s="28">
        <v>1.1321646991333341</v>
      </c>
      <c r="AX18" s="28">
        <v>0.8491235243500006</v>
      </c>
      <c r="AY18" s="28">
        <v>1.1321646991333341</v>
      </c>
      <c r="AZ18" s="28">
        <v>1.8830902648850349</v>
      </c>
      <c r="BA18" s="34">
        <v>92.271422979366719</v>
      </c>
    </row>
    <row r="19" spans="1:53" x14ac:dyDescent="0.25">
      <c r="A19" s="24">
        <v>18</v>
      </c>
      <c r="B19" s="26">
        <v>8.5</v>
      </c>
      <c r="C19" s="28">
        <v>2.5366509335999998</v>
      </c>
      <c r="D19" s="28">
        <v>2.5366509335999998</v>
      </c>
      <c r="E19" s="28">
        <v>2.5366509335999998</v>
      </c>
      <c r="F19" s="28">
        <v>1.9024882002000001</v>
      </c>
      <c r="G19" s="28">
        <v>2.5366509335999998</v>
      </c>
      <c r="H19" s="28">
        <v>2.5366509335999998</v>
      </c>
      <c r="I19" s="28">
        <v>1.9024882002000001</v>
      </c>
      <c r="J19" s="28">
        <v>2.2195695669000002</v>
      </c>
      <c r="K19" s="28">
        <v>2.5366509335999998</v>
      </c>
      <c r="L19" s="28">
        <v>2.5366509335999998</v>
      </c>
      <c r="M19" s="28">
        <v>1.2683254667999999</v>
      </c>
      <c r="N19" s="28">
        <v>1.2683254667999999</v>
      </c>
      <c r="O19" s="28">
        <v>2.5366509335999998</v>
      </c>
      <c r="P19" s="28">
        <v>2.5366509335999998</v>
      </c>
      <c r="Q19" s="28">
        <v>1.2683254667999999</v>
      </c>
      <c r="R19" s="28">
        <v>1.5854068335</v>
      </c>
      <c r="S19" s="28">
        <v>2.2195695669000002</v>
      </c>
      <c r="T19" s="28">
        <v>2.5366509335999998</v>
      </c>
      <c r="U19" s="28">
        <v>2.2195695669000002</v>
      </c>
      <c r="V19" s="28">
        <v>0.95124410009999993</v>
      </c>
      <c r="W19" s="28">
        <v>2.5366509335999998</v>
      </c>
      <c r="X19" s="28">
        <v>2.5366509335999998</v>
      </c>
      <c r="Y19" s="28">
        <v>2.5366509335999998</v>
      </c>
      <c r="Z19" s="28">
        <v>2.5366509335999998</v>
      </c>
      <c r="AA19" s="28">
        <v>1.5854068335</v>
      </c>
      <c r="AB19" s="28">
        <v>2.5366509335999998</v>
      </c>
      <c r="AC19" s="28">
        <v>2.2195695669000002</v>
      </c>
      <c r="AD19" s="28">
        <v>2.5366509335999998</v>
      </c>
      <c r="AE19" s="28">
        <v>1.9024882002000001</v>
      </c>
      <c r="AF19" s="28">
        <v>2.5366509335999998</v>
      </c>
      <c r="AG19" s="28">
        <v>1.9024882002000001</v>
      </c>
      <c r="AH19" s="28">
        <v>2.5366509335999998</v>
      </c>
      <c r="AI19" s="28">
        <v>2.2195695669000002</v>
      </c>
      <c r="AJ19" s="28">
        <v>1.5854068335</v>
      </c>
      <c r="AK19" s="28">
        <v>2.5366509335999998</v>
      </c>
      <c r="AL19" s="28">
        <v>1.2683254667999999</v>
      </c>
      <c r="AM19" s="28">
        <v>2.5366509335999998</v>
      </c>
      <c r="AN19" s="28">
        <v>2.5366509335999998</v>
      </c>
      <c r="AO19" s="28">
        <v>2.5366509335999998</v>
      </c>
      <c r="AP19" s="28">
        <v>2.5366509335999998</v>
      </c>
      <c r="AQ19" s="28">
        <v>1.9024882002000001</v>
      </c>
      <c r="AR19" s="28">
        <v>1.5854068335</v>
      </c>
      <c r="AS19" s="28">
        <v>2.2195695669000002</v>
      </c>
      <c r="AT19" s="28">
        <v>1.9024882002000001</v>
      </c>
      <c r="AU19" s="28">
        <v>2.2195695669000002</v>
      </c>
      <c r="AV19" s="28">
        <v>2.2195695669000002</v>
      </c>
      <c r="AW19" s="28">
        <v>1.2683254667999999</v>
      </c>
      <c r="AX19" s="28">
        <v>0.95124410009999993</v>
      </c>
      <c r="AY19" s="28">
        <v>1.2683254667999999</v>
      </c>
      <c r="AZ19" s="28">
        <v>2.1095617458000002</v>
      </c>
      <c r="BA19" s="34">
        <v>103.3685255442</v>
      </c>
    </row>
    <row r="20" spans="1:53" x14ac:dyDescent="0.25">
      <c r="A20" s="24">
        <v>19</v>
      </c>
      <c r="B20" s="26">
        <v>9</v>
      </c>
      <c r="C20" s="28">
        <v>2.768575362666668</v>
      </c>
      <c r="D20" s="28">
        <v>2.768575362666668</v>
      </c>
      <c r="E20" s="28">
        <v>2.768575362666668</v>
      </c>
      <c r="F20" s="28">
        <v>2.0764315220000009</v>
      </c>
      <c r="G20" s="28">
        <v>2.768575362666668</v>
      </c>
      <c r="H20" s="28">
        <v>2.768575362666668</v>
      </c>
      <c r="I20" s="28">
        <v>2.0764315220000009</v>
      </c>
      <c r="J20" s="28">
        <v>2.4225034423333351</v>
      </c>
      <c r="K20" s="28">
        <v>2.768575362666668</v>
      </c>
      <c r="L20" s="28">
        <v>2.768575362666668</v>
      </c>
      <c r="M20" s="28">
        <v>1.384287681333334</v>
      </c>
      <c r="N20" s="28">
        <v>1.384287681333334</v>
      </c>
      <c r="O20" s="28">
        <v>2.768575362666668</v>
      </c>
      <c r="P20" s="28">
        <v>2.768575362666668</v>
      </c>
      <c r="Q20" s="28">
        <v>1.384287681333334</v>
      </c>
      <c r="R20" s="28">
        <v>1.730359601666668</v>
      </c>
      <c r="S20" s="28">
        <v>2.4225034423333351</v>
      </c>
      <c r="T20" s="28">
        <v>2.768575362666668</v>
      </c>
      <c r="U20" s="28">
        <v>2.4225034423333351</v>
      </c>
      <c r="V20" s="28">
        <v>1.038215761</v>
      </c>
      <c r="W20" s="28">
        <v>2.768575362666668</v>
      </c>
      <c r="X20" s="28">
        <v>2.768575362666668</v>
      </c>
      <c r="Y20" s="28">
        <v>2.768575362666668</v>
      </c>
      <c r="Z20" s="28">
        <v>2.768575362666668</v>
      </c>
      <c r="AA20" s="28">
        <v>1.730359601666668</v>
      </c>
      <c r="AB20" s="28">
        <v>2.768575362666668</v>
      </c>
      <c r="AC20" s="28">
        <v>2.4225034423333351</v>
      </c>
      <c r="AD20" s="28">
        <v>2.768575362666668</v>
      </c>
      <c r="AE20" s="28">
        <v>2.0764315220000009</v>
      </c>
      <c r="AF20" s="28">
        <v>2.768575362666668</v>
      </c>
      <c r="AG20" s="28">
        <v>2.0764315220000009</v>
      </c>
      <c r="AH20" s="28">
        <v>2.768575362666668</v>
      </c>
      <c r="AI20" s="28">
        <v>2.4225034423333351</v>
      </c>
      <c r="AJ20" s="28">
        <v>1.730359601666668</v>
      </c>
      <c r="AK20" s="28">
        <v>2.768575362666668</v>
      </c>
      <c r="AL20" s="28">
        <v>1.384287681333334</v>
      </c>
      <c r="AM20" s="28">
        <v>2.768575362666668</v>
      </c>
      <c r="AN20" s="28">
        <v>2.768575362666668</v>
      </c>
      <c r="AO20" s="28">
        <v>2.768575362666668</v>
      </c>
      <c r="AP20" s="28">
        <v>2.768575362666668</v>
      </c>
      <c r="AQ20" s="28">
        <v>2.0764315220000009</v>
      </c>
      <c r="AR20" s="28">
        <v>1.730359601666668</v>
      </c>
      <c r="AS20" s="28">
        <v>2.4225034423333351</v>
      </c>
      <c r="AT20" s="28">
        <v>2.0764315220000009</v>
      </c>
      <c r="AU20" s="28">
        <v>2.4225034423333351</v>
      </c>
      <c r="AV20" s="28">
        <v>2.4225034423333351</v>
      </c>
      <c r="AW20" s="28">
        <v>1.384287681333334</v>
      </c>
      <c r="AX20" s="28">
        <v>1.038215761</v>
      </c>
      <c r="AY20" s="28">
        <v>1.384287681333334</v>
      </c>
      <c r="AZ20" s="28">
        <v>2.3024376740544228</v>
      </c>
      <c r="BA20" s="34">
        <v>112.8194460286667</v>
      </c>
    </row>
    <row r="21" spans="1:53" x14ac:dyDescent="0.25">
      <c r="A21" s="24">
        <v>20</v>
      </c>
      <c r="B21" s="26">
        <v>9.5</v>
      </c>
      <c r="C21" s="28">
        <v>2.9663834061333318</v>
      </c>
      <c r="D21" s="28">
        <v>2.9663834061333318</v>
      </c>
      <c r="E21" s="28">
        <v>2.9663834061333318</v>
      </c>
      <c r="F21" s="28">
        <v>2.2247875545999989</v>
      </c>
      <c r="G21" s="28">
        <v>2.9663834061333318</v>
      </c>
      <c r="H21" s="28">
        <v>2.9663834061333318</v>
      </c>
      <c r="I21" s="28">
        <v>2.2247875545999989</v>
      </c>
      <c r="J21" s="28">
        <v>2.5955854803666649</v>
      </c>
      <c r="K21" s="28">
        <v>2.9663834061333318</v>
      </c>
      <c r="L21" s="28">
        <v>2.9663834061333318</v>
      </c>
      <c r="M21" s="28">
        <v>1.4831917030666659</v>
      </c>
      <c r="N21" s="28">
        <v>1.4831917030666659</v>
      </c>
      <c r="O21" s="28">
        <v>2.9663834061333318</v>
      </c>
      <c r="P21" s="28">
        <v>2.9663834061333318</v>
      </c>
      <c r="Q21" s="28">
        <v>1.4831917030666659</v>
      </c>
      <c r="R21" s="28">
        <v>1.853989628833332</v>
      </c>
      <c r="S21" s="28">
        <v>2.5955854803666649</v>
      </c>
      <c r="T21" s="28">
        <v>2.9663834061333318</v>
      </c>
      <c r="U21" s="28">
        <v>2.5955854803666649</v>
      </c>
      <c r="V21" s="28">
        <v>1.112393777299999</v>
      </c>
      <c r="W21" s="28">
        <v>2.9663834061333318</v>
      </c>
      <c r="X21" s="28">
        <v>2.9663834061333318</v>
      </c>
      <c r="Y21" s="28">
        <v>2.9663834061333318</v>
      </c>
      <c r="Z21" s="28">
        <v>2.9663834061333318</v>
      </c>
      <c r="AA21" s="28">
        <v>1.853989628833332</v>
      </c>
      <c r="AB21" s="28">
        <v>2.9663834061333318</v>
      </c>
      <c r="AC21" s="28">
        <v>2.5955854803666649</v>
      </c>
      <c r="AD21" s="28">
        <v>2.9663834061333318</v>
      </c>
      <c r="AE21" s="28">
        <v>2.2247875545999989</v>
      </c>
      <c r="AF21" s="28">
        <v>2.9663834061333318</v>
      </c>
      <c r="AG21" s="28">
        <v>2.2247875545999989</v>
      </c>
      <c r="AH21" s="28">
        <v>2.9663834061333318</v>
      </c>
      <c r="AI21" s="28">
        <v>2.5955854803666649</v>
      </c>
      <c r="AJ21" s="28">
        <v>1.853989628833332</v>
      </c>
      <c r="AK21" s="28">
        <v>2.9663834061333318</v>
      </c>
      <c r="AL21" s="28">
        <v>1.4831917030666659</v>
      </c>
      <c r="AM21" s="28">
        <v>2.9663834061333318</v>
      </c>
      <c r="AN21" s="28">
        <v>2.9663834061333318</v>
      </c>
      <c r="AO21" s="28">
        <v>2.9663834061333318</v>
      </c>
      <c r="AP21" s="28">
        <v>2.9663834061333318</v>
      </c>
      <c r="AQ21" s="28">
        <v>2.2247875545999989</v>
      </c>
      <c r="AR21" s="28">
        <v>1.853989628833332</v>
      </c>
      <c r="AS21" s="28">
        <v>2.5955854803666649</v>
      </c>
      <c r="AT21" s="28">
        <v>2.2247875545999989</v>
      </c>
      <c r="AU21" s="28">
        <v>2.5955854803666649</v>
      </c>
      <c r="AV21" s="28">
        <v>2.5955854803666649</v>
      </c>
      <c r="AW21" s="28">
        <v>1.4831917030666659</v>
      </c>
      <c r="AX21" s="28">
        <v>1.112393777299999</v>
      </c>
      <c r="AY21" s="28">
        <v>1.4831917030666659</v>
      </c>
      <c r="AZ21" s="28">
        <v>2.4669413020394551</v>
      </c>
      <c r="BA21" s="34">
        <v>120.8801237999333</v>
      </c>
    </row>
    <row r="22" spans="1:53" x14ac:dyDescent="0.25">
      <c r="A22" s="24">
        <v>21</v>
      </c>
      <c r="B22" s="26">
        <v>10</v>
      </c>
      <c r="C22" s="28">
        <v>3.1400089430666678</v>
      </c>
      <c r="D22" s="28">
        <v>3.1400089430666678</v>
      </c>
      <c r="E22" s="28">
        <v>3.1400089430666678</v>
      </c>
      <c r="F22" s="28">
        <v>2.3550067073000012</v>
      </c>
      <c r="G22" s="28">
        <v>3.1400089430666678</v>
      </c>
      <c r="H22" s="28">
        <v>3.1400089430666678</v>
      </c>
      <c r="I22" s="28">
        <v>2.3550067073000012</v>
      </c>
      <c r="J22" s="28">
        <v>2.7475078251833338</v>
      </c>
      <c r="K22" s="28">
        <v>3.1400089430666678</v>
      </c>
      <c r="L22" s="28">
        <v>3.1400089430666678</v>
      </c>
      <c r="M22" s="28">
        <v>1.5700044715333339</v>
      </c>
      <c r="N22" s="28">
        <v>1.5700044715333339</v>
      </c>
      <c r="O22" s="28">
        <v>3.1400089430666678</v>
      </c>
      <c r="P22" s="28">
        <v>3.1400089430666678</v>
      </c>
      <c r="Q22" s="28">
        <v>1.5700044715333339</v>
      </c>
      <c r="R22" s="28">
        <v>1.962505589416667</v>
      </c>
      <c r="S22" s="28">
        <v>2.7475078251833338</v>
      </c>
      <c r="T22" s="28">
        <v>3.1400089430666678</v>
      </c>
      <c r="U22" s="28">
        <v>2.7475078251833338</v>
      </c>
      <c r="V22" s="28">
        <v>1.1775033536499999</v>
      </c>
      <c r="W22" s="28">
        <v>3.1400089430666678</v>
      </c>
      <c r="X22" s="28">
        <v>3.1400089430666678</v>
      </c>
      <c r="Y22" s="28">
        <v>3.1400089430666678</v>
      </c>
      <c r="Z22" s="28">
        <v>3.1400089430666678</v>
      </c>
      <c r="AA22" s="28">
        <v>1.962505589416667</v>
      </c>
      <c r="AB22" s="28">
        <v>3.1400089430666678</v>
      </c>
      <c r="AC22" s="28">
        <v>2.7475078251833338</v>
      </c>
      <c r="AD22" s="28">
        <v>3.1400089430666678</v>
      </c>
      <c r="AE22" s="28">
        <v>2.3550067073000012</v>
      </c>
      <c r="AF22" s="28">
        <v>3.1400089430666678</v>
      </c>
      <c r="AG22" s="28">
        <v>2.3550067073000012</v>
      </c>
      <c r="AH22" s="28">
        <v>3.1400089430666678</v>
      </c>
      <c r="AI22" s="28">
        <v>2.7475078251833338</v>
      </c>
      <c r="AJ22" s="28">
        <v>1.962505589416667</v>
      </c>
      <c r="AK22" s="28">
        <v>3.1400089430666678</v>
      </c>
      <c r="AL22" s="28">
        <v>1.5700044715333339</v>
      </c>
      <c r="AM22" s="28">
        <v>3.1400089430666678</v>
      </c>
      <c r="AN22" s="28">
        <v>3.1400089430666678</v>
      </c>
      <c r="AO22" s="28">
        <v>3.1400089430666678</v>
      </c>
      <c r="AP22" s="28">
        <v>3.1400089430666678</v>
      </c>
      <c r="AQ22" s="28">
        <v>2.3550067073000012</v>
      </c>
      <c r="AR22" s="28">
        <v>1.962505589416667</v>
      </c>
      <c r="AS22" s="28">
        <v>2.7475078251833338</v>
      </c>
      <c r="AT22" s="28">
        <v>2.3550067073000012</v>
      </c>
      <c r="AU22" s="28">
        <v>2.7475078251833338</v>
      </c>
      <c r="AV22" s="28">
        <v>2.7475078251833338</v>
      </c>
      <c r="AW22" s="28">
        <v>1.5700044715333339</v>
      </c>
      <c r="AX22" s="28">
        <v>1.1775033536499999</v>
      </c>
      <c r="AY22" s="28">
        <v>1.5700044715333339</v>
      </c>
      <c r="AZ22" s="28">
        <v>2.6113339679585028</v>
      </c>
      <c r="BA22" s="34">
        <v>127.95536442996671</v>
      </c>
    </row>
    <row r="23" spans="1:53" x14ac:dyDescent="0.25">
      <c r="A23" s="24">
        <v>22</v>
      </c>
      <c r="B23" s="26">
        <v>10.5</v>
      </c>
      <c r="C23" s="28">
        <v>3.2833051212000002</v>
      </c>
      <c r="D23" s="28">
        <v>3.2833051212000002</v>
      </c>
      <c r="E23" s="28">
        <v>3.2833051212000002</v>
      </c>
      <c r="F23" s="28">
        <v>2.4624788408999998</v>
      </c>
      <c r="G23" s="28">
        <v>3.2833051212000002</v>
      </c>
      <c r="H23" s="28">
        <v>3.2833051212000002</v>
      </c>
      <c r="I23" s="28">
        <v>2.4624788408999998</v>
      </c>
      <c r="J23" s="28">
        <v>2.87289198105</v>
      </c>
      <c r="K23" s="28">
        <v>3.2833051212000002</v>
      </c>
      <c r="L23" s="28">
        <v>3.2833051212000002</v>
      </c>
      <c r="M23" s="28">
        <v>1.6416525606000001</v>
      </c>
      <c r="N23" s="28">
        <v>1.6416525606000001</v>
      </c>
      <c r="O23" s="28">
        <v>3.2833051212000002</v>
      </c>
      <c r="P23" s="28">
        <v>3.2833051212000002</v>
      </c>
      <c r="Q23" s="28">
        <v>1.6416525606000001</v>
      </c>
      <c r="R23" s="28">
        <v>2.0520657007500001</v>
      </c>
      <c r="S23" s="28">
        <v>2.87289198105</v>
      </c>
      <c r="T23" s="28">
        <v>3.2833051212000002</v>
      </c>
      <c r="U23" s="28">
        <v>2.87289198105</v>
      </c>
      <c r="V23" s="28">
        <v>1.2312394204499999</v>
      </c>
      <c r="W23" s="28">
        <v>3.2833051212000002</v>
      </c>
      <c r="X23" s="28">
        <v>3.2833051212000002</v>
      </c>
      <c r="Y23" s="28">
        <v>3.2833051212000002</v>
      </c>
      <c r="Z23" s="28">
        <v>3.2833051212000002</v>
      </c>
      <c r="AA23" s="28">
        <v>2.0520657007500001</v>
      </c>
      <c r="AB23" s="28">
        <v>3.2833051212000002</v>
      </c>
      <c r="AC23" s="28">
        <v>2.87289198105</v>
      </c>
      <c r="AD23" s="28">
        <v>3.2833051212000002</v>
      </c>
      <c r="AE23" s="28">
        <v>2.4624788408999998</v>
      </c>
      <c r="AF23" s="28">
        <v>3.2833051212000002</v>
      </c>
      <c r="AG23" s="28">
        <v>2.4624788408999998</v>
      </c>
      <c r="AH23" s="28">
        <v>3.2833051212000002</v>
      </c>
      <c r="AI23" s="28">
        <v>2.87289198105</v>
      </c>
      <c r="AJ23" s="28">
        <v>2.0520657007500001</v>
      </c>
      <c r="AK23" s="28">
        <v>3.2833051212000002</v>
      </c>
      <c r="AL23" s="28">
        <v>1.6416525606000001</v>
      </c>
      <c r="AM23" s="28">
        <v>3.2833051212000002</v>
      </c>
      <c r="AN23" s="28">
        <v>3.2833051212000002</v>
      </c>
      <c r="AO23" s="28">
        <v>3.2833051212000002</v>
      </c>
      <c r="AP23" s="28">
        <v>3.2833051212000002</v>
      </c>
      <c r="AQ23" s="28">
        <v>2.4624788408999998</v>
      </c>
      <c r="AR23" s="28">
        <v>2.0520657007500001</v>
      </c>
      <c r="AS23" s="28">
        <v>2.87289198105</v>
      </c>
      <c r="AT23" s="28">
        <v>2.4624788408999998</v>
      </c>
      <c r="AU23" s="28">
        <v>2.87289198105</v>
      </c>
      <c r="AV23" s="28">
        <v>2.87289198105</v>
      </c>
      <c r="AW23" s="28">
        <v>1.6416525606000001</v>
      </c>
      <c r="AX23" s="28">
        <v>1.2312394204499999</v>
      </c>
      <c r="AY23" s="28">
        <v>1.6416525606000001</v>
      </c>
      <c r="AZ23" s="28">
        <v>2.7305037487530628</v>
      </c>
      <c r="BA23" s="34">
        <v>133.79468368890011</v>
      </c>
    </row>
    <row r="24" spans="1:53" x14ac:dyDescent="0.25">
      <c r="A24" s="24">
        <v>23</v>
      </c>
      <c r="B24" s="26">
        <v>11</v>
      </c>
      <c r="C24" s="28">
        <v>3.3849779246666678</v>
      </c>
      <c r="D24" s="28">
        <v>3.3849779246666678</v>
      </c>
      <c r="E24" s="28">
        <v>3.3849779246666678</v>
      </c>
      <c r="F24" s="28">
        <v>2.5387334435000009</v>
      </c>
      <c r="G24" s="28">
        <v>3.3849779246666678</v>
      </c>
      <c r="H24" s="28">
        <v>3.3849779246666678</v>
      </c>
      <c r="I24" s="28">
        <v>2.5387334435000009</v>
      </c>
      <c r="J24" s="28">
        <v>2.9618556840833339</v>
      </c>
      <c r="K24" s="28">
        <v>3.3849779246666678</v>
      </c>
      <c r="L24" s="28">
        <v>3.3849779246666678</v>
      </c>
      <c r="M24" s="28">
        <v>1.6924889623333339</v>
      </c>
      <c r="N24" s="28">
        <v>1.6924889623333339</v>
      </c>
      <c r="O24" s="28">
        <v>3.3849779246666678</v>
      </c>
      <c r="P24" s="28">
        <v>3.3849779246666678</v>
      </c>
      <c r="Q24" s="28">
        <v>1.6924889623333339</v>
      </c>
      <c r="R24" s="28">
        <v>2.1156112029166669</v>
      </c>
      <c r="S24" s="28">
        <v>2.9618556840833339</v>
      </c>
      <c r="T24" s="28">
        <v>3.3849779246666678</v>
      </c>
      <c r="U24" s="28">
        <v>2.9618556840833339</v>
      </c>
      <c r="V24" s="28">
        <v>1.26936672175</v>
      </c>
      <c r="W24" s="28">
        <v>3.3849779246666678</v>
      </c>
      <c r="X24" s="28">
        <v>3.3849779246666678</v>
      </c>
      <c r="Y24" s="28">
        <v>3.3849779246666678</v>
      </c>
      <c r="Z24" s="28">
        <v>3.3849779246666678</v>
      </c>
      <c r="AA24" s="28">
        <v>2.1156112029166669</v>
      </c>
      <c r="AB24" s="28">
        <v>3.3849779246666678</v>
      </c>
      <c r="AC24" s="28">
        <v>2.9618556840833339</v>
      </c>
      <c r="AD24" s="28">
        <v>3.3849779246666678</v>
      </c>
      <c r="AE24" s="28">
        <v>2.5387334435000009</v>
      </c>
      <c r="AF24" s="28">
        <v>3.3849779246666678</v>
      </c>
      <c r="AG24" s="28">
        <v>2.5387334435000009</v>
      </c>
      <c r="AH24" s="28">
        <v>3.3849779246666678</v>
      </c>
      <c r="AI24" s="28">
        <v>2.9618556840833339</v>
      </c>
      <c r="AJ24" s="28">
        <v>2.1156112029166669</v>
      </c>
      <c r="AK24" s="28">
        <v>3.3849779246666678</v>
      </c>
      <c r="AL24" s="28">
        <v>1.6924889623333339</v>
      </c>
      <c r="AM24" s="28">
        <v>3.3849779246666678</v>
      </c>
      <c r="AN24" s="28">
        <v>3.3849779246666678</v>
      </c>
      <c r="AO24" s="28">
        <v>3.3849779246666678</v>
      </c>
      <c r="AP24" s="28">
        <v>3.3849779246666678</v>
      </c>
      <c r="AQ24" s="28">
        <v>2.5387334435000009</v>
      </c>
      <c r="AR24" s="28">
        <v>2.1156112029166669</v>
      </c>
      <c r="AS24" s="28">
        <v>2.9618556840833339</v>
      </c>
      <c r="AT24" s="28">
        <v>2.5387334435000009</v>
      </c>
      <c r="AU24" s="28">
        <v>2.9618556840833339</v>
      </c>
      <c r="AV24" s="28">
        <v>2.9618556840833339</v>
      </c>
      <c r="AW24" s="28">
        <v>1.6924889623333339</v>
      </c>
      <c r="AX24" s="28">
        <v>1.26936672175</v>
      </c>
      <c r="AY24" s="28">
        <v>1.6924889623333339</v>
      </c>
      <c r="AZ24" s="28">
        <v>2.8150581720442198</v>
      </c>
      <c r="BA24" s="34">
        <v>137.9378504301668</v>
      </c>
    </row>
    <row r="25" spans="1:53" x14ac:dyDescent="0.25">
      <c r="A25" s="24">
        <v>24</v>
      </c>
      <c r="B25" s="26">
        <v>11.5</v>
      </c>
      <c r="C25" s="28">
        <v>3.4295667087999999</v>
      </c>
      <c r="D25" s="28">
        <v>3.4295667087999999</v>
      </c>
      <c r="E25" s="28">
        <v>3.4295667087999999</v>
      </c>
      <c r="F25" s="28">
        <v>2.5721750316000001</v>
      </c>
      <c r="G25" s="28">
        <v>3.4295667087999999</v>
      </c>
      <c r="H25" s="28">
        <v>3.4295667087999999</v>
      </c>
      <c r="I25" s="28">
        <v>2.5721750316000001</v>
      </c>
      <c r="J25" s="28">
        <v>3.0008708702</v>
      </c>
      <c r="K25" s="28">
        <v>3.4295667087999999</v>
      </c>
      <c r="L25" s="28">
        <v>3.4295667087999999</v>
      </c>
      <c r="M25" s="28">
        <v>1.7147833544</v>
      </c>
      <c r="N25" s="28">
        <v>1.7147833544</v>
      </c>
      <c r="O25" s="28">
        <v>3.4295667087999999</v>
      </c>
      <c r="P25" s="28">
        <v>3.4295667087999999</v>
      </c>
      <c r="Q25" s="28">
        <v>1.7147833544</v>
      </c>
      <c r="R25" s="28">
        <v>2.1434791930000001</v>
      </c>
      <c r="S25" s="28">
        <v>3.0008708702</v>
      </c>
      <c r="T25" s="28">
        <v>3.4295667087999999</v>
      </c>
      <c r="U25" s="28">
        <v>3.0008708702</v>
      </c>
      <c r="V25" s="28">
        <v>1.2860875158</v>
      </c>
      <c r="W25" s="28">
        <v>3.4295667087999999</v>
      </c>
      <c r="X25" s="28">
        <v>3.4295667087999999</v>
      </c>
      <c r="Y25" s="28">
        <v>3.4295667087999999</v>
      </c>
      <c r="Z25" s="28">
        <v>3.4295667087999999</v>
      </c>
      <c r="AA25" s="28">
        <v>2.1434791930000001</v>
      </c>
      <c r="AB25" s="28">
        <v>3.4295667087999999</v>
      </c>
      <c r="AC25" s="28">
        <v>3.0008708702</v>
      </c>
      <c r="AD25" s="28">
        <v>3.4295667087999999</v>
      </c>
      <c r="AE25" s="28">
        <v>2.5721750316000001</v>
      </c>
      <c r="AF25" s="28">
        <v>3.4295667087999999</v>
      </c>
      <c r="AG25" s="28">
        <v>2.5721750316000001</v>
      </c>
      <c r="AH25" s="28">
        <v>3.4295667087999999</v>
      </c>
      <c r="AI25" s="28">
        <v>3.0008708702</v>
      </c>
      <c r="AJ25" s="28">
        <v>2.1434791930000001</v>
      </c>
      <c r="AK25" s="28">
        <v>3.4295667087999999</v>
      </c>
      <c r="AL25" s="28">
        <v>1.7147833544</v>
      </c>
      <c r="AM25" s="28">
        <v>3.4295667087999999</v>
      </c>
      <c r="AN25" s="28">
        <v>3.4295667087999999</v>
      </c>
      <c r="AO25" s="28">
        <v>3.4295667087999999</v>
      </c>
      <c r="AP25" s="28">
        <v>3.4295667087999999</v>
      </c>
      <c r="AQ25" s="28">
        <v>2.5721750316000001</v>
      </c>
      <c r="AR25" s="28">
        <v>2.1434791930000001</v>
      </c>
      <c r="AS25" s="28">
        <v>3.0008708702</v>
      </c>
      <c r="AT25" s="28">
        <v>2.5721750316000001</v>
      </c>
      <c r="AU25" s="28">
        <v>3.0008708702</v>
      </c>
      <c r="AV25" s="28">
        <v>3.0008708702</v>
      </c>
      <c r="AW25" s="28">
        <v>1.7147833544</v>
      </c>
      <c r="AX25" s="28">
        <v>1.2860875158</v>
      </c>
      <c r="AY25" s="28">
        <v>1.7147833544</v>
      </c>
      <c r="AZ25" s="28">
        <v>2.852139660889796</v>
      </c>
      <c r="BA25" s="34">
        <v>139.75484338359999</v>
      </c>
    </row>
    <row r="26" spans="1:53" x14ac:dyDescent="0.25">
      <c r="A26" s="24">
        <v>25</v>
      </c>
      <c r="B26" s="26">
        <v>12</v>
      </c>
      <c r="C26" s="28">
        <v>3.442481329066668</v>
      </c>
      <c r="D26" s="28">
        <v>3.442481329066668</v>
      </c>
      <c r="E26" s="28">
        <v>3.442481329066668</v>
      </c>
      <c r="F26" s="28">
        <v>2.581860996800001</v>
      </c>
      <c r="G26" s="28">
        <v>3.442481329066668</v>
      </c>
      <c r="H26" s="28">
        <v>3.442481329066668</v>
      </c>
      <c r="I26" s="28">
        <v>2.581860996800001</v>
      </c>
      <c r="J26" s="28">
        <v>3.0121711629333352</v>
      </c>
      <c r="K26" s="28">
        <v>3.442481329066668</v>
      </c>
      <c r="L26" s="28">
        <v>3.442481329066668</v>
      </c>
      <c r="M26" s="28">
        <v>1.721240664533334</v>
      </c>
      <c r="N26" s="28">
        <v>1.721240664533334</v>
      </c>
      <c r="O26" s="28">
        <v>3.442481329066668</v>
      </c>
      <c r="P26" s="28">
        <v>3.442481329066668</v>
      </c>
      <c r="Q26" s="28">
        <v>1.721240664533334</v>
      </c>
      <c r="R26" s="28">
        <v>2.1515508306666669</v>
      </c>
      <c r="S26" s="28">
        <v>3.0121711629333352</v>
      </c>
      <c r="T26" s="28">
        <v>3.442481329066668</v>
      </c>
      <c r="U26" s="28">
        <v>3.0121711629333352</v>
      </c>
      <c r="V26" s="28">
        <v>1.290930498400001</v>
      </c>
      <c r="W26" s="28">
        <v>3.442481329066668</v>
      </c>
      <c r="X26" s="28">
        <v>3.442481329066668</v>
      </c>
      <c r="Y26" s="28">
        <v>3.442481329066668</v>
      </c>
      <c r="Z26" s="28">
        <v>3.442481329066668</v>
      </c>
      <c r="AA26" s="28">
        <v>2.1515508306666669</v>
      </c>
      <c r="AB26" s="28">
        <v>3.442481329066668</v>
      </c>
      <c r="AC26" s="28">
        <v>3.0121711629333352</v>
      </c>
      <c r="AD26" s="28">
        <v>3.442481329066668</v>
      </c>
      <c r="AE26" s="28">
        <v>2.581860996800001</v>
      </c>
      <c r="AF26" s="28">
        <v>3.442481329066668</v>
      </c>
      <c r="AG26" s="28">
        <v>2.581860996800001</v>
      </c>
      <c r="AH26" s="28">
        <v>3.442481329066668</v>
      </c>
      <c r="AI26" s="28">
        <v>3.0121711629333352</v>
      </c>
      <c r="AJ26" s="28">
        <v>2.1515508306666669</v>
      </c>
      <c r="AK26" s="28">
        <v>3.442481329066668</v>
      </c>
      <c r="AL26" s="28">
        <v>1.721240664533334</v>
      </c>
      <c r="AM26" s="28">
        <v>3.442481329066668</v>
      </c>
      <c r="AN26" s="28">
        <v>3.442481329066668</v>
      </c>
      <c r="AO26" s="28">
        <v>3.442481329066668</v>
      </c>
      <c r="AP26" s="28">
        <v>3.442481329066668</v>
      </c>
      <c r="AQ26" s="28">
        <v>2.581860996800001</v>
      </c>
      <c r="AR26" s="28">
        <v>2.1515508306666669</v>
      </c>
      <c r="AS26" s="28">
        <v>3.0121711629333352</v>
      </c>
      <c r="AT26" s="28">
        <v>2.581860996800001</v>
      </c>
      <c r="AU26" s="28">
        <v>3.0121711629333352</v>
      </c>
      <c r="AV26" s="28">
        <v>3.0121711629333352</v>
      </c>
      <c r="AW26" s="28">
        <v>1.721240664533334</v>
      </c>
      <c r="AX26" s="28">
        <v>1.290930498400001</v>
      </c>
      <c r="AY26" s="28">
        <v>1.721240664533334</v>
      </c>
      <c r="AZ26" s="28">
        <v>2.8628798808054419</v>
      </c>
      <c r="BA26" s="34">
        <v>140.28111415946671</v>
      </c>
    </row>
    <row r="27" spans="1:53" x14ac:dyDescent="0.25">
      <c r="A27" s="24">
        <v>26</v>
      </c>
      <c r="B27" s="26">
        <v>12.5</v>
      </c>
      <c r="C27" s="28">
        <v>3.4183216719999998</v>
      </c>
      <c r="D27" s="28">
        <v>3.4183216719999998</v>
      </c>
      <c r="E27" s="28">
        <v>3.4183216719999998</v>
      </c>
      <c r="F27" s="28">
        <v>2.563741254</v>
      </c>
      <c r="G27" s="28">
        <v>3.4183216719999998</v>
      </c>
      <c r="H27" s="28">
        <v>3.4183216719999998</v>
      </c>
      <c r="I27" s="28">
        <v>2.563741254</v>
      </c>
      <c r="J27" s="28">
        <v>2.9910314630000001</v>
      </c>
      <c r="K27" s="28">
        <v>3.4183216719999998</v>
      </c>
      <c r="L27" s="28">
        <v>3.4183216719999998</v>
      </c>
      <c r="M27" s="28">
        <v>1.7091608359999999</v>
      </c>
      <c r="N27" s="28">
        <v>1.7091608359999999</v>
      </c>
      <c r="O27" s="28">
        <v>3.4183216719999998</v>
      </c>
      <c r="P27" s="28">
        <v>3.4183216719999998</v>
      </c>
      <c r="Q27" s="28">
        <v>1.7091608359999999</v>
      </c>
      <c r="R27" s="28">
        <v>2.1364510449999998</v>
      </c>
      <c r="S27" s="28">
        <v>2.9910314630000001</v>
      </c>
      <c r="T27" s="28">
        <v>3.4183216719999998</v>
      </c>
      <c r="U27" s="28">
        <v>2.9910314630000001</v>
      </c>
      <c r="V27" s="28">
        <v>1.281870627</v>
      </c>
      <c r="W27" s="28">
        <v>3.4183216719999998</v>
      </c>
      <c r="X27" s="28">
        <v>3.4183216719999998</v>
      </c>
      <c r="Y27" s="28">
        <v>3.4183216719999998</v>
      </c>
      <c r="Z27" s="28">
        <v>3.4183216719999998</v>
      </c>
      <c r="AA27" s="28">
        <v>2.1364510449999998</v>
      </c>
      <c r="AB27" s="28">
        <v>3.4183216719999998</v>
      </c>
      <c r="AC27" s="28">
        <v>2.9910314630000001</v>
      </c>
      <c r="AD27" s="28">
        <v>3.4183216719999998</v>
      </c>
      <c r="AE27" s="28">
        <v>2.563741254</v>
      </c>
      <c r="AF27" s="28">
        <v>3.4183216719999998</v>
      </c>
      <c r="AG27" s="28">
        <v>2.563741254</v>
      </c>
      <c r="AH27" s="28">
        <v>3.4183216719999998</v>
      </c>
      <c r="AI27" s="28">
        <v>2.9910314630000001</v>
      </c>
      <c r="AJ27" s="28">
        <v>2.1364510449999998</v>
      </c>
      <c r="AK27" s="28">
        <v>3.4183216719999998</v>
      </c>
      <c r="AL27" s="28">
        <v>1.7091608359999999</v>
      </c>
      <c r="AM27" s="28">
        <v>3.4183216719999998</v>
      </c>
      <c r="AN27" s="28">
        <v>3.4183216719999998</v>
      </c>
      <c r="AO27" s="28">
        <v>3.4183216719999998</v>
      </c>
      <c r="AP27" s="28">
        <v>3.4183216719999998</v>
      </c>
      <c r="AQ27" s="28">
        <v>2.563741254</v>
      </c>
      <c r="AR27" s="28">
        <v>2.1364510449999998</v>
      </c>
      <c r="AS27" s="28">
        <v>2.9910314630000001</v>
      </c>
      <c r="AT27" s="28">
        <v>2.563741254</v>
      </c>
      <c r="AU27" s="28">
        <v>2.9910314630000001</v>
      </c>
      <c r="AV27" s="28">
        <v>2.9910314630000001</v>
      </c>
      <c r="AW27" s="28">
        <v>1.7091608359999999</v>
      </c>
      <c r="AX27" s="28">
        <v>1.281870627</v>
      </c>
      <c r="AY27" s="28">
        <v>1.7091608359999999</v>
      </c>
      <c r="AZ27" s="28">
        <v>2.8427879211020408</v>
      </c>
      <c r="BA27" s="34">
        <v>139.296608134</v>
      </c>
    </row>
    <row r="28" spans="1:53" x14ac:dyDescent="0.25">
      <c r="A28" s="24">
        <v>27</v>
      </c>
      <c r="B28" s="26">
        <v>13</v>
      </c>
      <c r="C28" s="28">
        <v>3.337158482</v>
      </c>
      <c r="D28" s="28">
        <v>3.337158482</v>
      </c>
      <c r="E28" s="28">
        <v>3.337158482</v>
      </c>
      <c r="F28" s="28">
        <v>2.5028688615000001</v>
      </c>
      <c r="G28" s="28">
        <v>3.337158482</v>
      </c>
      <c r="H28" s="28">
        <v>3.337158482</v>
      </c>
      <c r="I28" s="28">
        <v>2.5028688615000001</v>
      </c>
      <c r="J28" s="28">
        <v>2.92001367175</v>
      </c>
      <c r="K28" s="28">
        <v>3.337158482</v>
      </c>
      <c r="L28" s="28">
        <v>3.337158482</v>
      </c>
      <c r="M28" s="28">
        <v>1.668579241</v>
      </c>
      <c r="N28" s="28">
        <v>1.668579241</v>
      </c>
      <c r="O28" s="28">
        <v>3.337158482</v>
      </c>
      <c r="P28" s="28">
        <v>3.337158482</v>
      </c>
      <c r="Q28" s="28">
        <v>1.668579241</v>
      </c>
      <c r="R28" s="28">
        <v>2.0857240512500002</v>
      </c>
      <c r="S28" s="28">
        <v>2.92001367175</v>
      </c>
      <c r="T28" s="28">
        <v>3.337158482</v>
      </c>
      <c r="U28" s="28">
        <v>2.92001367175</v>
      </c>
      <c r="V28" s="28">
        <v>1.25143443075</v>
      </c>
      <c r="W28" s="28">
        <v>3.337158482</v>
      </c>
      <c r="X28" s="28">
        <v>3.337158482</v>
      </c>
      <c r="Y28" s="28">
        <v>3.337158482</v>
      </c>
      <c r="Z28" s="28">
        <v>3.337158482</v>
      </c>
      <c r="AA28" s="28">
        <v>2.0857240512500002</v>
      </c>
      <c r="AB28" s="28">
        <v>3.337158482</v>
      </c>
      <c r="AC28" s="28">
        <v>2.92001367175</v>
      </c>
      <c r="AD28" s="28">
        <v>3.337158482</v>
      </c>
      <c r="AE28" s="28">
        <v>2.5028688615000001</v>
      </c>
      <c r="AF28" s="28">
        <v>3.337158482</v>
      </c>
      <c r="AG28" s="28">
        <v>2.5028688615000001</v>
      </c>
      <c r="AH28" s="28">
        <v>3.337158482</v>
      </c>
      <c r="AI28" s="28">
        <v>2.92001367175</v>
      </c>
      <c r="AJ28" s="28">
        <v>2.0857240512500002</v>
      </c>
      <c r="AK28" s="28">
        <v>3.337158482</v>
      </c>
      <c r="AL28" s="28">
        <v>1.668579241</v>
      </c>
      <c r="AM28" s="28">
        <v>3.337158482</v>
      </c>
      <c r="AN28" s="28">
        <v>3.337158482</v>
      </c>
      <c r="AO28" s="28">
        <v>3.337158482</v>
      </c>
      <c r="AP28" s="28">
        <v>3.337158482</v>
      </c>
      <c r="AQ28" s="28">
        <v>2.5028688615000001</v>
      </c>
      <c r="AR28" s="28">
        <v>2.0857240512500002</v>
      </c>
      <c r="AS28" s="28">
        <v>2.92001367175</v>
      </c>
      <c r="AT28" s="28">
        <v>2.5028688615000001</v>
      </c>
      <c r="AU28" s="28">
        <v>2.92001367175</v>
      </c>
      <c r="AV28" s="28">
        <v>2.92001367175</v>
      </c>
      <c r="AW28" s="28">
        <v>1.668579241</v>
      </c>
      <c r="AX28" s="28">
        <v>1.25143443075</v>
      </c>
      <c r="AY28" s="28">
        <v>1.668579241</v>
      </c>
      <c r="AZ28" s="28">
        <v>2.7752899620714309</v>
      </c>
      <c r="BA28" s="34">
        <v>135.98920814150009</v>
      </c>
    </row>
    <row r="29" spans="1:53" x14ac:dyDescent="0.25">
      <c r="A29" s="24">
        <v>28</v>
      </c>
      <c r="B29" s="26">
        <v>13.5</v>
      </c>
      <c r="C29" s="28">
        <v>3.2133343274666681</v>
      </c>
      <c r="D29" s="28">
        <v>3.2133343274666681</v>
      </c>
      <c r="E29" s="28">
        <v>3.2133343274666681</v>
      </c>
      <c r="F29" s="28">
        <v>2.410000745600001</v>
      </c>
      <c r="G29" s="28">
        <v>3.2133343274666681</v>
      </c>
      <c r="H29" s="28">
        <v>3.2133343274666681</v>
      </c>
      <c r="I29" s="28">
        <v>2.410000745600001</v>
      </c>
      <c r="J29" s="28">
        <v>2.811667536533335</v>
      </c>
      <c r="K29" s="28">
        <v>3.2133343274666681</v>
      </c>
      <c r="L29" s="28">
        <v>3.2133343274666681</v>
      </c>
      <c r="M29" s="28">
        <v>1.6066671637333341</v>
      </c>
      <c r="N29" s="28">
        <v>1.6066671637333341</v>
      </c>
      <c r="O29" s="28">
        <v>3.2133343274666681</v>
      </c>
      <c r="P29" s="28">
        <v>3.2133343274666681</v>
      </c>
      <c r="Q29" s="28">
        <v>1.6066671637333341</v>
      </c>
      <c r="R29" s="28">
        <v>2.008333954666667</v>
      </c>
      <c r="S29" s="28">
        <v>2.811667536533335</v>
      </c>
      <c r="T29" s="28">
        <v>3.2133343274666681</v>
      </c>
      <c r="U29" s="28">
        <v>2.811667536533335</v>
      </c>
      <c r="V29" s="28">
        <v>1.2050003728000001</v>
      </c>
      <c r="W29" s="28">
        <v>3.2133343274666681</v>
      </c>
      <c r="X29" s="28">
        <v>3.2133343274666681</v>
      </c>
      <c r="Y29" s="28">
        <v>3.2133343274666681</v>
      </c>
      <c r="Z29" s="28">
        <v>3.2133343274666681</v>
      </c>
      <c r="AA29" s="28">
        <v>2.008333954666667</v>
      </c>
      <c r="AB29" s="28">
        <v>3.2133343274666681</v>
      </c>
      <c r="AC29" s="28">
        <v>2.811667536533335</v>
      </c>
      <c r="AD29" s="28">
        <v>3.2133343274666681</v>
      </c>
      <c r="AE29" s="28">
        <v>2.410000745600001</v>
      </c>
      <c r="AF29" s="28">
        <v>3.2133343274666681</v>
      </c>
      <c r="AG29" s="28">
        <v>2.410000745600001</v>
      </c>
      <c r="AH29" s="28">
        <v>3.2133343274666681</v>
      </c>
      <c r="AI29" s="28">
        <v>2.811667536533335</v>
      </c>
      <c r="AJ29" s="28">
        <v>2.008333954666667</v>
      </c>
      <c r="AK29" s="28">
        <v>3.2133343274666681</v>
      </c>
      <c r="AL29" s="28">
        <v>1.6066671637333341</v>
      </c>
      <c r="AM29" s="28">
        <v>3.2133343274666681</v>
      </c>
      <c r="AN29" s="28">
        <v>3.2133343274666681</v>
      </c>
      <c r="AO29" s="28">
        <v>3.2133343274666681</v>
      </c>
      <c r="AP29" s="28">
        <v>3.2133343274666681</v>
      </c>
      <c r="AQ29" s="28">
        <v>2.410000745600001</v>
      </c>
      <c r="AR29" s="28">
        <v>2.008333954666667</v>
      </c>
      <c r="AS29" s="28">
        <v>2.811667536533335</v>
      </c>
      <c r="AT29" s="28">
        <v>2.410000745600001</v>
      </c>
      <c r="AU29" s="28">
        <v>2.811667536533335</v>
      </c>
      <c r="AV29" s="28">
        <v>2.811667536533335</v>
      </c>
      <c r="AW29" s="28">
        <v>1.6066671637333341</v>
      </c>
      <c r="AX29" s="28">
        <v>1.2050003728000001</v>
      </c>
      <c r="AY29" s="28">
        <v>1.6066671637333341</v>
      </c>
      <c r="AZ29" s="28">
        <v>2.6723137519238112</v>
      </c>
      <c r="BA29" s="34">
        <v>130.94337384426669</v>
      </c>
    </row>
    <row r="30" spans="1:53" x14ac:dyDescent="0.25">
      <c r="A30" s="24">
        <v>29</v>
      </c>
      <c r="B30" s="26">
        <v>14</v>
      </c>
      <c r="C30" s="28">
        <v>3.0655078931999999</v>
      </c>
      <c r="D30" s="28">
        <v>3.0655078931999999</v>
      </c>
      <c r="E30" s="28">
        <v>3.0655078931999999</v>
      </c>
      <c r="F30" s="28">
        <v>2.2991309199000001</v>
      </c>
      <c r="G30" s="28">
        <v>3.0655078931999999</v>
      </c>
      <c r="H30" s="28">
        <v>3.0655078931999999</v>
      </c>
      <c r="I30" s="28">
        <v>2.2991309199000001</v>
      </c>
      <c r="J30" s="28">
        <v>2.68231940655</v>
      </c>
      <c r="K30" s="28">
        <v>3.0655078931999999</v>
      </c>
      <c r="L30" s="28">
        <v>3.0655078931999999</v>
      </c>
      <c r="M30" s="28">
        <v>1.5327539466</v>
      </c>
      <c r="N30" s="28">
        <v>1.5327539466</v>
      </c>
      <c r="O30" s="28">
        <v>3.0655078931999999</v>
      </c>
      <c r="P30" s="28">
        <v>3.0655078931999999</v>
      </c>
      <c r="Q30" s="28">
        <v>1.5327539466</v>
      </c>
      <c r="R30" s="28">
        <v>1.9159424332499999</v>
      </c>
      <c r="S30" s="28">
        <v>2.68231940655</v>
      </c>
      <c r="T30" s="28">
        <v>3.0655078931999999</v>
      </c>
      <c r="U30" s="28">
        <v>2.68231940655</v>
      </c>
      <c r="V30" s="28">
        <v>1.14956545995</v>
      </c>
      <c r="W30" s="28">
        <v>3.0655078931999999</v>
      </c>
      <c r="X30" s="28">
        <v>3.0655078931999999</v>
      </c>
      <c r="Y30" s="28">
        <v>3.0655078931999999</v>
      </c>
      <c r="Z30" s="28">
        <v>3.0655078931999999</v>
      </c>
      <c r="AA30" s="28">
        <v>1.9159424332499999</v>
      </c>
      <c r="AB30" s="28">
        <v>3.0655078931999999</v>
      </c>
      <c r="AC30" s="28">
        <v>2.68231940655</v>
      </c>
      <c r="AD30" s="28">
        <v>3.0655078931999999</v>
      </c>
      <c r="AE30" s="28">
        <v>2.2991309199000001</v>
      </c>
      <c r="AF30" s="28">
        <v>3.0655078931999999</v>
      </c>
      <c r="AG30" s="28">
        <v>2.2991309199000001</v>
      </c>
      <c r="AH30" s="28">
        <v>3.0655078931999999</v>
      </c>
      <c r="AI30" s="28">
        <v>2.68231940655</v>
      </c>
      <c r="AJ30" s="28">
        <v>1.9159424332499999</v>
      </c>
      <c r="AK30" s="28">
        <v>3.0655078931999999</v>
      </c>
      <c r="AL30" s="28">
        <v>1.5327539466</v>
      </c>
      <c r="AM30" s="28">
        <v>3.0655078931999999</v>
      </c>
      <c r="AN30" s="28">
        <v>3.0655078931999999</v>
      </c>
      <c r="AO30" s="28">
        <v>3.0655078931999999</v>
      </c>
      <c r="AP30" s="28">
        <v>3.0655078931999999</v>
      </c>
      <c r="AQ30" s="28">
        <v>2.2991309199000001</v>
      </c>
      <c r="AR30" s="28">
        <v>1.9159424332499999</v>
      </c>
      <c r="AS30" s="28">
        <v>2.68231940655</v>
      </c>
      <c r="AT30" s="28">
        <v>2.2991309199000001</v>
      </c>
      <c r="AU30" s="28">
        <v>2.68231940655</v>
      </c>
      <c r="AV30" s="28">
        <v>2.68231940655</v>
      </c>
      <c r="AW30" s="28">
        <v>1.5327539466</v>
      </c>
      <c r="AX30" s="28">
        <v>1.14956545995</v>
      </c>
      <c r="AY30" s="28">
        <v>1.5327539466</v>
      </c>
      <c r="AZ30" s="28">
        <v>2.5493764622020398</v>
      </c>
      <c r="BA30" s="34">
        <v>124.9194466479</v>
      </c>
    </row>
    <row r="31" spans="1:53" x14ac:dyDescent="0.25">
      <c r="A31" s="24">
        <v>30</v>
      </c>
      <c r="B31" s="26">
        <v>14.5</v>
      </c>
      <c r="C31" s="28">
        <v>2.8781901730666681</v>
      </c>
      <c r="D31" s="28">
        <v>2.8781901730666681</v>
      </c>
      <c r="E31" s="28">
        <v>2.8781901730666681</v>
      </c>
      <c r="F31" s="28">
        <v>2.158642629800001</v>
      </c>
      <c r="G31" s="28">
        <v>2.8781901730666681</v>
      </c>
      <c r="H31" s="28">
        <v>2.8781901730666681</v>
      </c>
      <c r="I31" s="28">
        <v>2.158642629800001</v>
      </c>
      <c r="J31" s="28">
        <v>2.5184164014333348</v>
      </c>
      <c r="K31" s="28">
        <v>2.8781901730666681</v>
      </c>
      <c r="L31" s="28">
        <v>2.8781901730666681</v>
      </c>
      <c r="M31" s="28">
        <v>1.4390950865333341</v>
      </c>
      <c r="N31" s="28">
        <v>1.4390950865333341</v>
      </c>
      <c r="O31" s="28">
        <v>2.8781901730666681</v>
      </c>
      <c r="P31" s="28">
        <v>2.8781901730666681</v>
      </c>
      <c r="Q31" s="28">
        <v>1.4390950865333341</v>
      </c>
      <c r="R31" s="28">
        <v>1.7988688581666681</v>
      </c>
      <c r="S31" s="28">
        <v>2.5184164014333348</v>
      </c>
      <c r="T31" s="28">
        <v>2.8781901730666681</v>
      </c>
      <c r="U31" s="28">
        <v>2.5184164014333348</v>
      </c>
      <c r="V31" s="28">
        <v>1.0793213149000001</v>
      </c>
      <c r="W31" s="28">
        <v>2.8781901730666681</v>
      </c>
      <c r="X31" s="28">
        <v>2.8781901730666681</v>
      </c>
      <c r="Y31" s="28">
        <v>2.8781901730666681</v>
      </c>
      <c r="Z31" s="28">
        <v>2.8781901730666681</v>
      </c>
      <c r="AA31" s="28">
        <v>1.7988688581666681</v>
      </c>
      <c r="AB31" s="28">
        <v>2.8781901730666681</v>
      </c>
      <c r="AC31" s="28">
        <v>2.5184164014333348</v>
      </c>
      <c r="AD31" s="28">
        <v>2.8781901730666681</v>
      </c>
      <c r="AE31" s="28">
        <v>2.158642629800001</v>
      </c>
      <c r="AF31" s="28">
        <v>2.8781901730666681</v>
      </c>
      <c r="AG31" s="28">
        <v>2.158642629800001</v>
      </c>
      <c r="AH31" s="28">
        <v>2.8781901730666681</v>
      </c>
      <c r="AI31" s="28">
        <v>2.5184164014333348</v>
      </c>
      <c r="AJ31" s="28">
        <v>1.7988688581666681</v>
      </c>
      <c r="AK31" s="28">
        <v>2.8781901730666681</v>
      </c>
      <c r="AL31" s="28">
        <v>1.4390950865333341</v>
      </c>
      <c r="AM31" s="28">
        <v>2.8781901730666681</v>
      </c>
      <c r="AN31" s="28">
        <v>2.8781901730666681</v>
      </c>
      <c r="AO31" s="28">
        <v>2.8781901730666681</v>
      </c>
      <c r="AP31" s="28">
        <v>2.8781901730666681</v>
      </c>
      <c r="AQ31" s="28">
        <v>2.158642629800001</v>
      </c>
      <c r="AR31" s="28">
        <v>1.7988688581666681</v>
      </c>
      <c r="AS31" s="28">
        <v>2.5184164014333348</v>
      </c>
      <c r="AT31" s="28">
        <v>2.158642629800001</v>
      </c>
      <c r="AU31" s="28">
        <v>2.5184164014333348</v>
      </c>
      <c r="AV31" s="28">
        <v>2.5184164014333348</v>
      </c>
      <c r="AW31" s="28">
        <v>1.4390950865333341</v>
      </c>
      <c r="AX31" s="28">
        <v>1.0793213149000001</v>
      </c>
      <c r="AY31" s="28">
        <v>1.4390950865333341</v>
      </c>
      <c r="AZ31" s="28">
        <v>2.3935969296421788</v>
      </c>
      <c r="BA31" s="34">
        <v>117.2862495524668</v>
      </c>
    </row>
    <row r="32" spans="1:53" x14ac:dyDescent="0.25">
      <c r="A32" s="24">
        <v>31</v>
      </c>
      <c r="B32" s="26">
        <v>15</v>
      </c>
      <c r="C32" s="28">
        <v>2.6791284948</v>
      </c>
      <c r="D32" s="28">
        <v>2.6791284948</v>
      </c>
      <c r="E32" s="28">
        <v>2.6791284948</v>
      </c>
      <c r="F32" s="28">
        <v>2.0093463710999999</v>
      </c>
      <c r="G32" s="28">
        <v>2.6791284948</v>
      </c>
      <c r="H32" s="28">
        <v>2.6791284948</v>
      </c>
      <c r="I32" s="28">
        <v>2.0093463710999999</v>
      </c>
      <c r="J32" s="28">
        <v>2.34423743295</v>
      </c>
      <c r="K32" s="28">
        <v>2.6791284948</v>
      </c>
      <c r="L32" s="28">
        <v>2.6791284948</v>
      </c>
      <c r="M32" s="28">
        <v>1.3395642474</v>
      </c>
      <c r="N32" s="28">
        <v>1.3395642474</v>
      </c>
      <c r="O32" s="28">
        <v>2.6791284948</v>
      </c>
      <c r="P32" s="28">
        <v>2.6791284948</v>
      </c>
      <c r="Q32" s="28">
        <v>1.3395642474</v>
      </c>
      <c r="R32" s="28">
        <v>1.6744553092500001</v>
      </c>
      <c r="S32" s="28">
        <v>2.34423743295</v>
      </c>
      <c r="T32" s="28">
        <v>2.6791284948</v>
      </c>
      <c r="U32" s="28">
        <v>2.34423743295</v>
      </c>
      <c r="V32" s="28">
        <v>1.00467318555</v>
      </c>
      <c r="W32" s="28">
        <v>2.6791284948</v>
      </c>
      <c r="X32" s="28">
        <v>2.6791284948</v>
      </c>
      <c r="Y32" s="28">
        <v>2.6791284948</v>
      </c>
      <c r="Z32" s="28">
        <v>2.6791284948</v>
      </c>
      <c r="AA32" s="28">
        <v>1.6744553092500001</v>
      </c>
      <c r="AB32" s="28">
        <v>2.6791284948</v>
      </c>
      <c r="AC32" s="28">
        <v>2.34423743295</v>
      </c>
      <c r="AD32" s="28">
        <v>2.6791284948</v>
      </c>
      <c r="AE32" s="28">
        <v>2.0093463710999999</v>
      </c>
      <c r="AF32" s="28">
        <v>2.6791284948</v>
      </c>
      <c r="AG32" s="28">
        <v>2.0093463710999999</v>
      </c>
      <c r="AH32" s="28">
        <v>2.6791284948</v>
      </c>
      <c r="AI32" s="28">
        <v>2.34423743295</v>
      </c>
      <c r="AJ32" s="28">
        <v>1.6744553092500001</v>
      </c>
      <c r="AK32" s="28">
        <v>2.6791284948</v>
      </c>
      <c r="AL32" s="28">
        <v>1.3395642474</v>
      </c>
      <c r="AM32" s="28">
        <v>2.6791284948</v>
      </c>
      <c r="AN32" s="28">
        <v>2.6791284948</v>
      </c>
      <c r="AO32" s="28">
        <v>2.6791284948</v>
      </c>
      <c r="AP32" s="28">
        <v>2.6791284948</v>
      </c>
      <c r="AQ32" s="28">
        <v>2.0093463710999999</v>
      </c>
      <c r="AR32" s="28">
        <v>1.6744553092500001</v>
      </c>
      <c r="AS32" s="28">
        <v>2.34423743295</v>
      </c>
      <c r="AT32" s="28">
        <v>2.0093463710999999</v>
      </c>
      <c r="AU32" s="28">
        <v>2.34423743295</v>
      </c>
      <c r="AV32" s="28">
        <v>2.34423743295</v>
      </c>
      <c r="AW32" s="28">
        <v>1.3395642474</v>
      </c>
      <c r="AX32" s="28">
        <v>1.00467318555</v>
      </c>
      <c r="AY32" s="28">
        <v>1.3395642474</v>
      </c>
      <c r="AZ32" s="28">
        <v>2.2280507380224481</v>
      </c>
      <c r="BA32" s="34">
        <v>109.1744861631</v>
      </c>
    </row>
    <row r="33" spans="1:53" x14ac:dyDescent="0.25">
      <c r="A33" s="24">
        <v>32</v>
      </c>
      <c r="B33" s="26">
        <v>15.5</v>
      </c>
      <c r="C33" s="28">
        <v>2.4395838538666679</v>
      </c>
      <c r="D33" s="28">
        <v>2.4395838538666679</v>
      </c>
      <c r="E33" s="28">
        <v>2.4395838538666679</v>
      </c>
      <c r="F33" s="28">
        <v>1.8296878904000009</v>
      </c>
      <c r="G33" s="28">
        <v>2.4395838538666679</v>
      </c>
      <c r="H33" s="28">
        <v>2.4395838538666679</v>
      </c>
      <c r="I33" s="28">
        <v>1.8296878904000009</v>
      </c>
      <c r="J33" s="28">
        <v>2.1346358721333338</v>
      </c>
      <c r="K33" s="28">
        <v>2.4395838538666679</v>
      </c>
      <c r="L33" s="28">
        <v>2.4395838538666679</v>
      </c>
      <c r="M33" s="28">
        <v>1.2197919269333339</v>
      </c>
      <c r="N33" s="28">
        <v>1.2197919269333339</v>
      </c>
      <c r="O33" s="28">
        <v>2.4395838538666679</v>
      </c>
      <c r="P33" s="28">
        <v>2.4395838538666679</v>
      </c>
      <c r="Q33" s="28">
        <v>1.2197919269333339</v>
      </c>
      <c r="R33" s="28">
        <v>1.524739908666668</v>
      </c>
      <c r="S33" s="28">
        <v>2.1346358721333338</v>
      </c>
      <c r="T33" s="28">
        <v>2.4395838538666679</v>
      </c>
      <c r="U33" s="28">
        <v>2.1346358721333338</v>
      </c>
      <c r="V33" s="28">
        <v>0.91484394520000045</v>
      </c>
      <c r="W33" s="28">
        <v>2.4395838538666679</v>
      </c>
      <c r="X33" s="28">
        <v>2.4395838538666679</v>
      </c>
      <c r="Y33" s="28">
        <v>2.4395838538666679</v>
      </c>
      <c r="Z33" s="28">
        <v>2.4395838538666679</v>
      </c>
      <c r="AA33" s="28">
        <v>1.524739908666668</v>
      </c>
      <c r="AB33" s="28">
        <v>2.4395838538666679</v>
      </c>
      <c r="AC33" s="28">
        <v>2.1346358721333338</v>
      </c>
      <c r="AD33" s="28">
        <v>2.4395838538666679</v>
      </c>
      <c r="AE33" s="28">
        <v>1.8296878904000009</v>
      </c>
      <c r="AF33" s="28">
        <v>2.4395838538666679</v>
      </c>
      <c r="AG33" s="28">
        <v>1.8296878904000009</v>
      </c>
      <c r="AH33" s="28">
        <v>2.4395838538666679</v>
      </c>
      <c r="AI33" s="28">
        <v>2.1346358721333338</v>
      </c>
      <c r="AJ33" s="28">
        <v>1.524739908666668</v>
      </c>
      <c r="AK33" s="28">
        <v>2.4395838538666679</v>
      </c>
      <c r="AL33" s="28">
        <v>1.2197919269333339</v>
      </c>
      <c r="AM33" s="28">
        <v>2.4395838538666679</v>
      </c>
      <c r="AN33" s="28">
        <v>2.4395838538666679</v>
      </c>
      <c r="AO33" s="28">
        <v>2.4395838538666679</v>
      </c>
      <c r="AP33" s="28">
        <v>2.4395838538666679</v>
      </c>
      <c r="AQ33" s="28">
        <v>1.8296878904000009</v>
      </c>
      <c r="AR33" s="28">
        <v>1.524739908666668</v>
      </c>
      <c r="AS33" s="28">
        <v>2.1346358721333338</v>
      </c>
      <c r="AT33" s="28">
        <v>1.8296878904000009</v>
      </c>
      <c r="AU33" s="28">
        <v>2.1346358721333338</v>
      </c>
      <c r="AV33" s="28">
        <v>2.1346358721333338</v>
      </c>
      <c r="AW33" s="28">
        <v>1.2197919269333339</v>
      </c>
      <c r="AX33" s="28">
        <v>0.91484394520000045</v>
      </c>
      <c r="AY33" s="28">
        <v>1.2197919269333339</v>
      </c>
      <c r="AZ33" s="28">
        <v>2.0288375927564628</v>
      </c>
      <c r="BA33" s="34">
        <v>99.413042045066675</v>
      </c>
    </row>
    <row r="34" spans="1:53" x14ac:dyDescent="0.25">
      <c r="A34" s="24">
        <v>33</v>
      </c>
      <c r="B34" s="26">
        <v>16</v>
      </c>
      <c r="C34" s="28">
        <v>2.1698000573333318</v>
      </c>
      <c r="D34" s="28">
        <v>2.1698000573333318</v>
      </c>
      <c r="E34" s="28">
        <v>2.1698000573333318</v>
      </c>
      <c r="F34" s="28">
        <v>1.627350042999999</v>
      </c>
      <c r="G34" s="28">
        <v>2.1698000573333318</v>
      </c>
      <c r="H34" s="28">
        <v>2.1698000573333318</v>
      </c>
      <c r="I34" s="28">
        <v>1.627350042999999</v>
      </c>
      <c r="J34" s="28">
        <v>1.8985750501666649</v>
      </c>
      <c r="K34" s="28">
        <v>2.1698000573333318</v>
      </c>
      <c r="L34" s="28">
        <v>2.1698000573333318</v>
      </c>
      <c r="M34" s="28">
        <v>1.0849000286666659</v>
      </c>
      <c r="N34" s="28">
        <v>1.0849000286666659</v>
      </c>
      <c r="O34" s="28">
        <v>2.1698000573333318</v>
      </c>
      <c r="P34" s="28">
        <v>2.1698000573333318</v>
      </c>
      <c r="Q34" s="28">
        <v>1.0849000286666659</v>
      </c>
      <c r="R34" s="28">
        <v>1.3561250358333321</v>
      </c>
      <c r="S34" s="28">
        <v>1.8985750501666649</v>
      </c>
      <c r="T34" s="28">
        <v>2.1698000573333318</v>
      </c>
      <c r="U34" s="28">
        <v>1.8985750501666649</v>
      </c>
      <c r="V34" s="28">
        <v>0.81367502149999948</v>
      </c>
      <c r="W34" s="28">
        <v>2.1698000573333318</v>
      </c>
      <c r="X34" s="28">
        <v>2.1698000573333318</v>
      </c>
      <c r="Y34" s="28">
        <v>2.1698000573333318</v>
      </c>
      <c r="Z34" s="28">
        <v>2.1698000573333318</v>
      </c>
      <c r="AA34" s="28">
        <v>1.3561250358333321</v>
      </c>
      <c r="AB34" s="28">
        <v>2.1698000573333318</v>
      </c>
      <c r="AC34" s="28">
        <v>1.8985750501666649</v>
      </c>
      <c r="AD34" s="28">
        <v>2.1698000573333318</v>
      </c>
      <c r="AE34" s="28">
        <v>1.627350042999999</v>
      </c>
      <c r="AF34" s="28">
        <v>2.1698000573333318</v>
      </c>
      <c r="AG34" s="28">
        <v>1.627350042999999</v>
      </c>
      <c r="AH34" s="28">
        <v>2.1698000573333318</v>
      </c>
      <c r="AI34" s="28">
        <v>1.8985750501666649</v>
      </c>
      <c r="AJ34" s="28">
        <v>1.3561250358333321</v>
      </c>
      <c r="AK34" s="28">
        <v>2.1698000573333318</v>
      </c>
      <c r="AL34" s="28">
        <v>1.0849000286666659</v>
      </c>
      <c r="AM34" s="28">
        <v>2.1698000573333318</v>
      </c>
      <c r="AN34" s="28">
        <v>2.1698000573333318</v>
      </c>
      <c r="AO34" s="28">
        <v>2.1698000573333318</v>
      </c>
      <c r="AP34" s="28">
        <v>2.1698000573333318</v>
      </c>
      <c r="AQ34" s="28">
        <v>1.627350042999999</v>
      </c>
      <c r="AR34" s="28">
        <v>1.3561250358333321</v>
      </c>
      <c r="AS34" s="28">
        <v>1.8985750501666649</v>
      </c>
      <c r="AT34" s="28">
        <v>1.627350042999999</v>
      </c>
      <c r="AU34" s="28">
        <v>1.8985750501666649</v>
      </c>
      <c r="AV34" s="28">
        <v>1.8985750501666649</v>
      </c>
      <c r="AW34" s="28">
        <v>1.0849000286666659</v>
      </c>
      <c r="AX34" s="28">
        <v>0.81367502149999948</v>
      </c>
      <c r="AY34" s="28">
        <v>1.0849000286666659</v>
      </c>
      <c r="AZ34" s="28">
        <v>1.8044765782925161</v>
      </c>
      <c r="BA34" s="34">
        <v>88.41935233633329</v>
      </c>
    </row>
    <row r="35" spans="1:53" x14ac:dyDescent="0.25">
      <c r="A35" s="24">
        <v>34</v>
      </c>
      <c r="B35" s="26">
        <v>16.5</v>
      </c>
      <c r="C35" s="28">
        <v>1.844071272933332</v>
      </c>
      <c r="D35" s="28">
        <v>1.844071272933332</v>
      </c>
      <c r="E35" s="28">
        <v>1.844071272933332</v>
      </c>
      <c r="F35" s="28">
        <v>1.3830534546999991</v>
      </c>
      <c r="G35" s="28">
        <v>1.844071272933332</v>
      </c>
      <c r="H35" s="28">
        <v>1.844071272933332</v>
      </c>
      <c r="I35" s="28">
        <v>1.3830534546999991</v>
      </c>
      <c r="J35" s="28">
        <v>1.613562363816665</v>
      </c>
      <c r="K35" s="28">
        <v>1.844071272933332</v>
      </c>
      <c r="L35" s="28">
        <v>1.844071272933332</v>
      </c>
      <c r="M35" s="28">
        <v>0.92203563646666598</v>
      </c>
      <c r="N35" s="28">
        <v>0.92203563646666598</v>
      </c>
      <c r="O35" s="28">
        <v>1.844071272933332</v>
      </c>
      <c r="P35" s="28">
        <v>1.844071272933332</v>
      </c>
      <c r="Q35" s="28">
        <v>0.92203563646666598</v>
      </c>
      <c r="R35" s="28">
        <v>1.152544545583333</v>
      </c>
      <c r="S35" s="28">
        <v>1.613562363816665</v>
      </c>
      <c r="T35" s="28">
        <v>1.844071272933332</v>
      </c>
      <c r="U35" s="28">
        <v>1.613562363816665</v>
      </c>
      <c r="V35" s="28">
        <v>0.69152672734999943</v>
      </c>
      <c r="W35" s="28">
        <v>1.844071272933332</v>
      </c>
      <c r="X35" s="28">
        <v>1.844071272933332</v>
      </c>
      <c r="Y35" s="28">
        <v>1.844071272933332</v>
      </c>
      <c r="Z35" s="28">
        <v>1.844071272933332</v>
      </c>
      <c r="AA35" s="28">
        <v>1.152544545583333</v>
      </c>
      <c r="AB35" s="28">
        <v>1.844071272933332</v>
      </c>
      <c r="AC35" s="28">
        <v>1.613562363816665</v>
      </c>
      <c r="AD35" s="28">
        <v>1.844071272933332</v>
      </c>
      <c r="AE35" s="28">
        <v>1.3830534546999991</v>
      </c>
      <c r="AF35" s="28">
        <v>1.844071272933332</v>
      </c>
      <c r="AG35" s="28">
        <v>1.3830534546999991</v>
      </c>
      <c r="AH35" s="28">
        <v>1.844071272933332</v>
      </c>
      <c r="AI35" s="28">
        <v>1.613562363816665</v>
      </c>
      <c r="AJ35" s="28">
        <v>1.152544545583333</v>
      </c>
      <c r="AK35" s="28">
        <v>1.844071272933332</v>
      </c>
      <c r="AL35" s="28">
        <v>0.92203563646666598</v>
      </c>
      <c r="AM35" s="28">
        <v>1.844071272933332</v>
      </c>
      <c r="AN35" s="28">
        <v>1.844071272933332</v>
      </c>
      <c r="AO35" s="28">
        <v>1.844071272933332</v>
      </c>
      <c r="AP35" s="28">
        <v>1.844071272933332</v>
      </c>
      <c r="AQ35" s="28">
        <v>1.3830534546999991</v>
      </c>
      <c r="AR35" s="28">
        <v>1.152544545583333</v>
      </c>
      <c r="AS35" s="28">
        <v>1.613562363816665</v>
      </c>
      <c r="AT35" s="28">
        <v>1.3830534546999991</v>
      </c>
      <c r="AU35" s="28">
        <v>1.613562363816665</v>
      </c>
      <c r="AV35" s="28">
        <v>1.613562363816665</v>
      </c>
      <c r="AW35" s="28">
        <v>0.92203563646666598</v>
      </c>
      <c r="AX35" s="28">
        <v>0.69152672734999943</v>
      </c>
      <c r="AY35" s="28">
        <v>0.92203563646666598</v>
      </c>
      <c r="AZ35" s="28">
        <v>1.533589885143537</v>
      </c>
      <c r="BA35" s="34">
        <v>75.1459043720333</v>
      </c>
    </row>
    <row r="36" spans="1:53" x14ac:dyDescent="0.25">
      <c r="A36" s="24">
        <v>35</v>
      </c>
      <c r="B36" s="26">
        <v>17</v>
      </c>
      <c r="C36" s="28">
        <v>1.5392117273333319</v>
      </c>
      <c r="D36" s="28">
        <v>1.5392117273333319</v>
      </c>
      <c r="E36" s="28">
        <v>1.5392117273333319</v>
      </c>
      <c r="F36" s="28">
        <v>1.1544087954999991</v>
      </c>
      <c r="G36" s="28">
        <v>1.5392117273333319</v>
      </c>
      <c r="H36" s="28">
        <v>1.5392117273333319</v>
      </c>
      <c r="I36" s="28">
        <v>1.1544087954999991</v>
      </c>
      <c r="J36" s="28">
        <v>1.346810261416665</v>
      </c>
      <c r="K36" s="28">
        <v>1.5392117273333319</v>
      </c>
      <c r="L36" s="28">
        <v>1.5392117273333319</v>
      </c>
      <c r="M36" s="28">
        <v>0.76960586366666595</v>
      </c>
      <c r="N36" s="28">
        <v>0.76960586366666595</v>
      </c>
      <c r="O36" s="28">
        <v>1.5392117273333319</v>
      </c>
      <c r="P36" s="28">
        <v>1.5392117273333319</v>
      </c>
      <c r="Q36" s="28">
        <v>0.76960586366666595</v>
      </c>
      <c r="R36" s="28">
        <v>0.96200732958333246</v>
      </c>
      <c r="S36" s="28">
        <v>1.346810261416665</v>
      </c>
      <c r="T36" s="28">
        <v>1.5392117273333319</v>
      </c>
      <c r="U36" s="28">
        <v>1.346810261416665</v>
      </c>
      <c r="V36" s="28">
        <v>0.57720439774999943</v>
      </c>
      <c r="W36" s="28">
        <v>1.5392117273333319</v>
      </c>
      <c r="X36" s="28">
        <v>1.5392117273333319</v>
      </c>
      <c r="Y36" s="28">
        <v>1.5392117273333319</v>
      </c>
      <c r="Z36" s="28">
        <v>1.5392117273333319</v>
      </c>
      <c r="AA36" s="28">
        <v>0.96200732958333246</v>
      </c>
      <c r="AB36" s="28">
        <v>1.5392117273333319</v>
      </c>
      <c r="AC36" s="28">
        <v>1.346810261416665</v>
      </c>
      <c r="AD36" s="28">
        <v>1.5392117273333319</v>
      </c>
      <c r="AE36" s="28">
        <v>1.1544087954999991</v>
      </c>
      <c r="AF36" s="28">
        <v>1.5392117273333319</v>
      </c>
      <c r="AG36" s="28">
        <v>1.1544087954999991</v>
      </c>
      <c r="AH36" s="28">
        <v>1.5392117273333319</v>
      </c>
      <c r="AI36" s="28">
        <v>1.346810261416665</v>
      </c>
      <c r="AJ36" s="28">
        <v>0.96200732958333246</v>
      </c>
      <c r="AK36" s="28">
        <v>1.5392117273333319</v>
      </c>
      <c r="AL36" s="28">
        <v>0.76960586366666595</v>
      </c>
      <c r="AM36" s="28">
        <v>1.5392117273333319</v>
      </c>
      <c r="AN36" s="28">
        <v>1.5392117273333319</v>
      </c>
      <c r="AO36" s="28">
        <v>1.5392117273333319</v>
      </c>
      <c r="AP36" s="28">
        <v>1.5392117273333319</v>
      </c>
      <c r="AQ36" s="28">
        <v>1.1544087954999991</v>
      </c>
      <c r="AR36" s="28">
        <v>0.96200732958333246</v>
      </c>
      <c r="AS36" s="28">
        <v>1.346810261416665</v>
      </c>
      <c r="AT36" s="28">
        <v>1.1544087954999991</v>
      </c>
      <c r="AU36" s="28">
        <v>1.346810261416665</v>
      </c>
      <c r="AV36" s="28">
        <v>1.346810261416665</v>
      </c>
      <c r="AW36" s="28">
        <v>0.76960586366666595</v>
      </c>
      <c r="AX36" s="28">
        <v>0.57720439774999943</v>
      </c>
      <c r="AY36" s="28">
        <v>0.76960586366666595</v>
      </c>
      <c r="AZ36" s="28">
        <v>1.280058732425168</v>
      </c>
      <c r="BA36" s="34">
        <v>62.722877888833253</v>
      </c>
    </row>
    <row r="37" spans="1:53" x14ac:dyDescent="0.25">
      <c r="A37" s="24">
        <v>36</v>
      </c>
      <c r="B37" s="26">
        <v>17.5</v>
      </c>
      <c r="C37" s="28">
        <v>1.2259496212000001</v>
      </c>
      <c r="D37" s="28">
        <v>1.2259496212000001</v>
      </c>
      <c r="E37" s="28">
        <v>1.2259496212000001</v>
      </c>
      <c r="F37" s="28">
        <v>0.9194622159000001</v>
      </c>
      <c r="G37" s="28">
        <v>1.2259496212000001</v>
      </c>
      <c r="H37" s="28">
        <v>1.2259496212000001</v>
      </c>
      <c r="I37" s="28">
        <v>0.9194622159000001</v>
      </c>
      <c r="J37" s="28">
        <v>1.0727059185500001</v>
      </c>
      <c r="K37" s="28">
        <v>1.2259496212000001</v>
      </c>
      <c r="L37" s="28">
        <v>1.2259496212000001</v>
      </c>
      <c r="M37" s="28">
        <v>0.61297481060000003</v>
      </c>
      <c r="N37" s="28">
        <v>0.61297481060000003</v>
      </c>
      <c r="O37" s="28">
        <v>1.2259496212000001</v>
      </c>
      <c r="P37" s="28">
        <v>1.2259496212000001</v>
      </c>
      <c r="Q37" s="28">
        <v>0.61297481060000003</v>
      </c>
      <c r="R37" s="28">
        <v>0.76621851325000001</v>
      </c>
      <c r="S37" s="28">
        <v>1.0727059185500001</v>
      </c>
      <c r="T37" s="28">
        <v>1.2259496212000001</v>
      </c>
      <c r="U37" s="28">
        <v>1.0727059185500001</v>
      </c>
      <c r="V37" s="28">
        <v>0.45973110795000011</v>
      </c>
      <c r="W37" s="28">
        <v>1.2259496212000001</v>
      </c>
      <c r="X37" s="28">
        <v>1.2259496212000001</v>
      </c>
      <c r="Y37" s="28">
        <v>1.2259496212000001</v>
      </c>
      <c r="Z37" s="28">
        <v>1.2259496212000001</v>
      </c>
      <c r="AA37" s="28">
        <v>0.76621851325000001</v>
      </c>
      <c r="AB37" s="28">
        <v>1.2259496212000001</v>
      </c>
      <c r="AC37" s="28">
        <v>1.0727059185500001</v>
      </c>
      <c r="AD37" s="28">
        <v>1.2259496212000001</v>
      </c>
      <c r="AE37" s="28">
        <v>0.9194622159000001</v>
      </c>
      <c r="AF37" s="28">
        <v>1.2259496212000001</v>
      </c>
      <c r="AG37" s="28">
        <v>0.9194622159000001</v>
      </c>
      <c r="AH37" s="28">
        <v>1.2259496212000001</v>
      </c>
      <c r="AI37" s="28">
        <v>1.0727059185500001</v>
      </c>
      <c r="AJ37" s="28">
        <v>0.76621851325000001</v>
      </c>
      <c r="AK37" s="28">
        <v>1.2259496212000001</v>
      </c>
      <c r="AL37" s="28">
        <v>0.61297481060000003</v>
      </c>
      <c r="AM37" s="28">
        <v>1.2259496212000001</v>
      </c>
      <c r="AN37" s="28">
        <v>1.2259496212000001</v>
      </c>
      <c r="AO37" s="28">
        <v>1.2259496212000001</v>
      </c>
      <c r="AP37" s="28">
        <v>1.2259496212000001</v>
      </c>
      <c r="AQ37" s="28">
        <v>0.9194622159000001</v>
      </c>
      <c r="AR37" s="28">
        <v>0.76621851325000001</v>
      </c>
      <c r="AS37" s="28">
        <v>1.0727059185500001</v>
      </c>
      <c r="AT37" s="28">
        <v>0.9194622159000001</v>
      </c>
      <c r="AU37" s="28">
        <v>1.0727059185500001</v>
      </c>
      <c r="AV37" s="28">
        <v>1.0727059185500001</v>
      </c>
      <c r="AW37" s="28">
        <v>0.61297481060000003</v>
      </c>
      <c r="AX37" s="28">
        <v>0.45973110795000011</v>
      </c>
      <c r="AY37" s="28">
        <v>0.61297481060000003</v>
      </c>
      <c r="AZ37" s="28">
        <v>1.0195397359979601</v>
      </c>
      <c r="BA37" s="34">
        <v>49.957447063900027</v>
      </c>
    </row>
    <row r="38" spans="1:53" x14ac:dyDescent="0.25">
      <c r="A38" s="24">
        <v>37</v>
      </c>
      <c r="B38" s="26">
        <v>18</v>
      </c>
      <c r="C38" s="28">
        <v>0.92291693466666802</v>
      </c>
      <c r="D38" s="28">
        <v>0.92291693466666802</v>
      </c>
      <c r="E38" s="28">
        <v>0.92291693466666802</v>
      </c>
      <c r="F38" s="28">
        <v>0.69218770100000104</v>
      </c>
      <c r="G38" s="28">
        <v>0.92291693466666802</v>
      </c>
      <c r="H38" s="28">
        <v>0.92291693466666802</v>
      </c>
      <c r="I38" s="28">
        <v>0.69218770100000104</v>
      </c>
      <c r="J38" s="28">
        <v>0.80755231783333448</v>
      </c>
      <c r="K38" s="28">
        <v>0.92291693466666802</v>
      </c>
      <c r="L38" s="28">
        <v>0.92291693466666802</v>
      </c>
      <c r="M38" s="28">
        <v>0.46145846733333401</v>
      </c>
      <c r="N38" s="28">
        <v>0.46145846733333401</v>
      </c>
      <c r="O38" s="28">
        <v>0.92291693466666802</v>
      </c>
      <c r="P38" s="28">
        <v>0.92291693466666802</v>
      </c>
      <c r="Q38" s="28">
        <v>0.46145846733333401</v>
      </c>
      <c r="R38" s="28">
        <v>0.5768230841666675</v>
      </c>
      <c r="S38" s="28">
        <v>0.80755231783333448</v>
      </c>
      <c r="T38" s="28">
        <v>0.92291693466666802</v>
      </c>
      <c r="U38" s="28">
        <v>0.80755231783333448</v>
      </c>
      <c r="V38" s="28">
        <v>0.34609385050000052</v>
      </c>
      <c r="W38" s="28">
        <v>0.92291693466666802</v>
      </c>
      <c r="X38" s="28">
        <v>0.92291693466666802</v>
      </c>
      <c r="Y38" s="28">
        <v>0.92291693466666802</v>
      </c>
      <c r="Z38" s="28">
        <v>0.92291693466666802</v>
      </c>
      <c r="AA38" s="28">
        <v>0.5768230841666675</v>
      </c>
      <c r="AB38" s="28">
        <v>0.92291693466666802</v>
      </c>
      <c r="AC38" s="28">
        <v>0.80755231783333448</v>
      </c>
      <c r="AD38" s="28">
        <v>0.92291693466666802</v>
      </c>
      <c r="AE38" s="28">
        <v>0.69218770100000104</v>
      </c>
      <c r="AF38" s="28">
        <v>0.92291693466666802</v>
      </c>
      <c r="AG38" s="28">
        <v>0.69218770100000104</v>
      </c>
      <c r="AH38" s="28">
        <v>0.92291693466666802</v>
      </c>
      <c r="AI38" s="28">
        <v>0.80755231783333448</v>
      </c>
      <c r="AJ38" s="28">
        <v>0.5768230841666675</v>
      </c>
      <c r="AK38" s="28">
        <v>0.92291693466666802</v>
      </c>
      <c r="AL38" s="28">
        <v>0.46145846733333401</v>
      </c>
      <c r="AM38" s="28">
        <v>0.92291693466666802</v>
      </c>
      <c r="AN38" s="28">
        <v>0.92291693466666802</v>
      </c>
      <c r="AO38" s="28">
        <v>0.92291693466666802</v>
      </c>
      <c r="AP38" s="28">
        <v>0.92291693466666802</v>
      </c>
      <c r="AQ38" s="28">
        <v>0.69218770100000104</v>
      </c>
      <c r="AR38" s="28">
        <v>0.5768230841666675</v>
      </c>
      <c r="AS38" s="28">
        <v>0.80755231783333448</v>
      </c>
      <c r="AT38" s="28">
        <v>0.69218770100000104</v>
      </c>
      <c r="AU38" s="28">
        <v>0.80755231783333448</v>
      </c>
      <c r="AV38" s="28">
        <v>0.80755231783333448</v>
      </c>
      <c r="AW38" s="28">
        <v>0.46145846733333401</v>
      </c>
      <c r="AX38" s="28">
        <v>0.34609385050000052</v>
      </c>
      <c r="AY38" s="28">
        <v>0.46145846733333401</v>
      </c>
      <c r="AZ38" s="28">
        <v>0.76752785893197362</v>
      </c>
      <c r="BA38" s="34">
        <v>37.608865087666707</v>
      </c>
    </row>
    <row r="39" spans="1:53" x14ac:dyDescent="0.25">
      <c r="A39" s="24">
        <v>38</v>
      </c>
      <c r="B39" s="26">
        <v>18.5</v>
      </c>
      <c r="C39" s="28">
        <v>0.63075072600000004</v>
      </c>
      <c r="D39" s="28">
        <v>0.63075072600000004</v>
      </c>
      <c r="E39" s="28">
        <v>0.63075072600000004</v>
      </c>
      <c r="F39" s="28">
        <v>0.47306304449999997</v>
      </c>
      <c r="G39" s="28">
        <v>0.63075072600000004</v>
      </c>
      <c r="H39" s="28">
        <v>0.63075072600000004</v>
      </c>
      <c r="I39" s="28">
        <v>0.47306304449999997</v>
      </c>
      <c r="J39" s="28">
        <v>0.55190688524999998</v>
      </c>
      <c r="K39" s="28">
        <v>0.63075072600000004</v>
      </c>
      <c r="L39" s="28">
        <v>0.63075072600000004</v>
      </c>
      <c r="M39" s="28">
        <v>0.31537536300000002</v>
      </c>
      <c r="N39" s="28">
        <v>0.31537536300000002</v>
      </c>
      <c r="O39" s="28">
        <v>0.63075072600000004</v>
      </c>
      <c r="P39" s="28">
        <v>0.63075072600000004</v>
      </c>
      <c r="Q39" s="28">
        <v>0.31537536300000002</v>
      </c>
      <c r="R39" s="28">
        <v>0.39421920375000002</v>
      </c>
      <c r="S39" s="28">
        <v>0.55190688524999998</v>
      </c>
      <c r="T39" s="28">
        <v>0.63075072600000004</v>
      </c>
      <c r="U39" s="28">
        <v>0.55190688524999998</v>
      </c>
      <c r="V39" s="28">
        <v>0.23653152224999999</v>
      </c>
      <c r="W39" s="28">
        <v>0.63075072600000004</v>
      </c>
      <c r="X39" s="28">
        <v>0.63075072600000004</v>
      </c>
      <c r="Y39" s="28">
        <v>0.63075072600000004</v>
      </c>
      <c r="Z39" s="28">
        <v>0.63075072600000004</v>
      </c>
      <c r="AA39" s="28">
        <v>0.39421920375000002</v>
      </c>
      <c r="AB39" s="28">
        <v>0.63075072600000004</v>
      </c>
      <c r="AC39" s="28">
        <v>0.55190688524999998</v>
      </c>
      <c r="AD39" s="28">
        <v>0.63075072600000004</v>
      </c>
      <c r="AE39" s="28">
        <v>0.47306304449999997</v>
      </c>
      <c r="AF39" s="28">
        <v>0.63075072600000004</v>
      </c>
      <c r="AG39" s="28">
        <v>0.47306304449999997</v>
      </c>
      <c r="AH39" s="28">
        <v>0.63075072600000004</v>
      </c>
      <c r="AI39" s="28">
        <v>0.55190688524999998</v>
      </c>
      <c r="AJ39" s="28">
        <v>0.39421920375000002</v>
      </c>
      <c r="AK39" s="28">
        <v>0.63075072600000004</v>
      </c>
      <c r="AL39" s="28">
        <v>0.31537536300000002</v>
      </c>
      <c r="AM39" s="28">
        <v>0.63075072600000004</v>
      </c>
      <c r="AN39" s="28">
        <v>0.63075072600000004</v>
      </c>
      <c r="AO39" s="28">
        <v>0.63075072600000004</v>
      </c>
      <c r="AP39" s="28">
        <v>0.63075072600000004</v>
      </c>
      <c r="AQ39" s="28">
        <v>0.47306304449999997</v>
      </c>
      <c r="AR39" s="28">
        <v>0.39421920375000002</v>
      </c>
      <c r="AS39" s="28">
        <v>0.55190688524999998</v>
      </c>
      <c r="AT39" s="28">
        <v>0.47306304449999997</v>
      </c>
      <c r="AU39" s="28">
        <v>0.55190688524999998</v>
      </c>
      <c r="AV39" s="28">
        <v>0.55190688524999998</v>
      </c>
      <c r="AW39" s="28">
        <v>0.31537536300000002</v>
      </c>
      <c r="AX39" s="28">
        <v>0.23653152224999999</v>
      </c>
      <c r="AY39" s="28">
        <v>0.31537536300000002</v>
      </c>
      <c r="AZ39" s="28">
        <v>0.52455289968367358</v>
      </c>
      <c r="BA39" s="34">
        <v>25.7030920845</v>
      </c>
    </row>
    <row r="40" spans="1:53" x14ac:dyDescent="0.25">
      <c r="A40" s="24">
        <v>39</v>
      </c>
      <c r="B40" s="26">
        <v>19</v>
      </c>
      <c r="C40" s="28">
        <v>0.36832074773333318</v>
      </c>
      <c r="D40" s="28">
        <v>0.36832074773333318</v>
      </c>
      <c r="E40" s="28">
        <v>0.36832074773333318</v>
      </c>
      <c r="F40" s="28">
        <v>0.27624056079999992</v>
      </c>
      <c r="G40" s="28">
        <v>0.36832074773333318</v>
      </c>
      <c r="H40" s="28">
        <v>0.36832074773333318</v>
      </c>
      <c r="I40" s="28">
        <v>0.27624056079999992</v>
      </c>
      <c r="J40" s="28">
        <v>0.32228065426666652</v>
      </c>
      <c r="K40" s="28">
        <v>0.36832074773333318</v>
      </c>
      <c r="L40" s="28">
        <v>0.36832074773333318</v>
      </c>
      <c r="M40" s="28">
        <v>0.18416037386666659</v>
      </c>
      <c r="N40" s="28">
        <v>0.18416037386666659</v>
      </c>
      <c r="O40" s="28">
        <v>0.36832074773333318</v>
      </c>
      <c r="P40" s="28">
        <v>0.36832074773333318</v>
      </c>
      <c r="Q40" s="28">
        <v>0.18416037386666659</v>
      </c>
      <c r="R40" s="28">
        <v>0.23020046733333319</v>
      </c>
      <c r="S40" s="28">
        <v>0.32228065426666652</v>
      </c>
      <c r="T40" s="28">
        <v>0.36832074773333318</v>
      </c>
      <c r="U40" s="28">
        <v>0.32228065426666652</v>
      </c>
      <c r="V40" s="28">
        <v>0.13812028039999991</v>
      </c>
      <c r="W40" s="28">
        <v>0.36832074773333318</v>
      </c>
      <c r="X40" s="28">
        <v>0.36832074773333318</v>
      </c>
      <c r="Y40" s="28">
        <v>0.36832074773333318</v>
      </c>
      <c r="Z40" s="28">
        <v>0.36832074773333318</v>
      </c>
      <c r="AA40" s="28">
        <v>0.23020046733333319</v>
      </c>
      <c r="AB40" s="28">
        <v>0.36832074773333318</v>
      </c>
      <c r="AC40" s="28">
        <v>0.32228065426666652</v>
      </c>
      <c r="AD40" s="28">
        <v>0.36832074773333318</v>
      </c>
      <c r="AE40" s="28">
        <v>0.27624056079999992</v>
      </c>
      <c r="AF40" s="28">
        <v>0.36832074773333318</v>
      </c>
      <c r="AG40" s="28">
        <v>0.27624056079999992</v>
      </c>
      <c r="AH40" s="28">
        <v>0.36832074773333318</v>
      </c>
      <c r="AI40" s="28">
        <v>0.32228065426666652</v>
      </c>
      <c r="AJ40" s="28">
        <v>0.23020046733333319</v>
      </c>
      <c r="AK40" s="28">
        <v>0.36832074773333318</v>
      </c>
      <c r="AL40" s="28">
        <v>0.18416037386666659</v>
      </c>
      <c r="AM40" s="28">
        <v>0.36832074773333318</v>
      </c>
      <c r="AN40" s="28">
        <v>0.36832074773333318</v>
      </c>
      <c r="AO40" s="28">
        <v>0.36832074773333318</v>
      </c>
      <c r="AP40" s="28">
        <v>0.36832074773333318</v>
      </c>
      <c r="AQ40" s="28">
        <v>0.27624056079999992</v>
      </c>
      <c r="AR40" s="28">
        <v>0.23020046733333319</v>
      </c>
      <c r="AS40" s="28">
        <v>0.32228065426666652</v>
      </c>
      <c r="AT40" s="28">
        <v>0.27624056079999992</v>
      </c>
      <c r="AU40" s="28">
        <v>0.32228065426666652</v>
      </c>
      <c r="AV40" s="28">
        <v>0.32228065426666652</v>
      </c>
      <c r="AW40" s="28">
        <v>0.18416037386666659</v>
      </c>
      <c r="AX40" s="28">
        <v>0.13812028039999991</v>
      </c>
      <c r="AY40" s="28">
        <v>0.18416037386666659</v>
      </c>
      <c r="AZ40" s="28">
        <v>0.30630756061496578</v>
      </c>
      <c r="BA40" s="34">
        <v>15.009070470133331</v>
      </c>
    </row>
    <row r="41" spans="1:53" x14ac:dyDescent="0.25">
      <c r="A41" s="24">
        <v>40</v>
      </c>
      <c r="B41" s="26">
        <v>19.5</v>
      </c>
      <c r="C41" s="28">
        <v>0.1071599484</v>
      </c>
      <c r="D41" s="28">
        <v>0.1071599484</v>
      </c>
      <c r="E41" s="28">
        <v>0.1071599484</v>
      </c>
      <c r="F41" s="28">
        <v>8.0369961300000001E-2</v>
      </c>
      <c r="G41" s="28">
        <v>0.1071599484</v>
      </c>
      <c r="H41" s="28">
        <v>0.1071599484</v>
      </c>
      <c r="I41" s="28">
        <v>8.0369961300000001E-2</v>
      </c>
      <c r="J41" s="28">
        <v>9.3764954849999999E-2</v>
      </c>
      <c r="K41" s="28">
        <v>0.1071599484</v>
      </c>
      <c r="L41" s="28">
        <v>0.1071599484</v>
      </c>
      <c r="M41" s="28">
        <v>5.3579974199999998E-2</v>
      </c>
      <c r="N41" s="28">
        <v>5.3579974199999998E-2</v>
      </c>
      <c r="O41" s="28">
        <v>0.1071599484</v>
      </c>
      <c r="P41" s="28">
        <v>0.1071599484</v>
      </c>
      <c r="Q41" s="28">
        <v>5.3579974199999998E-2</v>
      </c>
      <c r="R41" s="28">
        <v>6.6974967750000003E-2</v>
      </c>
      <c r="S41" s="28">
        <v>9.3764954849999999E-2</v>
      </c>
      <c r="T41" s="28">
        <v>0.1071599484</v>
      </c>
      <c r="U41" s="28">
        <v>9.3764954849999999E-2</v>
      </c>
      <c r="V41" s="28">
        <v>4.018498065E-2</v>
      </c>
      <c r="W41" s="28">
        <v>0.1071599484</v>
      </c>
      <c r="X41" s="28">
        <v>0.1071599484</v>
      </c>
      <c r="Y41" s="28">
        <v>0.1071599484</v>
      </c>
      <c r="Z41" s="28">
        <v>0.1071599484</v>
      </c>
      <c r="AA41" s="28">
        <v>6.6974967750000003E-2</v>
      </c>
      <c r="AB41" s="28">
        <v>0.1071599484</v>
      </c>
      <c r="AC41" s="28">
        <v>9.3764954849999999E-2</v>
      </c>
      <c r="AD41" s="28">
        <v>0.1071599484</v>
      </c>
      <c r="AE41" s="28">
        <v>8.0369961300000001E-2</v>
      </c>
      <c r="AF41" s="28">
        <v>0.1071599484</v>
      </c>
      <c r="AG41" s="28">
        <v>8.0369961300000001E-2</v>
      </c>
      <c r="AH41" s="28">
        <v>0.1071599484</v>
      </c>
      <c r="AI41" s="28">
        <v>9.3764954849999999E-2</v>
      </c>
      <c r="AJ41" s="28">
        <v>6.6974967750000003E-2</v>
      </c>
      <c r="AK41" s="28">
        <v>0.1071599484</v>
      </c>
      <c r="AL41" s="28">
        <v>5.3579974199999998E-2</v>
      </c>
      <c r="AM41" s="28">
        <v>0.1071599484</v>
      </c>
      <c r="AN41" s="28">
        <v>0.1071599484</v>
      </c>
      <c r="AO41" s="28">
        <v>0.1071599484</v>
      </c>
      <c r="AP41" s="28">
        <v>0.1071599484</v>
      </c>
      <c r="AQ41" s="28">
        <v>8.0369961300000001E-2</v>
      </c>
      <c r="AR41" s="28">
        <v>6.6974967750000003E-2</v>
      </c>
      <c r="AS41" s="28">
        <v>9.3764954849999999E-2</v>
      </c>
      <c r="AT41" s="28">
        <v>8.0369961300000001E-2</v>
      </c>
      <c r="AU41" s="28">
        <v>9.3764954849999999E-2</v>
      </c>
      <c r="AV41" s="28">
        <v>9.3764954849999999E-2</v>
      </c>
      <c r="AW41" s="28">
        <v>5.3579974199999998E-2</v>
      </c>
      <c r="AX41" s="28">
        <v>4.018498065E-2</v>
      </c>
      <c r="AY41" s="28">
        <v>5.3579974199999998E-2</v>
      </c>
      <c r="AZ41" s="28">
        <v>8.9117712189795972E-2</v>
      </c>
      <c r="BA41" s="34">
        <v>4.3667678973000026</v>
      </c>
    </row>
    <row r="42" spans="1:53" x14ac:dyDescent="0.25">
      <c r="A42" s="24">
        <v>41</v>
      </c>
      <c r="B42" s="26">
        <v>20</v>
      </c>
      <c r="C42" s="28">
        <v>1.9763776266666679E-2</v>
      </c>
      <c r="D42" s="28">
        <v>1.9763776266666679E-2</v>
      </c>
      <c r="E42" s="28">
        <v>1.9763776266666679E-2</v>
      </c>
      <c r="F42" s="28">
        <v>1.4822832200000011E-2</v>
      </c>
      <c r="G42" s="28">
        <v>1.9763776266666679E-2</v>
      </c>
      <c r="H42" s="28">
        <v>1.9763776266666679E-2</v>
      </c>
      <c r="I42" s="28">
        <v>1.4822832200000011E-2</v>
      </c>
      <c r="J42" s="28">
        <v>1.7293304233333341E-2</v>
      </c>
      <c r="K42" s="28">
        <v>1.9763776266666679E-2</v>
      </c>
      <c r="L42" s="28">
        <v>1.9763776266666679E-2</v>
      </c>
      <c r="M42" s="28">
        <v>9.8818881333333393E-3</v>
      </c>
      <c r="N42" s="28">
        <v>9.8818881333333393E-3</v>
      </c>
      <c r="O42" s="28">
        <v>1.9763776266666679E-2</v>
      </c>
      <c r="P42" s="28">
        <v>1.9763776266666679E-2</v>
      </c>
      <c r="Q42" s="28">
        <v>9.8818881333333393E-3</v>
      </c>
      <c r="R42" s="28">
        <v>1.235236016666667E-2</v>
      </c>
      <c r="S42" s="28">
        <v>1.7293304233333341E-2</v>
      </c>
      <c r="T42" s="28">
        <v>1.9763776266666679E-2</v>
      </c>
      <c r="U42" s="28">
        <v>1.7293304233333341E-2</v>
      </c>
      <c r="V42" s="28">
        <v>7.4114161000000036E-3</v>
      </c>
      <c r="W42" s="28">
        <v>1.9763776266666679E-2</v>
      </c>
      <c r="X42" s="28">
        <v>1.9763776266666679E-2</v>
      </c>
      <c r="Y42" s="28">
        <v>1.9763776266666679E-2</v>
      </c>
      <c r="Z42" s="28">
        <v>1.9763776266666679E-2</v>
      </c>
      <c r="AA42" s="28">
        <v>1.235236016666667E-2</v>
      </c>
      <c r="AB42" s="28">
        <v>1.9763776266666679E-2</v>
      </c>
      <c r="AC42" s="28">
        <v>1.7293304233333341E-2</v>
      </c>
      <c r="AD42" s="28">
        <v>1.9763776266666679E-2</v>
      </c>
      <c r="AE42" s="28">
        <v>1.4822832200000011E-2</v>
      </c>
      <c r="AF42" s="28">
        <v>1.9763776266666679E-2</v>
      </c>
      <c r="AG42" s="28">
        <v>1.4822832200000011E-2</v>
      </c>
      <c r="AH42" s="28">
        <v>1.9763776266666679E-2</v>
      </c>
      <c r="AI42" s="28">
        <v>1.7293304233333341E-2</v>
      </c>
      <c r="AJ42" s="28">
        <v>1.235236016666667E-2</v>
      </c>
      <c r="AK42" s="28">
        <v>1.9763776266666679E-2</v>
      </c>
      <c r="AL42" s="28">
        <v>9.8818881333333393E-3</v>
      </c>
      <c r="AM42" s="28">
        <v>1.9763776266666679E-2</v>
      </c>
      <c r="AN42" s="28">
        <v>1.9763776266666679E-2</v>
      </c>
      <c r="AO42" s="28">
        <v>1.9763776266666679E-2</v>
      </c>
      <c r="AP42" s="28">
        <v>1.9763776266666679E-2</v>
      </c>
      <c r="AQ42" s="28">
        <v>1.4822832200000011E-2</v>
      </c>
      <c r="AR42" s="28">
        <v>1.235236016666667E-2</v>
      </c>
      <c r="AS42" s="28">
        <v>1.7293304233333341E-2</v>
      </c>
      <c r="AT42" s="28">
        <v>1.4822832200000011E-2</v>
      </c>
      <c r="AU42" s="28">
        <v>1.7293304233333341E-2</v>
      </c>
      <c r="AV42" s="28">
        <v>1.7293304233333341E-2</v>
      </c>
      <c r="AW42" s="28">
        <v>9.8818881333333393E-3</v>
      </c>
      <c r="AX42" s="28">
        <v>7.4114161000000036E-3</v>
      </c>
      <c r="AY42" s="28">
        <v>9.8818881333333393E-3</v>
      </c>
      <c r="AZ42" s="28">
        <v>1.643620169115647E-2</v>
      </c>
      <c r="BA42" s="34">
        <v>0.80537388286666722</v>
      </c>
    </row>
    <row r="43" spans="1:53" x14ac:dyDescent="0.25">
      <c r="A43" s="24">
        <v>42</v>
      </c>
      <c r="B43" s="26">
        <v>20.5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34">
        <v>0</v>
      </c>
    </row>
    <row r="44" spans="1:53" x14ac:dyDescent="0.25">
      <c r="A44" s="24">
        <v>43</v>
      </c>
      <c r="B44" s="26">
        <v>21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34">
        <v>0</v>
      </c>
    </row>
    <row r="45" spans="1:53" x14ac:dyDescent="0.25">
      <c r="A45" s="24">
        <v>44</v>
      </c>
      <c r="B45" s="26">
        <v>21.5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34">
        <v>0</v>
      </c>
    </row>
    <row r="46" spans="1:53" x14ac:dyDescent="0.25">
      <c r="A46" s="24">
        <v>45</v>
      </c>
      <c r="B46" s="26">
        <v>22</v>
      </c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34">
        <v>0</v>
      </c>
    </row>
    <row r="47" spans="1:53" x14ac:dyDescent="0.25">
      <c r="A47" s="24">
        <v>46</v>
      </c>
      <c r="B47" s="26">
        <v>22.5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34">
        <v>0</v>
      </c>
    </row>
    <row r="48" spans="1:53" x14ac:dyDescent="0.25">
      <c r="A48" s="24">
        <v>47</v>
      </c>
      <c r="B48" s="26">
        <v>23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34">
        <v>0</v>
      </c>
    </row>
    <row r="49" spans="1:53" x14ac:dyDescent="0.25">
      <c r="A49" s="25">
        <v>48</v>
      </c>
      <c r="B49" s="27">
        <v>23.5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  <c r="AC49" s="29">
        <v>0</v>
      </c>
      <c r="AD49" s="29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0</v>
      </c>
      <c r="AX49" s="29">
        <v>0</v>
      </c>
      <c r="AY49" s="29">
        <v>0</v>
      </c>
      <c r="AZ49" s="29">
        <v>0</v>
      </c>
      <c r="BA49" s="3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53" width="15" customWidth="1"/>
  </cols>
  <sheetData>
    <row r="1" spans="1:53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9" t="s">
        <v>87</v>
      </c>
    </row>
    <row r="2" spans="1:53" x14ac:dyDescent="0.25">
      <c r="A2" s="24">
        <v>1</v>
      </c>
      <c r="B2" s="26">
        <v>0</v>
      </c>
      <c r="C2" s="28">
        <v>0</v>
      </c>
      <c r="D2" s="28">
        <v>0</v>
      </c>
      <c r="E2" s="28">
        <v>0</v>
      </c>
      <c r="F2" s="28">
        <v>0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>
        <v>0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8"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8">
        <v>0</v>
      </c>
      <c r="AN2" s="28">
        <v>0</v>
      </c>
      <c r="AO2" s="28">
        <v>0</v>
      </c>
      <c r="AP2" s="28">
        <v>0</v>
      </c>
      <c r="AQ2" s="28">
        <v>0</v>
      </c>
      <c r="AR2" s="28">
        <v>0</v>
      </c>
      <c r="AS2" s="28">
        <v>0</v>
      </c>
      <c r="AT2" s="28">
        <v>0</v>
      </c>
      <c r="AU2" s="28">
        <v>0</v>
      </c>
      <c r="AV2" s="28">
        <v>0</v>
      </c>
      <c r="AW2" s="28">
        <v>0</v>
      </c>
      <c r="AX2" s="28">
        <v>0</v>
      </c>
      <c r="AY2" s="28">
        <v>0</v>
      </c>
      <c r="AZ2" s="28">
        <v>0</v>
      </c>
      <c r="BA2" s="34">
        <v>0</v>
      </c>
    </row>
    <row r="3" spans="1:53" x14ac:dyDescent="0.25">
      <c r="A3" s="24">
        <v>2</v>
      </c>
      <c r="B3" s="26">
        <v>0.5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34">
        <v>0</v>
      </c>
    </row>
    <row r="4" spans="1:53" x14ac:dyDescent="0.25">
      <c r="A4" s="24">
        <v>3</v>
      </c>
      <c r="B4" s="26">
        <v>1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28">
        <v>0</v>
      </c>
      <c r="AY4" s="28">
        <v>0</v>
      </c>
      <c r="AZ4" s="28">
        <v>0</v>
      </c>
      <c r="BA4" s="34">
        <v>0</v>
      </c>
    </row>
    <row r="5" spans="1:53" x14ac:dyDescent="0.25">
      <c r="A5" s="24">
        <v>4</v>
      </c>
      <c r="B5" s="26">
        <v>1.5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34">
        <v>0</v>
      </c>
    </row>
    <row r="6" spans="1:53" x14ac:dyDescent="0.25">
      <c r="A6" s="24">
        <v>5</v>
      </c>
      <c r="B6" s="26">
        <v>2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34">
        <v>0</v>
      </c>
    </row>
    <row r="7" spans="1:53" x14ac:dyDescent="0.25">
      <c r="A7" s="24">
        <v>6</v>
      </c>
      <c r="B7" s="26">
        <v>2.5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34">
        <v>0</v>
      </c>
    </row>
    <row r="8" spans="1:53" x14ac:dyDescent="0.25">
      <c r="A8" s="24">
        <v>7</v>
      </c>
      <c r="B8" s="26">
        <v>3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34">
        <v>0</v>
      </c>
    </row>
    <row r="9" spans="1:53" x14ac:dyDescent="0.25">
      <c r="A9" s="24">
        <v>8</v>
      </c>
      <c r="B9" s="26">
        <v>3.5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34">
        <v>0</v>
      </c>
    </row>
    <row r="10" spans="1:53" x14ac:dyDescent="0.25">
      <c r="A10" s="24">
        <v>9</v>
      </c>
      <c r="B10" s="26">
        <v>4</v>
      </c>
      <c r="C10" s="28">
        <v>0</v>
      </c>
      <c r="D10" s="28">
        <v>0</v>
      </c>
      <c r="E10" s="28">
        <v>0</v>
      </c>
      <c r="F10" s="28">
        <v>0</v>
      </c>
      <c r="G10" s="28">
        <v>2E-3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8.0000000000000002E-3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2E-3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1.4E-2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0.01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7.3469387755102048E-4</v>
      </c>
      <c r="BA10" s="34">
        <v>3.5999999999999997E-2</v>
      </c>
    </row>
    <row r="11" spans="1:53" x14ac:dyDescent="0.25">
      <c r="A11" s="24">
        <v>10</v>
      </c>
      <c r="B11" s="26">
        <v>4.5</v>
      </c>
      <c r="C11" s="28">
        <v>0.11799999999999999</v>
      </c>
      <c r="D11" s="28">
        <v>0</v>
      </c>
      <c r="E11" s="28">
        <v>0</v>
      </c>
      <c r="F11" s="28">
        <v>0.126</v>
      </c>
      <c r="G11" s="28">
        <v>6.4999999999999988E-2</v>
      </c>
      <c r="H11" s="28">
        <v>5.8999999999999997E-2</v>
      </c>
      <c r="I11" s="28">
        <v>8.3999999999999991E-2</v>
      </c>
      <c r="J11" s="28">
        <v>0.16300000000000001</v>
      </c>
      <c r="K11" s="28">
        <v>0.124</v>
      </c>
      <c r="L11" s="28">
        <v>0.182</v>
      </c>
      <c r="M11" s="28">
        <v>6.2E-2</v>
      </c>
      <c r="N11" s="28">
        <v>0</v>
      </c>
      <c r="O11" s="28">
        <v>2.5999999999999999E-2</v>
      </c>
      <c r="P11" s="28">
        <v>0</v>
      </c>
      <c r="Q11" s="28">
        <v>0</v>
      </c>
      <c r="R11" s="28">
        <v>0</v>
      </c>
      <c r="S11" s="28">
        <v>7.2000000000000008E-2</v>
      </c>
      <c r="T11" s="28">
        <v>0.17199999999999999</v>
      </c>
      <c r="U11" s="28">
        <v>4.9000000000000002E-2</v>
      </c>
      <c r="V11" s="28">
        <v>7.0000000000000001E-3</v>
      </c>
      <c r="W11" s="28">
        <v>0.183</v>
      </c>
      <c r="X11" s="28">
        <v>0.18</v>
      </c>
      <c r="Y11" s="28">
        <v>2.9000000000000001E-2</v>
      </c>
      <c r="Z11" s="28">
        <v>0.113</v>
      </c>
      <c r="AA11" s="28">
        <v>0</v>
      </c>
      <c r="AB11" s="28">
        <v>0.16400000000000001</v>
      </c>
      <c r="AC11" s="28">
        <v>0.03</v>
      </c>
      <c r="AD11" s="28">
        <v>4.2000000000000003E-2</v>
      </c>
      <c r="AE11" s="28">
        <v>0.13300000000000001</v>
      </c>
      <c r="AF11" s="28">
        <v>0.18</v>
      </c>
      <c r="AG11" s="28">
        <v>8.7999999999999995E-2</v>
      </c>
      <c r="AH11" s="28">
        <v>3.3000000000000002E-2</v>
      </c>
      <c r="AI11" s="28">
        <v>3.1E-2</v>
      </c>
      <c r="AJ11" s="28">
        <v>4.8000000000000001E-2</v>
      </c>
      <c r="AK11" s="28">
        <v>0.19</v>
      </c>
      <c r="AL11" s="28">
        <v>0</v>
      </c>
      <c r="AM11" s="28">
        <v>0.14399999999999999</v>
      </c>
      <c r="AN11" s="28">
        <v>7.3999999999999996E-2</v>
      </c>
      <c r="AO11" s="28">
        <v>7.2999999999999995E-2</v>
      </c>
      <c r="AP11" s="28">
        <v>0.18</v>
      </c>
      <c r="AQ11" s="28">
        <v>0.124</v>
      </c>
      <c r="AR11" s="28">
        <v>9.1999999999999998E-2</v>
      </c>
      <c r="AS11" s="28">
        <v>7.9000000000000001E-2</v>
      </c>
      <c r="AT11" s="28">
        <v>0.12</v>
      </c>
      <c r="AU11" s="28">
        <v>0</v>
      </c>
      <c r="AV11" s="28">
        <v>0.154</v>
      </c>
      <c r="AW11" s="28">
        <v>0</v>
      </c>
      <c r="AX11" s="28">
        <v>0</v>
      </c>
      <c r="AY11" s="28">
        <v>0</v>
      </c>
      <c r="AZ11" s="28">
        <v>7.7408163265306126E-2</v>
      </c>
      <c r="BA11" s="34">
        <v>3.7930000000000001</v>
      </c>
    </row>
    <row r="12" spans="1:53" x14ac:dyDescent="0.25">
      <c r="A12" s="24">
        <v>11</v>
      </c>
      <c r="B12" s="26">
        <v>5</v>
      </c>
      <c r="C12" s="28">
        <v>0.17599999999999999</v>
      </c>
      <c r="D12" s="28">
        <v>0.39300000000000002</v>
      </c>
      <c r="E12" s="28">
        <v>0.248</v>
      </c>
      <c r="F12" s="28">
        <v>0.18</v>
      </c>
      <c r="G12" s="28">
        <v>0.41299999999999998</v>
      </c>
      <c r="H12" s="28">
        <v>0.317</v>
      </c>
      <c r="I12" s="28">
        <v>0.13800000000000001</v>
      </c>
      <c r="J12" s="28">
        <v>0.34300000000000003</v>
      </c>
      <c r="K12" s="28">
        <v>0.41499999999999998</v>
      </c>
      <c r="L12" s="28">
        <v>0.36799999999999999</v>
      </c>
      <c r="M12" s="28">
        <v>0.113</v>
      </c>
      <c r="N12" s="28">
        <v>0.16600000000000001</v>
      </c>
      <c r="O12" s="28">
        <v>0.41899999999999998</v>
      </c>
      <c r="P12" s="28">
        <v>0.27700000000000002</v>
      </c>
      <c r="Q12" s="28">
        <v>0.104</v>
      </c>
      <c r="R12" s="28">
        <v>0</v>
      </c>
      <c r="S12" s="28">
        <v>0.33600000000000002</v>
      </c>
      <c r="T12" s="28">
        <v>0.24099999999999999</v>
      </c>
      <c r="U12" s="28">
        <v>0.22700000000000001</v>
      </c>
      <c r="V12" s="28">
        <v>0</v>
      </c>
      <c r="W12" s="28">
        <v>0.40600000000000003</v>
      </c>
      <c r="X12" s="28">
        <v>0.30099999999999999</v>
      </c>
      <c r="Y12" s="28">
        <v>0.41099999999999998</v>
      </c>
      <c r="Z12" s="28">
        <v>0.27800000000000002</v>
      </c>
      <c r="AA12" s="28">
        <v>0.126</v>
      </c>
      <c r="AB12" s="28">
        <v>0.254</v>
      </c>
      <c r="AC12" s="28">
        <v>0.29399999999999998</v>
      </c>
      <c r="AD12" s="28">
        <v>0.25700000000000001</v>
      </c>
      <c r="AE12" s="28">
        <v>0.26600000000000001</v>
      </c>
      <c r="AF12" s="28">
        <v>0.40799999999999997</v>
      </c>
      <c r="AG12" s="28">
        <v>0.16400000000000001</v>
      </c>
      <c r="AH12" s="28">
        <v>0.42499999999999999</v>
      </c>
      <c r="AI12" s="28">
        <v>0.23499999999999999</v>
      </c>
      <c r="AJ12" s="28">
        <v>0.19800000000000001</v>
      </c>
      <c r="AK12" s="28">
        <v>0.377</v>
      </c>
      <c r="AL12" s="28">
        <v>0.189</v>
      </c>
      <c r="AM12" s="28">
        <v>0.27800000000000002</v>
      </c>
      <c r="AN12" s="28">
        <v>0.25800000000000001</v>
      </c>
      <c r="AO12" s="28">
        <v>0.40400000000000003</v>
      </c>
      <c r="AP12" s="28">
        <v>0.40799999999999997</v>
      </c>
      <c r="AQ12" s="28">
        <v>0.29599999999999999</v>
      </c>
      <c r="AR12" s="28">
        <v>0.23499999999999999</v>
      </c>
      <c r="AS12" s="28">
        <v>0.24099999999999999</v>
      </c>
      <c r="AT12" s="28">
        <v>0.20300000000000001</v>
      </c>
      <c r="AU12" s="28">
        <v>0.24</v>
      </c>
      <c r="AV12" s="28">
        <v>0.27</v>
      </c>
      <c r="AW12" s="28">
        <v>0.113</v>
      </c>
      <c r="AX12" s="28">
        <v>2.9000000000000001E-2</v>
      </c>
      <c r="AY12" s="28">
        <v>0.17299999999999999</v>
      </c>
      <c r="AZ12" s="28">
        <v>0.2573673469387755</v>
      </c>
      <c r="BA12" s="34">
        <v>12.611000000000001</v>
      </c>
    </row>
    <row r="13" spans="1:53" x14ac:dyDescent="0.25">
      <c r="A13" s="24">
        <v>12</v>
      </c>
      <c r="B13" s="26">
        <v>5.5</v>
      </c>
      <c r="C13" s="28">
        <v>0.63300000000000001</v>
      </c>
      <c r="D13" s="28">
        <v>0.48599999999999999</v>
      </c>
      <c r="E13" s="28">
        <v>0.46600000000000003</v>
      </c>
      <c r="F13" s="28">
        <v>0.50800000000000001</v>
      </c>
      <c r="G13" s="28">
        <v>0.628</v>
      </c>
      <c r="H13" s="28">
        <v>0.68900000000000006</v>
      </c>
      <c r="I13" s="28">
        <v>0.39200000000000002</v>
      </c>
      <c r="J13" s="28">
        <v>0.57200000000000006</v>
      </c>
      <c r="K13" s="28">
        <v>0.69599999999999995</v>
      </c>
      <c r="L13" s="28">
        <v>0.66400000000000003</v>
      </c>
      <c r="M13" s="28">
        <v>0.317</v>
      </c>
      <c r="N13" s="28">
        <v>0.313</v>
      </c>
      <c r="O13" s="28">
        <v>0.66299999999999992</v>
      </c>
      <c r="P13" s="28">
        <v>0.54799999999999993</v>
      </c>
      <c r="Q13" s="28">
        <v>0.151</v>
      </c>
      <c r="R13" s="28">
        <v>0.40899999999999997</v>
      </c>
      <c r="S13" s="28">
        <v>0.46700000000000003</v>
      </c>
      <c r="T13" s="28">
        <v>0.63600000000000001</v>
      </c>
      <c r="U13" s="28">
        <v>0.52300000000000002</v>
      </c>
      <c r="V13" s="28">
        <v>0.129</v>
      </c>
      <c r="W13" s="28">
        <v>0.59699999999999998</v>
      </c>
      <c r="X13" s="28">
        <v>0.68900000000000006</v>
      </c>
      <c r="Y13" s="28">
        <v>0.53799999999999992</v>
      </c>
      <c r="Z13" s="28">
        <v>0.64200000000000002</v>
      </c>
      <c r="AA13" s="28">
        <v>0.33100000000000002</v>
      </c>
      <c r="AB13" s="28">
        <v>0.63400000000000001</v>
      </c>
      <c r="AC13" s="28">
        <v>0.59500000000000008</v>
      </c>
      <c r="AD13" s="28">
        <v>0.68199999999999994</v>
      </c>
      <c r="AE13" s="28">
        <v>0.48399999999999999</v>
      </c>
      <c r="AF13" s="28">
        <v>0.68700000000000006</v>
      </c>
      <c r="AG13" s="28">
        <v>0.49700000000000011</v>
      </c>
      <c r="AH13" s="28">
        <v>0.70600000000000007</v>
      </c>
      <c r="AI13" s="28">
        <v>0.36599999999999999</v>
      </c>
      <c r="AJ13" s="28">
        <v>0.27</v>
      </c>
      <c r="AK13" s="28">
        <v>0.66500000000000004</v>
      </c>
      <c r="AL13" s="28">
        <v>0.222</v>
      </c>
      <c r="AM13" s="28">
        <v>0.69300000000000006</v>
      </c>
      <c r="AN13" s="28">
        <v>0.69200000000000006</v>
      </c>
      <c r="AO13" s="28">
        <v>0.68499999999999994</v>
      </c>
      <c r="AP13" s="28">
        <v>0.68900000000000006</v>
      </c>
      <c r="AQ13" s="28">
        <v>0.50600000000000001</v>
      </c>
      <c r="AR13" s="28">
        <v>0.41099999999999998</v>
      </c>
      <c r="AS13" s="28">
        <v>0.61499999999999999</v>
      </c>
      <c r="AT13" s="28">
        <v>0.502</v>
      </c>
      <c r="AU13" s="28">
        <v>0.40400000000000003</v>
      </c>
      <c r="AV13" s="28">
        <v>0.5109999999999999</v>
      </c>
      <c r="AW13" s="28">
        <v>0.15</v>
      </c>
      <c r="AX13" s="28">
        <v>0.16800000000000001</v>
      </c>
      <c r="AY13" s="28">
        <v>0.26100000000000001</v>
      </c>
      <c r="AZ13" s="28">
        <v>0.5057551020408162</v>
      </c>
      <c r="BA13" s="34">
        <v>24.781999999999989</v>
      </c>
    </row>
    <row r="14" spans="1:53" x14ac:dyDescent="0.25">
      <c r="A14" s="24">
        <v>13</v>
      </c>
      <c r="B14" s="26">
        <v>6</v>
      </c>
      <c r="C14" s="28">
        <v>0.83199999999999996</v>
      </c>
      <c r="D14" s="28">
        <v>1.002</v>
      </c>
      <c r="E14" s="28">
        <v>0.90300000000000002</v>
      </c>
      <c r="F14" s="28">
        <v>0.62</v>
      </c>
      <c r="G14" s="28">
        <v>0.94600000000000006</v>
      </c>
      <c r="H14" s="28">
        <v>0.92599999999999993</v>
      </c>
      <c r="I14" s="28">
        <v>0.621</v>
      </c>
      <c r="J14" s="28">
        <v>0.83600000000000008</v>
      </c>
      <c r="K14" s="28">
        <v>0.84900000000000009</v>
      </c>
      <c r="L14" s="28">
        <v>0.99700000000000011</v>
      </c>
      <c r="M14" s="28">
        <v>0.438</v>
      </c>
      <c r="N14" s="28">
        <v>0.35</v>
      </c>
      <c r="O14" s="28">
        <v>0.879</v>
      </c>
      <c r="P14" s="28">
        <v>0.89600000000000002</v>
      </c>
      <c r="Q14" s="28">
        <v>0.40200000000000002</v>
      </c>
      <c r="R14" s="28">
        <v>0.47</v>
      </c>
      <c r="S14" s="28">
        <v>0.86199999999999999</v>
      </c>
      <c r="T14" s="28">
        <v>0.80400000000000005</v>
      </c>
      <c r="U14" s="28">
        <v>0.71100000000000008</v>
      </c>
      <c r="V14" s="28">
        <v>0.29599999999999999</v>
      </c>
      <c r="W14" s="28">
        <v>0.998</v>
      </c>
      <c r="X14" s="28">
        <v>0.94899999999999995</v>
      </c>
      <c r="Y14" s="28">
        <v>0.998</v>
      </c>
      <c r="Z14" s="28">
        <v>0.874</v>
      </c>
      <c r="AA14" s="28">
        <v>0.42699999999999999</v>
      </c>
      <c r="AB14" s="28">
        <v>0.83299999999999996</v>
      </c>
      <c r="AC14" s="28">
        <v>0.68800000000000006</v>
      </c>
      <c r="AD14" s="28">
        <v>0.71299999999999997</v>
      </c>
      <c r="AE14" s="28">
        <v>0</v>
      </c>
      <c r="AF14" s="28">
        <v>0.92</v>
      </c>
      <c r="AG14" s="28">
        <v>0.72699999999999998</v>
      </c>
      <c r="AH14" s="28">
        <v>0.84799999999999998</v>
      </c>
      <c r="AI14" s="28">
        <v>0.79199999999999993</v>
      </c>
      <c r="AJ14" s="28">
        <v>0.61399999999999999</v>
      </c>
      <c r="AK14" s="28">
        <v>1.0049999999999999</v>
      </c>
      <c r="AL14" s="28">
        <v>0.442</v>
      </c>
      <c r="AM14" s="28">
        <v>0.89600000000000002</v>
      </c>
      <c r="AN14" s="28">
        <v>0.83600000000000008</v>
      </c>
      <c r="AO14" s="28">
        <v>0.89500000000000002</v>
      </c>
      <c r="AP14" s="28">
        <v>0.995</v>
      </c>
      <c r="AQ14" s="28">
        <v>0.73599999999999999</v>
      </c>
      <c r="AR14" s="28">
        <v>0.60199999999999998</v>
      </c>
      <c r="AS14" s="28">
        <v>0.8630000000000001</v>
      </c>
      <c r="AT14" s="28">
        <v>0.66200000000000003</v>
      </c>
      <c r="AU14" s="28">
        <v>0.8</v>
      </c>
      <c r="AV14" s="28">
        <v>0.85400000000000009</v>
      </c>
      <c r="AW14" s="28">
        <v>0.41799999999999998</v>
      </c>
      <c r="AX14" s="28">
        <v>0.31</v>
      </c>
      <c r="AY14" s="28">
        <v>0.307</v>
      </c>
      <c r="AZ14" s="28">
        <v>0.7273877551020409</v>
      </c>
      <c r="BA14" s="34">
        <v>35.642000000000003</v>
      </c>
    </row>
    <row r="15" spans="1:53" x14ac:dyDescent="0.25">
      <c r="A15" s="24">
        <v>14</v>
      </c>
      <c r="B15" s="26">
        <v>6.5</v>
      </c>
      <c r="C15" s="28">
        <v>1.1819999999999999</v>
      </c>
      <c r="D15" s="28">
        <v>1.2450000000000001</v>
      </c>
      <c r="E15" s="28">
        <v>1.3120000000000001</v>
      </c>
      <c r="F15" s="28">
        <v>0.97000000000000008</v>
      </c>
      <c r="G15" s="28">
        <v>1.31</v>
      </c>
      <c r="H15" s="28">
        <v>0.77100000000000002</v>
      </c>
      <c r="I15" s="28">
        <v>0.80300000000000005</v>
      </c>
      <c r="J15" s="28">
        <v>1.131</v>
      </c>
      <c r="K15" s="28">
        <v>1.3120000000000001</v>
      </c>
      <c r="L15" s="28">
        <v>1.2370000000000001</v>
      </c>
      <c r="M15" s="28">
        <v>0.59299999999999997</v>
      </c>
      <c r="N15" s="28">
        <v>0.58100000000000007</v>
      </c>
      <c r="O15" s="28">
        <v>1.3160000000000001</v>
      </c>
      <c r="P15" s="28">
        <v>1.145</v>
      </c>
      <c r="Q15" s="28">
        <v>0.57799999999999996</v>
      </c>
      <c r="R15" s="28">
        <v>0.6130000000000001</v>
      </c>
      <c r="S15" s="28">
        <v>0.94899999999999995</v>
      </c>
      <c r="T15" s="28">
        <v>1.2629999999999999</v>
      </c>
      <c r="U15" s="28">
        <v>1.0620000000000001</v>
      </c>
      <c r="V15" s="28">
        <v>0.38400000000000001</v>
      </c>
      <c r="W15" s="28">
        <v>1.3080000000000001</v>
      </c>
      <c r="X15" s="28">
        <v>1.2430000000000001</v>
      </c>
      <c r="Y15" s="28">
        <v>1.238</v>
      </c>
      <c r="Z15" s="28">
        <v>1.2490000000000001</v>
      </c>
      <c r="AA15" s="28">
        <v>0.8</v>
      </c>
      <c r="AB15" s="28">
        <v>1.3149999999999999</v>
      </c>
      <c r="AC15" s="28">
        <v>1.1339999999999999</v>
      </c>
      <c r="AD15" s="28">
        <v>1.298</v>
      </c>
      <c r="AE15" s="28">
        <v>0.72900000000000009</v>
      </c>
      <c r="AF15" s="28">
        <v>1.1779999999999999</v>
      </c>
      <c r="AG15" s="28">
        <v>0.80900000000000005</v>
      </c>
      <c r="AH15" s="28">
        <v>1.3220000000000001</v>
      </c>
      <c r="AI15" s="28">
        <v>1.044</v>
      </c>
      <c r="AJ15" s="28">
        <v>0.60499999999999998</v>
      </c>
      <c r="AK15" s="28">
        <v>1.24</v>
      </c>
      <c r="AL15" s="28">
        <v>0.53900000000000003</v>
      </c>
      <c r="AM15" s="28">
        <v>1.238</v>
      </c>
      <c r="AN15" s="28">
        <v>1.2070000000000001</v>
      </c>
      <c r="AO15" s="28">
        <v>1.2929999999999999</v>
      </c>
      <c r="AP15" s="28">
        <v>1.3049999999999999</v>
      </c>
      <c r="AQ15" s="28">
        <v>0.96799999999999997</v>
      </c>
      <c r="AR15" s="28">
        <v>0.79600000000000004</v>
      </c>
      <c r="AS15" s="28">
        <v>0.95399999999999996</v>
      </c>
      <c r="AT15" s="28">
        <v>0.94499999999999995</v>
      </c>
      <c r="AU15" s="28">
        <v>1.024</v>
      </c>
      <c r="AV15" s="28">
        <v>0.98</v>
      </c>
      <c r="AW15" s="28">
        <v>0.629</v>
      </c>
      <c r="AX15" s="28">
        <v>0.34399999999999997</v>
      </c>
      <c r="AY15" s="28">
        <v>0.62</v>
      </c>
      <c r="AZ15" s="28">
        <v>1.0022653061224489</v>
      </c>
      <c r="BA15" s="34">
        <v>49.110999999999997</v>
      </c>
    </row>
    <row r="16" spans="1:53" x14ac:dyDescent="0.25">
      <c r="A16" s="24">
        <v>15</v>
      </c>
      <c r="B16" s="26">
        <v>7</v>
      </c>
      <c r="C16" s="28">
        <v>1.548</v>
      </c>
      <c r="D16" s="28">
        <v>1.454</v>
      </c>
      <c r="E16" s="28">
        <v>1.458</v>
      </c>
      <c r="F16" s="28">
        <v>0</v>
      </c>
      <c r="G16" s="28">
        <v>1.57</v>
      </c>
      <c r="H16" s="28">
        <v>0.19900000000000001</v>
      </c>
      <c r="I16" s="28">
        <v>0.69700000000000006</v>
      </c>
      <c r="J16" s="28">
        <v>1.425</v>
      </c>
      <c r="K16" s="28">
        <v>1.5269999999999999</v>
      </c>
      <c r="L16" s="28">
        <v>1.615</v>
      </c>
      <c r="M16" s="28">
        <v>0.77899999999999991</v>
      </c>
      <c r="N16" s="28">
        <v>0.6130000000000001</v>
      </c>
      <c r="O16" s="28">
        <v>1.6240000000000001</v>
      </c>
      <c r="P16" s="28">
        <v>1.361</v>
      </c>
      <c r="Q16" s="28">
        <v>0.53500000000000003</v>
      </c>
      <c r="R16" s="28">
        <v>0.98599999999999988</v>
      </c>
      <c r="S16" s="28">
        <v>0</v>
      </c>
      <c r="T16" s="28">
        <v>1.4890000000000001</v>
      </c>
      <c r="U16" s="28">
        <v>1.3380000000000001</v>
      </c>
      <c r="V16" s="28">
        <v>0.32500000000000001</v>
      </c>
      <c r="W16" s="28">
        <v>1.6160000000000001</v>
      </c>
      <c r="X16" s="28">
        <v>1.613</v>
      </c>
      <c r="Y16" s="28">
        <v>1.532</v>
      </c>
      <c r="Z16" s="28">
        <v>1.6180000000000001</v>
      </c>
      <c r="AA16" s="28">
        <v>0.81599999999999995</v>
      </c>
      <c r="AB16" s="28">
        <v>1.5589999999999999</v>
      </c>
      <c r="AC16" s="28">
        <v>1.202</v>
      </c>
      <c r="AD16" s="28">
        <v>1.377</v>
      </c>
      <c r="AE16" s="28">
        <v>1.2010000000000001</v>
      </c>
      <c r="AF16" s="28">
        <v>1.526</v>
      </c>
      <c r="AG16" s="28">
        <v>1.19</v>
      </c>
      <c r="AH16" s="28">
        <v>1.623</v>
      </c>
      <c r="AI16" s="28">
        <v>1.1990000000000001</v>
      </c>
      <c r="AJ16" s="28">
        <v>1</v>
      </c>
      <c r="AK16" s="28">
        <v>1.623</v>
      </c>
      <c r="AL16" s="28">
        <v>0.65700000000000003</v>
      </c>
      <c r="AM16" s="28">
        <v>1.617</v>
      </c>
      <c r="AN16" s="28">
        <v>1.5920000000000001</v>
      </c>
      <c r="AO16" s="28">
        <v>1.609</v>
      </c>
      <c r="AP16" s="28">
        <v>1.5649999999999999</v>
      </c>
      <c r="AQ16" s="28">
        <v>1.1990000000000001</v>
      </c>
      <c r="AR16" s="28">
        <v>0.98799999999999999</v>
      </c>
      <c r="AS16" s="28">
        <v>1.4239999999999999</v>
      </c>
      <c r="AT16" s="28">
        <v>1.1950000000000001</v>
      </c>
      <c r="AU16" s="28">
        <v>1.212</v>
      </c>
      <c r="AV16" s="28">
        <v>1.3819999999999999</v>
      </c>
      <c r="AW16" s="28">
        <v>0.57200000000000006</v>
      </c>
      <c r="AX16" s="28">
        <v>0.437</v>
      </c>
      <c r="AY16" s="28">
        <v>0.58200000000000007</v>
      </c>
      <c r="AZ16" s="28">
        <v>1.168755102040816</v>
      </c>
      <c r="BA16" s="34">
        <v>57.268999999999991</v>
      </c>
    </row>
    <row r="17" spans="1:53" x14ac:dyDescent="0.25">
      <c r="A17" s="24">
        <v>16</v>
      </c>
      <c r="B17" s="26">
        <v>7.5</v>
      </c>
      <c r="C17" s="28">
        <v>1.722</v>
      </c>
      <c r="D17" s="28">
        <v>1.871</v>
      </c>
      <c r="E17" s="28">
        <v>1.929</v>
      </c>
      <c r="F17" s="28">
        <v>1.409</v>
      </c>
      <c r="G17" s="28">
        <v>1.1120000000000001</v>
      </c>
      <c r="H17" s="28">
        <v>1.7729999999999999</v>
      </c>
      <c r="I17" s="28">
        <v>0.85</v>
      </c>
      <c r="J17" s="28">
        <v>1.272</v>
      </c>
      <c r="K17" s="28">
        <v>1.403</v>
      </c>
      <c r="L17" s="28">
        <v>0.90900000000000003</v>
      </c>
      <c r="M17" s="28">
        <v>0.87</v>
      </c>
      <c r="N17" s="28">
        <v>0.89400000000000002</v>
      </c>
      <c r="O17" s="28">
        <v>1.145</v>
      </c>
      <c r="P17" s="28">
        <v>1.74</v>
      </c>
      <c r="Q17" s="28">
        <v>0.80400000000000005</v>
      </c>
      <c r="R17" s="28">
        <v>1.0009999999999999</v>
      </c>
      <c r="S17" s="28">
        <v>0.752</v>
      </c>
      <c r="T17" s="28">
        <v>1.754</v>
      </c>
      <c r="U17" s="28">
        <v>1.5589999999999999</v>
      </c>
      <c r="V17" s="28">
        <v>0.26700000000000002</v>
      </c>
      <c r="W17" s="28">
        <v>0.97900000000000009</v>
      </c>
      <c r="X17" s="28">
        <v>1.1679999999999999</v>
      </c>
      <c r="Y17" s="28">
        <v>1.52</v>
      </c>
      <c r="Z17" s="28">
        <v>1.5229999999999999</v>
      </c>
      <c r="AA17" s="28">
        <v>1.1850000000000001</v>
      </c>
      <c r="AB17" s="28">
        <v>1.639</v>
      </c>
      <c r="AC17" s="28">
        <v>1.3859999999999999</v>
      </c>
      <c r="AD17" s="28">
        <v>1.869</v>
      </c>
      <c r="AE17" s="28">
        <v>1.389</v>
      </c>
      <c r="AF17" s="28">
        <v>0.88500000000000001</v>
      </c>
      <c r="AG17" s="28">
        <v>1.2789999999999999</v>
      </c>
      <c r="AH17" s="28">
        <v>1.2230000000000001</v>
      </c>
      <c r="AI17" s="28">
        <v>1.496</v>
      </c>
      <c r="AJ17" s="28">
        <v>1.115</v>
      </c>
      <c r="AK17" s="28">
        <v>1.536</v>
      </c>
      <c r="AL17" s="28">
        <v>0.876</v>
      </c>
      <c r="AM17" s="28">
        <v>1.456</v>
      </c>
      <c r="AN17" s="28">
        <v>1.6870000000000001</v>
      </c>
      <c r="AO17" s="28">
        <v>1.2070000000000001</v>
      </c>
      <c r="AP17" s="28">
        <v>0.64200000000000002</v>
      </c>
      <c r="AQ17" s="28">
        <v>1.431</v>
      </c>
      <c r="AR17" s="28">
        <v>1.181</v>
      </c>
      <c r="AS17" s="28">
        <v>1.617</v>
      </c>
      <c r="AT17" s="28">
        <v>1.427</v>
      </c>
      <c r="AU17" s="28">
        <v>1.5840000000000001</v>
      </c>
      <c r="AV17" s="28">
        <v>1.66</v>
      </c>
      <c r="AW17" s="28">
        <v>0.93700000000000006</v>
      </c>
      <c r="AX17" s="28">
        <v>0.64800000000000002</v>
      </c>
      <c r="AY17" s="28">
        <v>0.93800000000000006</v>
      </c>
      <c r="AZ17" s="28">
        <v>1.2758979591836741</v>
      </c>
      <c r="BA17" s="34">
        <v>62.519000000000013</v>
      </c>
    </row>
    <row r="18" spans="1:53" x14ac:dyDescent="0.25">
      <c r="A18" s="24">
        <v>17</v>
      </c>
      <c r="B18" s="26">
        <v>8</v>
      </c>
      <c r="C18" s="28">
        <v>0</v>
      </c>
      <c r="D18" s="28">
        <v>0</v>
      </c>
      <c r="E18" s="28">
        <v>0.78</v>
      </c>
      <c r="F18" s="28">
        <v>1.5620000000000001</v>
      </c>
      <c r="G18" s="28">
        <v>0</v>
      </c>
      <c r="H18" s="28">
        <v>0.71299999999999997</v>
      </c>
      <c r="I18" s="28">
        <v>1.2869999999999999</v>
      </c>
      <c r="J18" s="28">
        <v>0</v>
      </c>
      <c r="K18" s="28">
        <v>0</v>
      </c>
      <c r="L18" s="28">
        <v>0</v>
      </c>
      <c r="M18" s="28">
        <v>0.82600000000000007</v>
      </c>
      <c r="N18" s="28">
        <v>0.97199999999999998</v>
      </c>
      <c r="O18" s="28">
        <v>0</v>
      </c>
      <c r="P18" s="28">
        <v>1.03</v>
      </c>
      <c r="Q18" s="28">
        <v>0.28499999999999998</v>
      </c>
      <c r="R18" s="28">
        <v>1.36</v>
      </c>
      <c r="S18" s="28">
        <v>0.65799999999999992</v>
      </c>
      <c r="T18" s="28">
        <v>0.6130000000000001</v>
      </c>
      <c r="U18" s="28">
        <v>1.0569999999999999</v>
      </c>
      <c r="V18" s="28">
        <v>0.61099999999999999</v>
      </c>
      <c r="W18" s="28">
        <v>0</v>
      </c>
      <c r="X18" s="28">
        <v>0</v>
      </c>
      <c r="Y18" s="28">
        <v>0</v>
      </c>
      <c r="Z18" s="28">
        <v>0</v>
      </c>
      <c r="AA18" s="28">
        <v>1.3660000000000001</v>
      </c>
      <c r="AB18" s="28">
        <v>1.571</v>
      </c>
      <c r="AC18" s="28">
        <v>1.056</v>
      </c>
      <c r="AD18" s="28">
        <v>0.67599999999999993</v>
      </c>
      <c r="AE18" s="28">
        <v>1.633</v>
      </c>
      <c r="AF18" s="28">
        <v>0</v>
      </c>
      <c r="AG18" s="28">
        <v>1.4990000000000001</v>
      </c>
      <c r="AH18" s="28">
        <v>0</v>
      </c>
      <c r="AI18" s="28">
        <v>1.923</v>
      </c>
      <c r="AJ18" s="28">
        <v>1.25</v>
      </c>
      <c r="AK18" s="28">
        <v>0</v>
      </c>
      <c r="AL18" s="28">
        <v>0.96399999999999997</v>
      </c>
      <c r="AM18" s="28">
        <v>0</v>
      </c>
      <c r="AN18" s="28">
        <v>0.28100000000000003</v>
      </c>
      <c r="AO18" s="28">
        <v>0</v>
      </c>
      <c r="AP18" s="28">
        <v>0</v>
      </c>
      <c r="AQ18" s="28">
        <v>1.161</v>
      </c>
      <c r="AR18" s="28">
        <v>1.3620000000000001</v>
      </c>
      <c r="AS18" s="28">
        <v>1.45</v>
      </c>
      <c r="AT18" s="28">
        <v>1.5269999999999999</v>
      </c>
      <c r="AU18" s="28">
        <v>1.845</v>
      </c>
      <c r="AV18" s="28">
        <v>0.622</v>
      </c>
      <c r="AW18" s="28">
        <v>4.9000000000000002E-2</v>
      </c>
      <c r="AX18" s="28">
        <v>0.67500000000000004</v>
      </c>
      <c r="AY18" s="28">
        <v>0.92199999999999993</v>
      </c>
      <c r="AZ18" s="28">
        <v>0.68542857142857105</v>
      </c>
      <c r="BA18" s="34">
        <v>33.585999999999977</v>
      </c>
    </row>
    <row r="19" spans="1:53" x14ac:dyDescent="0.25">
      <c r="A19" s="24">
        <v>18</v>
      </c>
      <c r="B19" s="26">
        <v>8.5</v>
      </c>
      <c r="C19" s="28">
        <v>1.335</v>
      </c>
      <c r="D19" s="28">
        <v>0</v>
      </c>
      <c r="E19" s="28">
        <v>0</v>
      </c>
      <c r="F19" s="28">
        <v>1.2949999999999999</v>
      </c>
      <c r="G19" s="28">
        <v>0</v>
      </c>
      <c r="H19" s="28">
        <v>1.048</v>
      </c>
      <c r="I19" s="28">
        <v>1.671</v>
      </c>
      <c r="J19" s="28">
        <v>0</v>
      </c>
      <c r="K19" s="28">
        <v>0</v>
      </c>
      <c r="L19" s="28">
        <v>0</v>
      </c>
      <c r="M19" s="28">
        <v>0.96599999999999997</v>
      </c>
      <c r="N19" s="28">
        <v>1.159</v>
      </c>
      <c r="O19" s="28">
        <v>0</v>
      </c>
      <c r="P19" s="28">
        <v>0</v>
      </c>
      <c r="Q19" s="28">
        <v>1.1299999999999999</v>
      </c>
      <c r="R19" s="28">
        <v>1.482</v>
      </c>
      <c r="S19" s="28">
        <v>0.371</v>
      </c>
      <c r="T19" s="28">
        <v>0</v>
      </c>
      <c r="U19" s="28">
        <v>0</v>
      </c>
      <c r="V19" s="28">
        <v>0.35399999999999998</v>
      </c>
      <c r="W19" s="28">
        <v>0</v>
      </c>
      <c r="X19" s="28">
        <v>0</v>
      </c>
      <c r="Y19" s="28">
        <v>0</v>
      </c>
      <c r="Z19" s="28">
        <v>0</v>
      </c>
      <c r="AA19" s="28">
        <v>1.357</v>
      </c>
      <c r="AB19" s="28">
        <v>0</v>
      </c>
      <c r="AC19" s="28">
        <v>0</v>
      </c>
      <c r="AD19" s="28">
        <v>0</v>
      </c>
      <c r="AE19" s="28">
        <v>0.754</v>
      </c>
      <c r="AF19" s="28">
        <v>0</v>
      </c>
      <c r="AG19" s="28">
        <v>0.10199999999999999</v>
      </c>
      <c r="AH19" s="28">
        <v>0</v>
      </c>
      <c r="AI19" s="28">
        <v>0.88300000000000001</v>
      </c>
      <c r="AJ19" s="28">
        <v>1.319</v>
      </c>
      <c r="AK19" s="28">
        <v>0</v>
      </c>
      <c r="AL19" s="28">
        <v>1.129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0.13800000000000001</v>
      </c>
      <c r="AS19" s="28">
        <v>0</v>
      </c>
      <c r="AT19" s="28">
        <v>0.32800000000000001</v>
      </c>
      <c r="AU19" s="28">
        <v>0.85899999999999999</v>
      </c>
      <c r="AV19" s="28">
        <v>0</v>
      </c>
      <c r="AW19" s="28">
        <v>1.0900000000000001</v>
      </c>
      <c r="AX19" s="28">
        <v>0.80400000000000005</v>
      </c>
      <c r="AY19" s="28">
        <v>1.0209999999999999</v>
      </c>
      <c r="AZ19" s="28">
        <v>0.42030612244897958</v>
      </c>
      <c r="BA19" s="34">
        <v>20.594999999999999</v>
      </c>
    </row>
    <row r="20" spans="1:53" x14ac:dyDescent="0.25">
      <c r="A20" s="24">
        <v>19</v>
      </c>
      <c r="B20" s="26">
        <v>9</v>
      </c>
      <c r="C20" s="28">
        <v>0.91400000000000003</v>
      </c>
      <c r="D20" s="28">
        <v>0</v>
      </c>
      <c r="E20" s="28">
        <v>0</v>
      </c>
      <c r="F20" s="28">
        <v>0.29199999999999998</v>
      </c>
      <c r="G20" s="28">
        <v>0</v>
      </c>
      <c r="H20" s="28">
        <v>0</v>
      </c>
      <c r="I20" s="28">
        <v>0.39100000000000001</v>
      </c>
      <c r="J20" s="28">
        <v>0</v>
      </c>
      <c r="K20" s="28">
        <v>0</v>
      </c>
      <c r="L20" s="28">
        <v>0</v>
      </c>
      <c r="M20" s="28">
        <v>1.157</v>
      </c>
      <c r="N20" s="28">
        <v>1.3009999999999999</v>
      </c>
      <c r="O20" s="28">
        <v>0</v>
      </c>
      <c r="P20" s="28">
        <v>0</v>
      </c>
      <c r="Q20" s="28">
        <v>1.258</v>
      </c>
      <c r="R20" s="28">
        <v>1.2190000000000001</v>
      </c>
      <c r="S20" s="28">
        <v>1.127</v>
      </c>
      <c r="T20" s="28">
        <v>0</v>
      </c>
      <c r="U20" s="28">
        <v>0</v>
      </c>
      <c r="V20" s="28">
        <v>0.99700000000000011</v>
      </c>
      <c r="W20" s="28">
        <v>0</v>
      </c>
      <c r="X20" s="28">
        <v>0</v>
      </c>
      <c r="Y20" s="28">
        <v>0</v>
      </c>
      <c r="Z20" s="28">
        <v>0</v>
      </c>
      <c r="AA20" s="28">
        <v>0.29099999999999998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1.2549999999999999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1.2370000000000001</v>
      </c>
      <c r="AX20" s="28">
        <v>0.81800000000000006</v>
      </c>
      <c r="AY20" s="28">
        <v>1.292</v>
      </c>
      <c r="AZ20" s="28">
        <v>0.27651020408163268</v>
      </c>
      <c r="BA20" s="34">
        <v>13.548999999999999</v>
      </c>
    </row>
    <row r="21" spans="1:53" x14ac:dyDescent="0.25">
      <c r="A21" s="24">
        <v>20</v>
      </c>
      <c r="B21" s="26">
        <v>9.5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1.1579999999999999</v>
      </c>
      <c r="O21" s="28">
        <v>0</v>
      </c>
      <c r="P21" s="28">
        <v>0</v>
      </c>
      <c r="Q21" s="28">
        <v>1.389</v>
      </c>
      <c r="R21" s="28">
        <v>0.36699999999999999</v>
      </c>
      <c r="S21" s="28">
        <v>1.2</v>
      </c>
      <c r="T21" s="28">
        <v>0</v>
      </c>
      <c r="U21" s="28">
        <v>0</v>
      </c>
      <c r="V21" s="28">
        <v>1.038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0.26900000000000002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1.254</v>
      </c>
      <c r="AX21" s="28">
        <v>0.91500000000000004</v>
      </c>
      <c r="AY21" s="28">
        <v>1.149</v>
      </c>
      <c r="AZ21" s="28">
        <v>0.17834693877551019</v>
      </c>
      <c r="BA21" s="34">
        <v>8.7390000000000008</v>
      </c>
    </row>
    <row r="22" spans="1:53" x14ac:dyDescent="0.25">
      <c r="A22" s="24">
        <v>21</v>
      </c>
      <c r="B22" s="26">
        <v>10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0.46100000000000002</v>
      </c>
      <c r="O22" s="28">
        <v>0</v>
      </c>
      <c r="P22" s="28">
        <v>0</v>
      </c>
      <c r="Q22" s="28">
        <v>0</v>
      </c>
      <c r="R22" s="28">
        <v>6.0999999999999999E-2</v>
      </c>
      <c r="S22" s="28">
        <v>0</v>
      </c>
      <c r="T22" s="28">
        <v>0</v>
      </c>
      <c r="U22" s="28">
        <v>0</v>
      </c>
      <c r="V22" s="28">
        <v>0.97099999999999997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1.2E-2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0.41799999999999998</v>
      </c>
      <c r="AX22" s="28">
        <v>0.77800000000000002</v>
      </c>
      <c r="AY22" s="28">
        <v>0</v>
      </c>
      <c r="AZ22" s="28">
        <v>5.5122448979591843E-2</v>
      </c>
      <c r="BA22" s="34">
        <v>2.7010000000000001</v>
      </c>
    </row>
    <row r="23" spans="1:53" x14ac:dyDescent="0.25">
      <c r="A23" s="24">
        <v>22</v>
      </c>
      <c r="B23" s="26">
        <v>10.5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1.1140000000000001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0.79</v>
      </c>
      <c r="AY23" s="28">
        <v>0</v>
      </c>
      <c r="AZ23" s="28">
        <v>3.8857142857142847E-2</v>
      </c>
      <c r="BA23" s="34">
        <v>1.9039999999999999</v>
      </c>
    </row>
    <row r="24" spans="1:53" x14ac:dyDescent="0.25">
      <c r="A24" s="24">
        <v>23</v>
      </c>
      <c r="B24" s="26">
        <v>11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34">
        <v>0</v>
      </c>
    </row>
    <row r="25" spans="1:53" x14ac:dyDescent="0.25">
      <c r="A25" s="24">
        <v>24</v>
      </c>
      <c r="B25" s="26">
        <v>11.5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0.16500000000000001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0.16400000000000001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6.7142857142857143E-3</v>
      </c>
      <c r="BA25" s="34">
        <v>0.32900000000000001</v>
      </c>
    </row>
    <row r="26" spans="1:53" x14ac:dyDescent="0.25">
      <c r="A26" s="24">
        <v>25</v>
      </c>
      <c r="B26" s="26">
        <v>12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0.48099999999999998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9.8163265306122453E-3</v>
      </c>
      <c r="BA26" s="34">
        <v>0.48099999999999998</v>
      </c>
    </row>
    <row r="27" spans="1:53" x14ac:dyDescent="0.25">
      <c r="A27" s="24">
        <v>26</v>
      </c>
      <c r="B27" s="26">
        <v>12.5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34">
        <v>0</v>
      </c>
    </row>
    <row r="28" spans="1:53" x14ac:dyDescent="0.25">
      <c r="A28" s="24">
        <v>27</v>
      </c>
      <c r="B28" s="26">
        <v>13</v>
      </c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34">
        <v>0</v>
      </c>
    </row>
    <row r="29" spans="1:53" x14ac:dyDescent="0.25">
      <c r="A29" s="24">
        <v>28</v>
      </c>
      <c r="B29" s="26">
        <v>13.5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0.68199999999999994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1.391836734693877E-2</v>
      </c>
      <c r="BA29" s="34">
        <v>0.68199999999999994</v>
      </c>
    </row>
    <row r="30" spans="1:53" x14ac:dyDescent="0.25">
      <c r="A30" s="24">
        <v>29</v>
      </c>
      <c r="B30" s="26">
        <v>14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0.19500000000000001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3.9795918367346939E-3</v>
      </c>
      <c r="BA30" s="34">
        <v>0.19500000000000001</v>
      </c>
    </row>
    <row r="31" spans="1:53" x14ac:dyDescent="0.25">
      <c r="A31" s="24">
        <v>30</v>
      </c>
      <c r="B31" s="26">
        <v>14.5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0.33300000000000002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6.7959183673469391E-3</v>
      </c>
      <c r="BA31" s="34">
        <v>0.33300000000000002</v>
      </c>
    </row>
    <row r="32" spans="1:53" x14ac:dyDescent="0.25">
      <c r="A32" s="24">
        <v>31</v>
      </c>
      <c r="B32" s="26">
        <v>15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34">
        <v>0</v>
      </c>
    </row>
    <row r="33" spans="1:53" x14ac:dyDescent="0.25">
      <c r="A33" s="24">
        <v>32</v>
      </c>
      <c r="B33" s="26">
        <v>15.5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0.41599999999999998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8.4897959183673471E-3</v>
      </c>
      <c r="BA33" s="34">
        <v>0.41599999999999998</v>
      </c>
    </row>
    <row r="34" spans="1:53" x14ac:dyDescent="0.25">
      <c r="A34" s="24">
        <v>33</v>
      </c>
      <c r="B34" s="26">
        <v>16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1.615</v>
      </c>
      <c r="P34" s="28">
        <v>0</v>
      </c>
      <c r="Q34" s="28">
        <v>0</v>
      </c>
      <c r="R34" s="28">
        <v>0.16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0.61599999999999999</v>
      </c>
      <c r="AX34" s="28">
        <v>0</v>
      </c>
      <c r="AY34" s="28">
        <v>0</v>
      </c>
      <c r="AZ34" s="28">
        <v>4.8795918367346938E-2</v>
      </c>
      <c r="BA34" s="34">
        <v>2.391</v>
      </c>
    </row>
    <row r="35" spans="1:53" x14ac:dyDescent="0.25">
      <c r="A35" s="24">
        <v>34</v>
      </c>
      <c r="B35" s="26">
        <v>16.5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0.17499999999999999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0.67900000000000005</v>
      </c>
      <c r="AX35" s="28">
        <v>0</v>
      </c>
      <c r="AY35" s="28">
        <v>0</v>
      </c>
      <c r="AZ35" s="28">
        <v>1.7428571428571429E-2</v>
      </c>
      <c r="BA35" s="34">
        <v>0.85400000000000009</v>
      </c>
    </row>
    <row r="36" spans="1:53" x14ac:dyDescent="0.25">
      <c r="A36" s="24">
        <v>35</v>
      </c>
      <c r="B36" s="26">
        <v>17</v>
      </c>
      <c r="C36" s="28">
        <v>0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0.33600000000000002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0.88600000000000001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0.499</v>
      </c>
      <c r="AX36" s="28">
        <v>0</v>
      </c>
      <c r="AY36" s="28">
        <v>0</v>
      </c>
      <c r="AZ36" s="28">
        <v>3.5122448979591839E-2</v>
      </c>
      <c r="BA36" s="34">
        <v>1.7210000000000001</v>
      </c>
    </row>
    <row r="37" spans="1:53" x14ac:dyDescent="0.25">
      <c r="A37" s="24">
        <v>36</v>
      </c>
      <c r="B37" s="26">
        <v>17.5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0.40899999999999997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0.58100000000000007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2.0204081632653061E-2</v>
      </c>
      <c r="BA37" s="34">
        <v>0.9900000000000001</v>
      </c>
    </row>
    <row r="38" spans="1:53" x14ac:dyDescent="0.25">
      <c r="A38" s="24">
        <v>37</v>
      </c>
      <c r="B38" s="26">
        <v>18</v>
      </c>
      <c r="C38" s="28">
        <v>0</v>
      </c>
      <c r="D38" s="28">
        <v>0.747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0.189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1.9102040816326531E-2</v>
      </c>
      <c r="BA38" s="34">
        <v>0.93599999999999994</v>
      </c>
    </row>
    <row r="39" spans="1:53" x14ac:dyDescent="0.25">
      <c r="A39" s="24">
        <v>38</v>
      </c>
      <c r="B39" s="26">
        <v>18.5</v>
      </c>
      <c r="C39" s="28">
        <v>0</v>
      </c>
      <c r="D39" s="28">
        <v>0.49399999999999999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3.6999999999999998E-2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2E-3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0.251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1.6E-2</v>
      </c>
      <c r="BA39" s="34">
        <v>0.78400000000000003</v>
      </c>
    </row>
    <row r="40" spans="1:53" x14ac:dyDescent="0.25">
      <c r="A40" s="24">
        <v>39</v>
      </c>
      <c r="B40" s="26">
        <v>19</v>
      </c>
      <c r="C40" s="28">
        <v>0</v>
      </c>
      <c r="D40" s="28">
        <v>0.245</v>
      </c>
      <c r="E40" s="28">
        <v>0</v>
      </c>
      <c r="F40" s="28">
        <v>0.122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0.23400000000000001</v>
      </c>
      <c r="AL40" s="28">
        <v>2.9000000000000001E-2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1.285714285714286E-2</v>
      </c>
      <c r="BA40" s="34">
        <v>0.63</v>
      </c>
    </row>
    <row r="41" spans="1:53" x14ac:dyDescent="0.25">
      <c r="A41" s="24">
        <v>40</v>
      </c>
      <c r="B41" s="26">
        <v>19.5</v>
      </c>
      <c r="C41" s="28">
        <v>0</v>
      </c>
      <c r="D41" s="28">
        <v>0</v>
      </c>
      <c r="E41" s="28">
        <v>0</v>
      </c>
      <c r="F41" s="28">
        <v>2.1000000000000001E-2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4.285714285714285E-4</v>
      </c>
      <c r="BA41" s="34">
        <v>2.1000000000000001E-2</v>
      </c>
    </row>
    <row r="42" spans="1:53" x14ac:dyDescent="0.25">
      <c r="A42" s="24">
        <v>41</v>
      </c>
      <c r="B42" s="26">
        <v>20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34">
        <v>0</v>
      </c>
    </row>
    <row r="43" spans="1:53" x14ac:dyDescent="0.25">
      <c r="A43" s="24">
        <v>42</v>
      </c>
      <c r="B43" s="26">
        <v>20.5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34">
        <v>0</v>
      </c>
    </row>
    <row r="44" spans="1:53" x14ac:dyDescent="0.25">
      <c r="A44" s="24">
        <v>43</v>
      </c>
      <c r="B44" s="26">
        <v>21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34">
        <v>0</v>
      </c>
    </row>
    <row r="45" spans="1:53" x14ac:dyDescent="0.25">
      <c r="A45" s="24">
        <v>44</v>
      </c>
      <c r="B45" s="26">
        <v>21.5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34">
        <v>0</v>
      </c>
    </row>
    <row r="46" spans="1:53" x14ac:dyDescent="0.25">
      <c r="A46" s="24">
        <v>45</v>
      </c>
      <c r="B46" s="26">
        <v>22</v>
      </c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34">
        <v>0</v>
      </c>
    </row>
    <row r="47" spans="1:53" x14ac:dyDescent="0.25">
      <c r="A47" s="24">
        <v>46</v>
      </c>
      <c r="B47" s="26">
        <v>22.5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34">
        <v>0</v>
      </c>
    </row>
    <row r="48" spans="1:53" x14ac:dyDescent="0.25">
      <c r="A48" s="24">
        <v>47</v>
      </c>
      <c r="B48" s="26">
        <v>23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34">
        <v>0</v>
      </c>
    </row>
    <row r="49" spans="1:53" x14ac:dyDescent="0.25">
      <c r="A49" s="25">
        <v>48</v>
      </c>
      <c r="B49" s="27">
        <v>23.5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  <c r="AC49" s="29">
        <v>0</v>
      </c>
      <c r="AD49" s="29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0</v>
      </c>
      <c r="AX49" s="29">
        <v>0</v>
      </c>
      <c r="AY49" s="29">
        <v>0</v>
      </c>
      <c r="AZ49" s="29">
        <v>0</v>
      </c>
      <c r="BA49" s="3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53" width="15" customWidth="1"/>
  </cols>
  <sheetData>
    <row r="1" spans="1:53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9" t="s">
        <v>87</v>
      </c>
    </row>
    <row r="2" spans="1:53" x14ac:dyDescent="0.25">
      <c r="A2" s="24">
        <v>1</v>
      </c>
      <c r="B2" s="26">
        <v>0</v>
      </c>
      <c r="C2" s="28">
        <v>0.19</v>
      </c>
      <c r="D2" s="28">
        <v>4.5999999999999999E-2</v>
      </c>
      <c r="E2" s="28">
        <v>4.5999999999999999E-2</v>
      </c>
      <c r="F2" s="28">
        <v>0.38</v>
      </c>
      <c r="G2" s="28">
        <v>4.8000000000000001E-2</v>
      </c>
      <c r="H2" s="28">
        <v>0.104</v>
      </c>
      <c r="I2" s="28">
        <v>0.34</v>
      </c>
      <c r="J2" s="28">
        <v>3.3000000000000002E-2</v>
      </c>
      <c r="K2" s="28">
        <v>4.5999999999999999E-2</v>
      </c>
      <c r="L2" s="28">
        <v>9.8000000000000004E-2</v>
      </c>
      <c r="M2" s="28">
        <v>5.3999999999999999E-2</v>
      </c>
      <c r="N2" s="28">
        <v>0.59899999999999998</v>
      </c>
      <c r="O2" s="28">
        <v>7.2000000000000008E-2</v>
      </c>
      <c r="P2" s="28">
        <v>0.14399999999999999</v>
      </c>
      <c r="Q2" s="28">
        <v>0.16500000000000001</v>
      </c>
      <c r="R2" s="28">
        <v>0.16</v>
      </c>
      <c r="S2" s="28">
        <v>0.13100000000000001</v>
      </c>
      <c r="T2" s="28">
        <v>0.14899999999999999</v>
      </c>
      <c r="U2" s="28">
        <v>4.8000000000000001E-2</v>
      </c>
      <c r="V2" s="28">
        <v>0.14899999999999999</v>
      </c>
      <c r="W2" s="28">
        <v>0.15</v>
      </c>
      <c r="X2" s="28">
        <v>5.2999999999999999E-2</v>
      </c>
      <c r="Y2" s="28">
        <v>0.14799999999999999</v>
      </c>
      <c r="Z2" s="28">
        <v>0.11</v>
      </c>
      <c r="AA2" s="28">
        <v>8.1000000000000003E-2</v>
      </c>
      <c r="AB2" s="28">
        <v>0.33500000000000002</v>
      </c>
      <c r="AC2" s="28">
        <v>5.3999999999999999E-2</v>
      </c>
      <c r="AD2" s="28">
        <v>0.06</v>
      </c>
      <c r="AE2" s="28">
        <v>4.1000000000000002E-2</v>
      </c>
      <c r="AF2" s="28">
        <v>5.2999999999999999E-2</v>
      </c>
      <c r="AG2" s="28">
        <v>5.8999999999999997E-2</v>
      </c>
      <c r="AH2" s="28">
        <v>0.111</v>
      </c>
      <c r="AI2" s="28">
        <v>0.499</v>
      </c>
      <c r="AJ2" s="28">
        <v>0.152</v>
      </c>
      <c r="AK2" s="28">
        <v>4.2999999999999997E-2</v>
      </c>
      <c r="AL2" s="28">
        <v>0.14899999999999999</v>
      </c>
      <c r="AM2" s="28">
        <v>4.9000000000000002E-2</v>
      </c>
      <c r="AN2" s="28">
        <v>7.9000000000000001E-2</v>
      </c>
      <c r="AO2" s="28">
        <v>0.13800000000000001</v>
      </c>
      <c r="AP2" s="28">
        <v>5.2999999999999999E-2</v>
      </c>
      <c r="AQ2" s="28">
        <v>0.63900000000000001</v>
      </c>
      <c r="AR2" s="28">
        <v>5.2999999999999999E-2</v>
      </c>
      <c r="AS2" s="28">
        <v>0.55199999999999994</v>
      </c>
      <c r="AT2" s="28">
        <v>0.68300000000000005</v>
      </c>
      <c r="AU2" s="28">
        <v>0.73399999999999999</v>
      </c>
      <c r="AV2" s="28">
        <v>0.10199999999999999</v>
      </c>
      <c r="AW2" s="28">
        <v>0.16</v>
      </c>
      <c r="AX2" s="28">
        <v>0.13300000000000001</v>
      </c>
      <c r="AY2" s="28">
        <v>0.76900000000000002</v>
      </c>
      <c r="AZ2" s="28">
        <v>0.1886530612244898</v>
      </c>
      <c r="BA2" s="34">
        <v>9.2440000000000015</v>
      </c>
    </row>
    <row r="3" spans="1:53" x14ac:dyDescent="0.25">
      <c r="A3" s="24">
        <v>2</v>
      </c>
      <c r="B3" s="26">
        <v>0.5</v>
      </c>
      <c r="C3" s="28">
        <v>0.26100000000000001</v>
      </c>
      <c r="D3" s="28">
        <v>0.107</v>
      </c>
      <c r="E3" s="28">
        <v>0.31</v>
      </c>
      <c r="F3" s="28">
        <v>0.125</v>
      </c>
      <c r="G3" s="28">
        <v>0.21</v>
      </c>
      <c r="H3" s="28">
        <v>0.17100000000000001</v>
      </c>
      <c r="I3" s="28">
        <v>5.2999999999999999E-2</v>
      </c>
      <c r="J3" s="28">
        <v>3.3000000000000002E-2</v>
      </c>
      <c r="K3" s="28">
        <v>0.19900000000000001</v>
      </c>
      <c r="L3" s="28">
        <v>7.8E-2</v>
      </c>
      <c r="M3" s="28">
        <v>0.17199999999999999</v>
      </c>
      <c r="N3" s="28">
        <v>0.54400000000000004</v>
      </c>
      <c r="O3" s="28">
        <v>4.2000000000000003E-2</v>
      </c>
      <c r="P3" s="28">
        <v>0.23</v>
      </c>
      <c r="Q3" s="28">
        <v>4.7E-2</v>
      </c>
      <c r="R3" s="28">
        <v>5.5E-2</v>
      </c>
      <c r="S3" s="28">
        <v>5.5E-2</v>
      </c>
      <c r="T3" s="28">
        <v>0.17</v>
      </c>
      <c r="U3" s="28">
        <v>9.0999999999999998E-2</v>
      </c>
      <c r="V3" s="28">
        <v>0.13900000000000001</v>
      </c>
      <c r="W3" s="28">
        <v>0.05</v>
      </c>
      <c r="X3" s="28">
        <v>5.2999999999999999E-2</v>
      </c>
      <c r="Y3" s="28">
        <v>0.106</v>
      </c>
      <c r="Z3" s="28">
        <v>5.1999999999999998E-2</v>
      </c>
      <c r="AA3" s="28">
        <v>0.28000000000000003</v>
      </c>
      <c r="AB3" s="28">
        <v>1.2989999999999999</v>
      </c>
      <c r="AC3" s="28">
        <v>5.3999999999999999E-2</v>
      </c>
      <c r="AD3" s="28">
        <v>0.24299999999999999</v>
      </c>
      <c r="AE3" s="28">
        <v>0.112</v>
      </c>
      <c r="AF3" s="28">
        <v>5.2999999999999999E-2</v>
      </c>
      <c r="AG3" s="28">
        <v>0.14799999999999999</v>
      </c>
      <c r="AH3" s="28">
        <v>0.14099999999999999</v>
      </c>
      <c r="AI3" s="28">
        <v>0.621</v>
      </c>
      <c r="AJ3" s="28">
        <v>4.1000000000000002E-2</v>
      </c>
      <c r="AK3" s="28">
        <v>4.2999999999999997E-2</v>
      </c>
      <c r="AL3" s="28">
        <v>8.2000000000000003E-2</v>
      </c>
      <c r="AM3" s="28">
        <v>0.223</v>
      </c>
      <c r="AN3" s="28">
        <v>0.19600000000000001</v>
      </c>
      <c r="AO3" s="28">
        <v>7.9000000000000001E-2</v>
      </c>
      <c r="AP3" s="28">
        <v>5.2999999999999999E-2</v>
      </c>
      <c r="AQ3" s="28">
        <v>0.05</v>
      </c>
      <c r="AR3" s="28">
        <v>5.2999999999999999E-2</v>
      </c>
      <c r="AS3" s="28">
        <v>0.53399999999999992</v>
      </c>
      <c r="AT3" s="28">
        <v>0.14899999999999999</v>
      </c>
      <c r="AU3" s="28">
        <v>0.438</v>
      </c>
      <c r="AV3" s="28">
        <v>0.13400000000000001</v>
      </c>
      <c r="AW3" s="28">
        <v>0.14599999999999999</v>
      </c>
      <c r="AX3" s="28">
        <v>0.17299999999999999</v>
      </c>
      <c r="AY3" s="28">
        <v>0.109</v>
      </c>
      <c r="AZ3" s="28">
        <v>0.17973469387755101</v>
      </c>
      <c r="BA3" s="34">
        <v>8.8070000000000004</v>
      </c>
    </row>
    <row r="4" spans="1:53" x14ac:dyDescent="0.25">
      <c r="A4" s="24">
        <v>3</v>
      </c>
      <c r="B4" s="26">
        <v>1</v>
      </c>
      <c r="C4" s="28">
        <v>7.9000000000000001E-2</v>
      </c>
      <c r="D4" s="28">
        <v>0.191</v>
      </c>
      <c r="E4" s="28">
        <v>5.7000000000000002E-2</v>
      </c>
      <c r="F4" s="28">
        <v>4.8000000000000001E-2</v>
      </c>
      <c r="G4" s="28">
        <v>4.8000000000000001E-2</v>
      </c>
      <c r="H4" s="28">
        <v>9.8000000000000004E-2</v>
      </c>
      <c r="I4" s="28">
        <v>0.16200000000000001</v>
      </c>
      <c r="J4" s="28">
        <v>3.3000000000000002E-2</v>
      </c>
      <c r="K4" s="28">
        <v>4.5999999999999999E-2</v>
      </c>
      <c r="L4" s="28">
        <v>9.4E-2</v>
      </c>
      <c r="M4" s="28">
        <v>7.9000000000000001E-2</v>
      </c>
      <c r="N4" s="28">
        <v>0.54799999999999993</v>
      </c>
      <c r="O4" s="28">
        <v>4.2000000000000003E-2</v>
      </c>
      <c r="P4" s="28">
        <v>0.161</v>
      </c>
      <c r="Q4" s="28">
        <v>0.221</v>
      </c>
      <c r="R4" s="28">
        <v>5.5E-2</v>
      </c>
      <c r="S4" s="28">
        <v>8.6999999999999994E-2</v>
      </c>
      <c r="T4" s="28">
        <v>0.22</v>
      </c>
      <c r="U4" s="28">
        <v>0.16300000000000001</v>
      </c>
      <c r="V4" s="28">
        <v>8.3000000000000004E-2</v>
      </c>
      <c r="W4" s="28">
        <v>0.05</v>
      </c>
      <c r="X4" s="28">
        <v>0.161</v>
      </c>
      <c r="Y4" s="28">
        <v>0.05</v>
      </c>
      <c r="Z4" s="28">
        <v>0.16800000000000001</v>
      </c>
      <c r="AA4" s="28">
        <v>4.9000000000000002E-2</v>
      </c>
      <c r="AB4" s="28">
        <v>0.42399999999999999</v>
      </c>
      <c r="AC4" s="28">
        <v>0.22900000000000001</v>
      </c>
      <c r="AD4" s="28">
        <v>0.152</v>
      </c>
      <c r="AE4" s="28">
        <v>4.1000000000000002E-2</v>
      </c>
      <c r="AF4" s="28">
        <v>5.2999999999999999E-2</v>
      </c>
      <c r="AG4" s="28">
        <v>0.12</v>
      </c>
      <c r="AH4" s="28">
        <v>3.5999999999999997E-2</v>
      </c>
      <c r="AI4" s="28">
        <v>0.26800000000000002</v>
      </c>
      <c r="AJ4" s="28">
        <v>0.24299999999999999</v>
      </c>
      <c r="AK4" s="28">
        <v>0.39100000000000001</v>
      </c>
      <c r="AL4" s="28">
        <v>4.2000000000000003E-2</v>
      </c>
      <c r="AM4" s="28">
        <v>4.9000000000000002E-2</v>
      </c>
      <c r="AN4" s="28">
        <v>0.13700000000000001</v>
      </c>
      <c r="AO4" s="28">
        <v>5.7000000000000002E-2</v>
      </c>
      <c r="AP4" s="28">
        <v>5.2999999999999999E-2</v>
      </c>
      <c r="AQ4" s="28">
        <v>0.05</v>
      </c>
      <c r="AR4" s="28">
        <v>5.2999999999999999E-2</v>
      </c>
      <c r="AS4" s="28">
        <v>7.9000000000000001E-2</v>
      </c>
      <c r="AT4" s="28">
        <v>0.14299999999999999</v>
      </c>
      <c r="AU4" s="28">
        <v>0.83100000000000007</v>
      </c>
      <c r="AV4" s="28">
        <v>0.151</v>
      </c>
      <c r="AW4" s="28">
        <v>9.8999999999999991E-2</v>
      </c>
      <c r="AX4" s="28">
        <v>0.104</v>
      </c>
      <c r="AY4" s="28">
        <v>0.217</v>
      </c>
      <c r="AZ4" s="28">
        <v>0.14316326530612239</v>
      </c>
      <c r="BA4" s="34">
        <v>7.0149999999999997</v>
      </c>
    </row>
    <row r="5" spans="1:53" x14ac:dyDescent="0.25">
      <c r="A5" s="24">
        <v>4</v>
      </c>
      <c r="B5" s="26">
        <v>1.5</v>
      </c>
      <c r="C5" s="28">
        <v>0.25900000000000001</v>
      </c>
      <c r="D5" s="28">
        <v>7.2999999999999995E-2</v>
      </c>
      <c r="E5" s="28">
        <v>0.11799999999999999</v>
      </c>
      <c r="F5" s="28">
        <v>0.16600000000000001</v>
      </c>
      <c r="G5" s="28">
        <v>4.8000000000000001E-2</v>
      </c>
      <c r="H5" s="28">
        <v>5.8999999999999997E-2</v>
      </c>
      <c r="I5" s="28">
        <v>0.24299999999999999</v>
      </c>
      <c r="J5" s="28">
        <v>6.8999999999999992E-2</v>
      </c>
      <c r="K5" s="28">
        <v>0.158</v>
      </c>
      <c r="L5" s="28">
        <v>5.0999999999999997E-2</v>
      </c>
      <c r="M5" s="28">
        <v>8.2000000000000003E-2</v>
      </c>
      <c r="N5" s="28">
        <v>0.65600000000000003</v>
      </c>
      <c r="O5" s="28">
        <v>0.20599999999999999</v>
      </c>
      <c r="P5" s="28">
        <v>0.153</v>
      </c>
      <c r="Q5" s="28">
        <v>0.122</v>
      </c>
      <c r="R5" s="28">
        <v>0.112</v>
      </c>
      <c r="S5" s="28">
        <v>0.16300000000000001</v>
      </c>
      <c r="T5" s="28">
        <v>0.17699999999999999</v>
      </c>
      <c r="U5" s="28">
        <v>0.126</v>
      </c>
      <c r="V5" s="28">
        <v>3.4000000000000002E-2</v>
      </c>
      <c r="W5" s="28">
        <v>0.105</v>
      </c>
      <c r="X5" s="28">
        <v>5.2999999999999999E-2</v>
      </c>
      <c r="Y5" s="28">
        <v>0.05</v>
      </c>
      <c r="Z5" s="28">
        <v>0.111</v>
      </c>
      <c r="AA5" s="28">
        <v>0.20300000000000001</v>
      </c>
      <c r="AB5" s="28">
        <v>0.108</v>
      </c>
      <c r="AC5" s="28">
        <v>5.3999999999999999E-2</v>
      </c>
      <c r="AD5" s="28">
        <v>0.19</v>
      </c>
      <c r="AE5" s="28">
        <v>0.112</v>
      </c>
      <c r="AF5" s="28">
        <v>5.2999999999999999E-2</v>
      </c>
      <c r="AG5" s="28">
        <v>7.9000000000000001E-2</v>
      </c>
      <c r="AH5" s="28">
        <v>6.6000000000000003E-2</v>
      </c>
      <c r="AI5" s="28">
        <v>0.17599999999999999</v>
      </c>
      <c r="AJ5" s="28">
        <v>4.1000000000000002E-2</v>
      </c>
      <c r="AK5" s="28">
        <v>0.219</v>
      </c>
      <c r="AL5" s="28">
        <v>0.189</v>
      </c>
      <c r="AM5" s="28">
        <v>4.9000000000000002E-2</v>
      </c>
      <c r="AN5" s="28">
        <v>0.185</v>
      </c>
      <c r="AO5" s="28">
        <v>0.16</v>
      </c>
      <c r="AP5" s="28">
        <v>5.2999999999999999E-2</v>
      </c>
      <c r="AQ5" s="28">
        <v>0.05</v>
      </c>
      <c r="AR5" s="28">
        <v>5.2999999999999999E-2</v>
      </c>
      <c r="AS5" s="28">
        <v>8.5000000000000006E-2</v>
      </c>
      <c r="AT5" s="28">
        <v>5.3999999999999999E-2</v>
      </c>
      <c r="AU5" s="28">
        <v>0.38700000000000001</v>
      </c>
      <c r="AV5" s="28">
        <v>0.05</v>
      </c>
      <c r="AW5" s="28">
        <v>0.246</v>
      </c>
      <c r="AX5" s="28">
        <v>9.0000000000000011E-2</v>
      </c>
      <c r="AY5" s="28">
        <v>0.109</v>
      </c>
      <c r="AZ5" s="28">
        <v>0.13173469387755099</v>
      </c>
      <c r="BA5" s="34">
        <v>6.4549999999999992</v>
      </c>
    </row>
    <row r="6" spans="1:53" x14ac:dyDescent="0.25">
      <c r="A6" s="24">
        <v>5</v>
      </c>
      <c r="B6" s="26">
        <v>2</v>
      </c>
      <c r="C6" s="28">
        <v>0.17</v>
      </c>
      <c r="D6" s="28">
        <v>0.19900000000000001</v>
      </c>
      <c r="E6" s="28">
        <v>0.161</v>
      </c>
      <c r="F6" s="28">
        <v>4.8000000000000001E-2</v>
      </c>
      <c r="G6" s="28">
        <v>7.2000000000000008E-2</v>
      </c>
      <c r="H6" s="28">
        <v>0.26</v>
      </c>
      <c r="I6" s="28">
        <v>8.6999999999999994E-2</v>
      </c>
      <c r="J6" s="28">
        <v>6.8999999999999992E-2</v>
      </c>
      <c r="K6" s="28">
        <v>8.7999999999999995E-2</v>
      </c>
      <c r="L6" s="28">
        <v>5.0999999999999997E-2</v>
      </c>
      <c r="M6" s="28">
        <v>8.8999999999999996E-2</v>
      </c>
      <c r="N6" s="28">
        <v>4.2999999999999997E-2</v>
      </c>
      <c r="O6" s="28">
        <v>4.2000000000000003E-2</v>
      </c>
      <c r="P6" s="28">
        <v>9.6000000000000002E-2</v>
      </c>
      <c r="Q6" s="28">
        <v>8.2000000000000003E-2</v>
      </c>
      <c r="R6" s="28">
        <v>0.17699999999999999</v>
      </c>
      <c r="S6" s="28">
        <v>5.5E-2</v>
      </c>
      <c r="T6" s="28">
        <v>4.8000000000000001E-2</v>
      </c>
      <c r="U6" s="28">
        <v>0.20599999999999999</v>
      </c>
      <c r="V6" s="28">
        <v>0.191</v>
      </c>
      <c r="W6" s="28">
        <v>9.5000000000000001E-2</v>
      </c>
      <c r="X6" s="28">
        <v>0.14499999999999999</v>
      </c>
      <c r="Y6" s="28">
        <v>0.20399999999999999</v>
      </c>
      <c r="Z6" s="28">
        <v>9.6000000000000002E-2</v>
      </c>
      <c r="AA6" s="28">
        <v>0.158</v>
      </c>
      <c r="AB6" s="28">
        <v>0.129</v>
      </c>
      <c r="AC6" s="28">
        <v>0.20499999999999999</v>
      </c>
      <c r="AD6" s="28">
        <v>0.185</v>
      </c>
      <c r="AE6" s="28">
        <v>4.1000000000000002E-2</v>
      </c>
      <c r="AF6" s="28">
        <v>5.2999999999999999E-2</v>
      </c>
      <c r="AG6" s="28">
        <v>0.188</v>
      </c>
      <c r="AH6" s="28">
        <v>0.17</v>
      </c>
      <c r="AI6" s="28">
        <v>0.187</v>
      </c>
      <c r="AJ6" s="28">
        <v>4.1000000000000002E-2</v>
      </c>
      <c r="AK6" s="28">
        <v>0.22500000000000001</v>
      </c>
      <c r="AL6" s="28">
        <v>4.2000000000000003E-2</v>
      </c>
      <c r="AM6" s="28">
        <v>0.223</v>
      </c>
      <c r="AN6" s="28">
        <v>0.17699999999999999</v>
      </c>
      <c r="AO6" s="28">
        <v>5.7000000000000002E-2</v>
      </c>
      <c r="AP6" s="28">
        <v>5.2999999999999999E-2</v>
      </c>
      <c r="AQ6" s="28">
        <v>0.05</v>
      </c>
      <c r="AR6" s="28">
        <v>5.2999999999999999E-2</v>
      </c>
      <c r="AS6" s="28">
        <v>4.7E-2</v>
      </c>
      <c r="AT6" s="28">
        <v>5.3999999999999999E-2</v>
      </c>
      <c r="AU6" s="28">
        <v>0</v>
      </c>
      <c r="AV6" s="28">
        <v>0.23400000000000001</v>
      </c>
      <c r="AW6" s="28">
        <v>0.14899999999999999</v>
      </c>
      <c r="AX6" s="28">
        <v>0.20899999999999999</v>
      </c>
      <c r="AY6" s="28">
        <v>3.3000000000000002E-2</v>
      </c>
      <c r="AZ6" s="28">
        <v>0.11708163265306119</v>
      </c>
      <c r="BA6" s="34">
        <v>5.7370000000000001</v>
      </c>
    </row>
    <row r="7" spans="1:53" x14ac:dyDescent="0.25">
      <c r="A7" s="24">
        <v>6</v>
      </c>
      <c r="B7" s="26">
        <v>2.5</v>
      </c>
      <c r="C7" s="28">
        <v>0.154</v>
      </c>
      <c r="D7" s="28">
        <v>4.5999999999999999E-2</v>
      </c>
      <c r="E7" s="28">
        <v>6.3E-2</v>
      </c>
      <c r="F7" s="28">
        <v>0.16600000000000001</v>
      </c>
      <c r="G7" s="28">
        <v>0.14299999999999999</v>
      </c>
      <c r="H7" s="28">
        <v>5.2999999999999999E-2</v>
      </c>
      <c r="I7" s="28">
        <v>8.6999999999999994E-2</v>
      </c>
      <c r="J7" s="28">
        <v>3.3000000000000002E-2</v>
      </c>
      <c r="K7" s="28">
        <v>4.5999999999999999E-2</v>
      </c>
      <c r="L7" s="28">
        <v>5.0999999999999997E-2</v>
      </c>
      <c r="M7" s="28">
        <v>5.3999999999999999E-2</v>
      </c>
      <c r="N7" s="28">
        <v>0</v>
      </c>
      <c r="O7" s="28">
        <v>8.6999999999999994E-2</v>
      </c>
      <c r="P7" s="28">
        <v>0.30399999999999999</v>
      </c>
      <c r="Q7" s="28">
        <v>9.0999999999999998E-2</v>
      </c>
      <c r="R7" s="28">
        <v>5.5E-2</v>
      </c>
      <c r="S7" s="28">
        <v>5.5E-2</v>
      </c>
      <c r="T7" s="28">
        <v>0.22</v>
      </c>
      <c r="U7" s="28">
        <v>0.126</v>
      </c>
      <c r="V7" s="28">
        <v>0.14599999999999999</v>
      </c>
      <c r="W7" s="28">
        <v>0.05</v>
      </c>
      <c r="X7" s="28">
        <v>6.8000000000000005E-2</v>
      </c>
      <c r="Y7" s="28">
        <v>0.05</v>
      </c>
      <c r="Z7" s="28">
        <v>0.14000000000000001</v>
      </c>
      <c r="AA7" s="28">
        <v>4.9000000000000002E-2</v>
      </c>
      <c r="AB7" s="28">
        <v>9.6000000000000002E-2</v>
      </c>
      <c r="AC7" s="28">
        <v>7.8E-2</v>
      </c>
      <c r="AD7" s="28">
        <v>0.21</v>
      </c>
      <c r="AE7" s="28">
        <v>0.112</v>
      </c>
      <c r="AF7" s="28">
        <v>5.2999999999999999E-2</v>
      </c>
      <c r="AG7" s="28">
        <v>5.8999999999999997E-2</v>
      </c>
      <c r="AH7" s="28">
        <v>3.5999999999999997E-2</v>
      </c>
      <c r="AI7" s="28">
        <v>0.27200000000000002</v>
      </c>
      <c r="AJ7" s="28">
        <v>0.21299999999999999</v>
      </c>
      <c r="AK7" s="28">
        <v>0.11799999999999999</v>
      </c>
      <c r="AL7" s="28">
        <v>4.2000000000000003E-2</v>
      </c>
      <c r="AM7" s="28">
        <v>4.9000000000000002E-2</v>
      </c>
      <c r="AN7" s="28">
        <v>6.0999999999999999E-2</v>
      </c>
      <c r="AO7" s="28">
        <v>7.9000000000000001E-2</v>
      </c>
      <c r="AP7" s="28">
        <v>5.2999999999999999E-2</v>
      </c>
      <c r="AQ7" s="28">
        <v>0.05</v>
      </c>
      <c r="AR7" s="28">
        <v>5.2999999999999999E-2</v>
      </c>
      <c r="AS7" s="28">
        <v>0.16400000000000001</v>
      </c>
      <c r="AT7" s="28">
        <v>0.14299999999999999</v>
      </c>
      <c r="AU7" s="28">
        <v>0</v>
      </c>
      <c r="AV7" s="28">
        <v>0.05</v>
      </c>
      <c r="AW7" s="28">
        <v>0.246</v>
      </c>
      <c r="AX7" s="28">
        <v>0.14399999999999999</v>
      </c>
      <c r="AY7" s="28">
        <v>0.109</v>
      </c>
      <c r="AZ7" s="28">
        <v>9.8510204081632649E-2</v>
      </c>
      <c r="BA7" s="34">
        <v>4.827</v>
      </c>
    </row>
    <row r="8" spans="1:53" x14ac:dyDescent="0.25">
      <c r="A8" s="24">
        <v>7</v>
      </c>
      <c r="B8" s="26">
        <v>3</v>
      </c>
      <c r="C8" s="28">
        <v>0.20399999999999999</v>
      </c>
      <c r="D8" s="28">
        <v>0.24299999999999999</v>
      </c>
      <c r="E8" s="28">
        <v>0.23599999999999999</v>
      </c>
      <c r="F8" s="28">
        <v>4.8000000000000001E-2</v>
      </c>
      <c r="G8" s="28">
        <v>4.8000000000000001E-2</v>
      </c>
      <c r="H8" s="28">
        <v>0.13200000000000001</v>
      </c>
      <c r="I8" s="28">
        <v>0.19500000000000001</v>
      </c>
      <c r="J8" s="28">
        <v>3.3000000000000002E-2</v>
      </c>
      <c r="K8" s="28">
        <v>0.19900000000000001</v>
      </c>
      <c r="L8" s="28">
        <v>0.121</v>
      </c>
      <c r="M8" s="28">
        <v>5.3999999999999999E-2</v>
      </c>
      <c r="N8" s="28">
        <v>0</v>
      </c>
      <c r="O8" s="28">
        <v>0.161</v>
      </c>
      <c r="P8" s="28">
        <v>9.4E-2</v>
      </c>
      <c r="Q8" s="28">
        <v>0.192</v>
      </c>
      <c r="R8" s="28">
        <v>0.23300000000000001</v>
      </c>
      <c r="S8" s="28">
        <v>0.19500000000000001</v>
      </c>
      <c r="T8" s="28">
        <v>0.17699999999999999</v>
      </c>
      <c r="U8" s="28">
        <v>4.8000000000000001E-2</v>
      </c>
      <c r="V8" s="28">
        <v>3.4000000000000002E-2</v>
      </c>
      <c r="W8" s="28">
        <v>0.13500000000000001</v>
      </c>
      <c r="X8" s="28">
        <v>5.2999999999999999E-2</v>
      </c>
      <c r="Y8" s="28">
        <v>0.127</v>
      </c>
      <c r="Z8" s="28">
        <v>9.5000000000000001E-2</v>
      </c>
      <c r="AA8" s="28">
        <v>0.13600000000000001</v>
      </c>
      <c r="AB8" s="28">
        <v>0</v>
      </c>
      <c r="AC8" s="28">
        <v>5.3999999999999999E-2</v>
      </c>
      <c r="AD8" s="28">
        <v>0.06</v>
      </c>
      <c r="AE8" s="28">
        <v>4.1000000000000002E-2</v>
      </c>
      <c r="AF8" s="28">
        <v>5.2999999999999999E-2</v>
      </c>
      <c r="AG8" s="28">
        <v>5.8999999999999997E-2</v>
      </c>
      <c r="AH8" s="28">
        <v>0.2</v>
      </c>
      <c r="AI8" s="28">
        <v>0.17899999999999999</v>
      </c>
      <c r="AJ8" s="28">
        <v>7.1000000000000008E-2</v>
      </c>
      <c r="AK8" s="28">
        <v>4.2999999999999997E-2</v>
      </c>
      <c r="AL8" s="28">
        <v>0.122</v>
      </c>
      <c r="AM8" s="28">
        <v>4.9000000000000002E-2</v>
      </c>
      <c r="AN8" s="28">
        <v>0.254</v>
      </c>
      <c r="AO8" s="28">
        <v>0.13800000000000001</v>
      </c>
      <c r="AP8" s="28">
        <v>5.2999999999999999E-2</v>
      </c>
      <c r="AQ8" s="28">
        <v>0.05</v>
      </c>
      <c r="AR8" s="28">
        <v>5.2999999999999999E-2</v>
      </c>
      <c r="AS8" s="28">
        <v>0.111</v>
      </c>
      <c r="AT8" s="28">
        <v>5.3999999999999999E-2</v>
      </c>
      <c r="AU8" s="28">
        <v>0</v>
      </c>
      <c r="AV8" s="28">
        <v>0.05</v>
      </c>
      <c r="AW8" s="28">
        <v>0.05</v>
      </c>
      <c r="AX8" s="28">
        <v>4.9000000000000002E-2</v>
      </c>
      <c r="AY8" s="28">
        <v>5.8000000000000003E-2</v>
      </c>
      <c r="AZ8" s="28">
        <v>0.1029387755102041</v>
      </c>
      <c r="BA8" s="34">
        <v>5.0439999999999996</v>
      </c>
    </row>
    <row r="9" spans="1:53" x14ac:dyDescent="0.25">
      <c r="A9" s="24">
        <v>8</v>
      </c>
      <c r="B9" s="26">
        <v>3.5</v>
      </c>
      <c r="C9" s="28">
        <v>0.17799999999999999</v>
      </c>
      <c r="D9" s="28">
        <v>7.8E-2</v>
      </c>
      <c r="E9" s="28">
        <v>0.128</v>
      </c>
      <c r="F9" s="28">
        <v>6.8999999999999992E-2</v>
      </c>
      <c r="G9" s="28">
        <v>4.5000000000000012E-2</v>
      </c>
      <c r="H9" s="28">
        <v>0.183</v>
      </c>
      <c r="I9" s="28">
        <v>0.154</v>
      </c>
      <c r="J9" s="28">
        <v>0.03</v>
      </c>
      <c r="K9" s="28">
        <v>4.2999999999999997E-2</v>
      </c>
      <c r="L9" s="28">
        <v>4.8000000000000001E-2</v>
      </c>
      <c r="M9" s="28">
        <v>0.11600000000000001</v>
      </c>
      <c r="N9" s="28">
        <v>0</v>
      </c>
      <c r="O9" s="28">
        <v>3.9E-2</v>
      </c>
      <c r="P9" s="28">
        <v>0.18</v>
      </c>
      <c r="Q9" s="28">
        <v>8.2000000000000003E-2</v>
      </c>
      <c r="R9" s="28">
        <v>5.2999999999999999E-2</v>
      </c>
      <c r="S9" s="28">
        <v>5.1999999999999998E-2</v>
      </c>
      <c r="T9" s="28">
        <v>0.13100000000000001</v>
      </c>
      <c r="U9" s="28">
        <v>0.26300000000000001</v>
      </c>
      <c r="V9" s="28">
        <v>0.187</v>
      </c>
      <c r="W9" s="28">
        <v>6.2E-2</v>
      </c>
      <c r="X9" s="28">
        <v>0.14899999999999999</v>
      </c>
      <c r="Y9" s="28">
        <v>0.123</v>
      </c>
      <c r="Z9" s="28">
        <v>0.11600000000000001</v>
      </c>
      <c r="AA9" s="28">
        <v>0.19900000000000001</v>
      </c>
      <c r="AB9" s="28">
        <v>0</v>
      </c>
      <c r="AC9" s="28">
        <v>0.22600000000000001</v>
      </c>
      <c r="AD9" s="28">
        <v>0.33100000000000002</v>
      </c>
      <c r="AE9" s="28">
        <v>3.7999999999999999E-2</v>
      </c>
      <c r="AF9" s="28">
        <v>0.05</v>
      </c>
      <c r="AG9" s="28">
        <v>0.20599999999999999</v>
      </c>
      <c r="AH9" s="28">
        <v>3.3000000000000002E-2</v>
      </c>
      <c r="AI9" s="28">
        <v>0.188</v>
      </c>
      <c r="AJ9" s="28">
        <v>5.0999999999999997E-2</v>
      </c>
      <c r="AK9" s="28">
        <v>0.04</v>
      </c>
      <c r="AL9" s="28">
        <v>0.107</v>
      </c>
      <c r="AM9" s="28">
        <v>0.188</v>
      </c>
      <c r="AN9" s="28">
        <v>9.2999999999999999E-2</v>
      </c>
      <c r="AO9" s="28">
        <v>5.3999999999999999E-2</v>
      </c>
      <c r="AP9" s="28">
        <v>0.05</v>
      </c>
      <c r="AQ9" s="28">
        <v>4.7E-2</v>
      </c>
      <c r="AR9" s="28">
        <v>5.0999999999999997E-2</v>
      </c>
      <c r="AS9" s="28">
        <v>0.17399999999999999</v>
      </c>
      <c r="AT9" s="28">
        <v>9.6000000000000002E-2</v>
      </c>
      <c r="AU9" s="28">
        <v>0</v>
      </c>
      <c r="AV9" s="28">
        <v>0.125</v>
      </c>
      <c r="AW9" s="28">
        <v>8.7999999999999995E-2</v>
      </c>
      <c r="AX9" s="28">
        <v>0.17899999999999999</v>
      </c>
      <c r="AY9" s="28">
        <v>0.19</v>
      </c>
      <c r="AZ9" s="28">
        <v>0.1084285714285715</v>
      </c>
      <c r="BA9" s="34">
        <v>5.3130000000000006</v>
      </c>
    </row>
    <row r="10" spans="1:53" x14ac:dyDescent="0.25">
      <c r="A10" s="24">
        <v>9</v>
      </c>
      <c r="B10" s="26">
        <v>4</v>
      </c>
      <c r="C10" s="28">
        <v>9.2999999999999999E-2</v>
      </c>
      <c r="D10" s="28">
        <v>3.5999999999999997E-2</v>
      </c>
      <c r="E10" s="28">
        <v>0.43</v>
      </c>
      <c r="F10" s="28">
        <v>0.105</v>
      </c>
      <c r="G10" s="28">
        <v>0</v>
      </c>
      <c r="H10" s="28">
        <v>3.0000000000000001E-3</v>
      </c>
      <c r="I10" s="28">
        <v>0.14000000000000001</v>
      </c>
      <c r="J10" s="28">
        <v>5.2999999999999999E-2</v>
      </c>
      <c r="K10" s="28">
        <v>8.6999999999999994E-2</v>
      </c>
      <c r="L10" s="28">
        <v>1E-3</v>
      </c>
      <c r="M10" s="28">
        <v>2.9000000000000001E-2</v>
      </c>
      <c r="N10" s="28">
        <v>0</v>
      </c>
      <c r="O10" s="28">
        <v>0</v>
      </c>
      <c r="P10" s="28">
        <v>0.14099999999999999</v>
      </c>
      <c r="Q10" s="28">
        <v>0.18</v>
      </c>
      <c r="R10" s="28">
        <v>0.625</v>
      </c>
      <c r="S10" s="28">
        <v>7.4999999999999997E-2</v>
      </c>
      <c r="T10" s="28">
        <v>0.2</v>
      </c>
      <c r="U10" s="28">
        <v>2.1999999999999999E-2</v>
      </c>
      <c r="V10" s="28">
        <v>8.3999999999999991E-2</v>
      </c>
      <c r="W10" s="28">
        <v>2.6552889999999999E-4</v>
      </c>
      <c r="X10" s="28">
        <v>1.0999999999999999E-2</v>
      </c>
      <c r="Y10" s="28">
        <v>2.6552889999999999E-4</v>
      </c>
      <c r="Z10" s="28">
        <v>0</v>
      </c>
      <c r="AA10" s="28">
        <v>4.2000000000000003E-2</v>
      </c>
      <c r="AB10" s="28">
        <v>0</v>
      </c>
      <c r="AC10" s="28">
        <v>0.01</v>
      </c>
      <c r="AD10" s="28">
        <v>0.01</v>
      </c>
      <c r="AE10" s="28">
        <v>4.0000000000000001E-3</v>
      </c>
      <c r="AF10" s="28">
        <v>3.0000000000000001E-3</v>
      </c>
      <c r="AG10" s="28">
        <v>2.1999999999999999E-2</v>
      </c>
      <c r="AH10" s="28">
        <v>0</v>
      </c>
      <c r="AI10" s="28">
        <v>0</v>
      </c>
      <c r="AJ10" s="28">
        <v>0.14399999999999999</v>
      </c>
      <c r="AK10" s="28">
        <v>6.8000000000000005E-2</v>
      </c>
      <c r="AL10" s="28">
        <v>4.3999999999999997E-2</v>
      </c>
      <c r="AM10" s="28">
        <v>3.1E-2</v>
      </c>
      <c r="AN10" s="28">
        <v>2.6552880000000001E-4</v>
      </c>
      <c r="AO10" s="28">
        <v>7.0000000000000001E-3</v>
      </c>
      <c r="AP10" s="28">
        <v>3.0000000000000001E-3</v>
      </c>
      <c r="AQ10" s="28">
        <v>1.2999999999999999E-2</v>
      </c>
      <c r="AR10" s="28">
        <v>2.1999999999999999E-2</v>
      </c>
      <c r="AS10" s="28">
        <v>0</v>
      </c>
      <c r="AT10" s="28">
        <v>6.0999999999999999E-2</v>
      </c>
      <c r="AU10" s="28">
        <v>0</v>
      </c>
      <c r="AV10" s="28">
        <v>0.113</v>
      </c>
      <c r="AW10" s="28">
        <v>0.154</v>
      </c>
      <c r="AX10" s="28">
        <v>0.155</v>
      </c>
      <c r="AY10" s="28">
        <v>6.8000000000000005E-2</v>
      </c>
      <c r="AZ10" s="28">
        <v>6.7138705848979574E-2</v>
      </c>
      <c r="BA10" s="34">
        <v>3.2897965865999992</v>
      </c>
    </row>
    <row r="11" spans="1:53" x14ac:dyDescent="0.25">
      <c r="A11" s="24">
        <v>10</v>
      </c>
      <c r="B11" s="26">
        <v>4.5</v>
      </c>
      <c r="C11" s="28">
        <v>0</v>
      </c>
      <c r="D11" s="28">
        <v>6.0000000000000001E-3</v>
      </c>
      <c r="E11" s="28">
        <v>5.5E-2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1.4999999999999999E-2</v>
      </c>
      <c r="Q11" s="28">
        <v>7.0000000000000001E-3</v>
      </c>
      <c r="R11" s="28">
        <v>0.76900000000000002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5.2999999999999999E-2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4.5999999999999999E-2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0.06</v>
      </c>
      <c r="AX11" s="28">
        <v>2.7E-2</v>
      </c>
      <c r="AY11" s="28">
        <v>9.2999999999999999E-2</v>
      </c>
      <c r="AZ11" s="28">
        <v>2.3081632653061221E-2</v>
      </c>
      <c r="BA11" s="34">
        <v>1.131</v>
      </c>
    </row>
    <row r="12" spans="1:53" x14ac:dyDescent="0.25">
      <c r="A12" s="24">
        <v>11</v>
      </c>
      <c r="B12" s="26">
        <v>5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9.6000000000000002E-2</v>
      </c>
      <c r="S12" s="28">
        <v>0</v>
      </c>
      <c r="T12" s="28">
        <v>0</v>
      </c>
      <c r="U12" s="28">
        <v>0</v>
      </c>
      <c r="V12" s="28">
        <v>1.4999999999999999E-2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2.2653061224489801E-3</v>
      </c>
      <c r="BA12" s="34">
        <v>0.111</v>
      </c>
    </row>
    <row r="13" spans="1:53" x14ac:dyDescent="0.25">
      <c r="A13" s="24">
        <v>12</v>
      </c>
      <c r="B13" s="26">
        <v>5.5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34">
        <v>0</v>
      </c>
    </row>
    <row r="14" spans="1:53" x14ac:dyDescent="0.25">
      <c r="A14" s="24">
        <v>13</v>
      </c>
      <c r="B14" s="26">
        <v>6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0.60599999999999998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1.236734693877551E-2</v>
      </c>
      <c r="BA14" s="34">
        <v>0.60599999999999998</v>
      </c>
    </row>
    <row r="15" spans="1:53" x14ac:dyDescent="0.25">
      <c r="A15" s="24">
        <v>14</v>
      </c>
      <c r="B15" s="26">
        <v>6.5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34">
        <v>0</v>
      </c>
    </row>
    <row r="16" spans="1:53" x14ac:dyDescent="0.25">
      <c r="A16" s="24">
        <v>15</v>
      </c>
      <c r="B16" s="26">
        <v>7</v>
      </c>
      <c r="C16" s="28">
        <v>0</v>
      </c>
      <c r="D16" s="28">
        <v>0</v>
      </c>
      <c r="E16" s="28">
        <v>0</v>
      </c>
      <c r="F16" s="28">
        <v>0.33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0.46500000000000002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1.6224489795918371E-2</v>
      </c>
      <c r="BA16" s="34">
        <v>0.79500000000000004</v>
      </c>
    </row>
    <row r="17" spans="1:53" x14ac:dyDescent="0.25">
      <c r="A17" s="24">
        <v>16</v>
      </c>
      <c r="B17" s="26">
        <v>7.5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34">
        <v>0</v>
      </c>
    </row>
    <row r="18" spans="1:53" x14ac:dyDescent="0.25">
      <c r="A18" s="24">
        <v>17</v>
      </c>
      <c r="B18" s="26">
        <v>8</v>
      </c>
      <c r="C18" s="28">
        <v>1.244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2.5387755102040811E-2</v>
      </c>
      <c r="BA18" s="34">
        <v>1.244</v>
      </c>
    </row>
    <row r="19" spans="1:53" x14ac:dyDescent="0.25">
      <c r="A19" s="24">
        <v>18</v>
      </c>
      <c r="B19" s="26">
        <v>8.5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34">
        <v>0</v>
      </c>
    </row>
    <row r="20" spans="1:53" x14ac:dyDescent="0.25">
      <c r="A20" s="24">
        <v>19</v>
      </c>
      <c r="B20" s="26">
        <v>9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0.24199999999999999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4.9387755102040824E-3</v>
      </c>
      <c r="BA20" s="34">
        <v>0.24199999999999999</v>
      </c>
    </row>
    <row r="21" spans="1:53" x14ac:dyDescent="0.25">
      <c r="A21" s="24">
        <v>20</v>
      </c>
      <c r="B21" s="26">
        <v>9.5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0.01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2.040816326530612E-4</v>
      </c>
      <c r="BA21" s="34">
        <v>0.01</v>
      </c>
    </row>
    <row r="22" spans="1:53" x14ac:dyDescent="0.25">
      <c r="A22" s="24">
        <v>21</v>
      </c>
      <c r="B22" s="26">
        <v>10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34">
        <v>0</v>
      </c>
    </row>
    <row r="23" spans="1:53" x14ac:dyDescent="0.25">
      <c r="A23" s="24">
        <v>22</v>
      </c>
      <c r="B23" s="26">
        <v>10.5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0.13700000000000001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2.795918367346939E-3</v>
      </c>
      <c r="BA23" s="34">
        <v>0.13700000000000001</v>
      </c>
    </row>
    <row r="24" spans="1:53" x14ac:dyDescent="0.25">
      <c r="A24" s="24">
        <v>23</v>
      </c>
      <c r="B24" s="26">
        <v>11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0.14799999999999999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0.443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1.206122448979592E-2</v>
      </c>
      <c r="BA24" s="34">
        <v>0.59099999999999997</v>
      </c>
    </row>
    <row r="25" spans="1:53" x14ac:dyDescent="0.25">
      <c r="A25" s="24">
        <v>24</v>
      </c>
      <c r="B25" s="26">
        <v>11.5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34">
        <v>0</v>
      </c>
    </row>
    <row r="26" spans="1:53" x14ac:dyDescent="0.25">
      <c r="A26" s="24">
        <v>25</v>
      </c>
      <c r="B26" s="26">
        <v>12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34">
        <v>0</v>
      </c>
    </row>
    <row r="27" spans="1:53" x14ac:dyDescent="0.25">
      <c r="A27" s="24">
        <v>26</v>
      </c>
      <c r="B27" s="26">
        <v>12.5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34">
        <v>0</v>
      </c>
    </row>
    <row r="28" spans="1:53" x14ac:dyDescent="0.25">
      <c r="A28" s="24">
        <v>27</v>
      </c>
      <c r="B28" s="26">
        <v>13</v>
      </c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0.78900000000000003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1.6102040816326529E-2</v>
      </c>
      <c r="BA28" s="34">
        <v>0.78900000000000003</v>
      </c>
    </row>
    <row r="29" spans="1:53" x14ac:dyDescent="0.25">
      <c r="A29" s="24">
        <v>28</v>
      </c>
      <c r="B29" s="26">
        <v>13.5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34">
        <v>0</v>
      </c>
    </row>
    <row r="30" spans="1:53" x14ac:dyDescent="0.25">
      <c r="A30" s="24">
        <v>29</v>
      </c>
      <c r="B30" s="26">
        <v>14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0.3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6.1224489795918364E-3</v>
      </c>
      <c r="BA30" s="34">
        <v>0.3</v>
      </c>
    </row>
    <row r="31" spans="1:53" x14ac:dyDescent="0.25">
      <c r="A31" s="24">
        <v>30</v>
      </c>
      <c r="B31" s="26">
        <v>14.5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0.216</v>
      </c>
      <c r="AX31" s="28">
        <v>0</v>
      </c>
      <c r="AY31" s="28">
        <v>0</v>
      </c>
      <c r="AZ31" s="28">
        <v>4.4081632653061222E-3</v>
      </c>
      <c r="BA31" s="34">
        <v>0.216</v>
      </c>
    </row>
    <row r="32" spans="1:53" x14ac:dyDescent="0.25">
      <c r="A32" s="24">
        <v>31</v>
      </c>
      <c r="B32" s="26">
        <v>15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1.23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0.375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2.1019999999999999</v>
      </c>
      <c r="AX32" s="28">
        <v>0</v>
      </c>
      <c r="AY32" s="28">
        <v>0</v>
      </c>
      <c r="AZ32" s="28">
        <v>7.5653061224489795E-2</v>
      </c>
      <c r="BA32" s="34">
        <v>3.7069999999999999</v>
      </c>
    </row>
    <row r="33" spans="1:53" x14ac:dyDescent="0.25">
      <c r="A33" s="24">
        <v>32</v>
      </c>
      <c r="B33" s="26">
        <v>15.5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0.38100000000000001</v>
      </c>
      <c r="P33" s="28">
        <v>0</v>
      </c>
      <c r="Q33" s="28">
        <v>0</v>
      </c>
      <c r="R33" s="28">
        <v>0.14399999999999999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1.3360000000000001</v>
      </c>
      <c r="AX33" s="28">
        <v>0</v>
      </c>
      <c r="AY33" s="28">
        <v>0</v>
      </c>
      <c r="AZ33" s="28">
        <v>3.7979591836734689E-2</v>
      </c>
      <c r="BA33" s="34">
        <v>1.861</v>
      </c>
    </row>
    <row r="34" spans="1:53" x14ac:dyDescent="0.25">
      <c r="A34" s="24">
        <v>33</v>
      </c>
      <c r="B34" s="26">
        <v>16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0.28799999999999998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5.8775510204081638E-3</v>
      </c>
      <c r="BA34" s="34">
        <v>0.28799999999999998</v>
      </c>
    </row>
    <row r="35" spans="1:53" x14ac:dyDescent="0.25">
      <c r="A35" s="24">
        <v>34</v>
      </c>
      <c r="B35" s="26">
        <v>16.5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1.9359999999999999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1.032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6.0571428571428568E-2</v>
      </c>
      <c r="BA35" s="34">
        <v>2.968</v>
      </c>
    </row>
    <row r="36" spans="1:53" x14ac:dyDescent="0.25">
      <c r="A36" s="24">
        <v>35</v>
      </c>
      <c r="B36" s="26">
        <v>17</v>
      </c>
      <c r="C36" s="28">
        <v>0</v>
      </c>
      <c r="D36" s="28">
        <v>1.647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0.30499999999999999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3.9836734693877551E-2</v>
      </c>
      <c r="BA36" s="34">
        <v>1.952</v>
      </c>
    </row>
    <row r="37" spans="1:53" x14ac:dyDescent="0.25">
      <c r="A37" s="24">
        <v>36</v>
      </c>
      <c r="B37" s="26">
        <v>17.5</v>
      </c>
      <c r="C37" s="28">
        <v>0</v>
      </c>
      <c r="D37" s="28">
        <v>0.88600000000000001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1.47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0.17699999999999999</v>
      </c>
      <c r="AX37" s="28">
        <v>0</v>
      </c>
      <c r="AY37" s="28">
        <v>0</v>
      </c>
      <c r="AZ37" s="28">
        <v>5.1693877551020409E-2</v>
      </c>
      <c r="BA37" s="34">
        <v>2.5329999999999999</v>
      </c>
    </row>
    <row r="38" spans="1:53" x14ac:dyDescent="0.25">
      <c r="A38" s="24">
        <v>37</v>
      </c>
      <c r="B38" s="26">
        <v>18</v>
      </c>
      <c r="C38" s="28">
        <v>0</v>
      </c>
      <c r="D38" s="28">
        <v>0</v>
      </c>
      <c r="E38" s="28">
        <v>0</v>
      </c>
      <c r="F38" s="28">
        <v>1.968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0.115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0.63500000000000001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1.0309999999999999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1E-3</v>
      </c>
      <c r="AX38" s="28">
        <v>0</v>
      </c>
      <c r="AY38" s="28">
        <v>0</v>
      </c>
      <c r="AZ38" s="28">
        <v>7.6530612244897947E-2</v>
      </c>
      <c r="BA38" s="34">
        <v>3.75</v>
      </c>
    </row>
    <row r="39" spans="1:53" x14ac:dyDescent="0.25">
      <c r="A39" s="24">
        <v>38</v>
      </c>
      <c r="B39" s="26">
        <v>18.5</v>
      </c>
      <c r="C39" s="28">
        <v>0</v>
      </c>
      <c r="D39" s="28">
        <v>0</v>
      </c>
      <c r="E39" s="28">
        <v>0</v>
      </c>
      <c r="F39" s="28">
        <v>1.7989999999999999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1.6E-2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0.49799999999999989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1.37</v>
      </c>
      <c r="AF39" s="28">
        <v>0</v>
      </c>
      <c r="AG39" s="28">
        <v>1.3009999999999999</v>
      </c>
      <c r="AH39" s="28">
        <v>0</v>
      </c>
      <c r="AI39" s="28">
        <v>0</v>
      </c>
      <c r="AJ39" s="28">
        <v>6.3E-2</v>
      </c>
      <c r="AK39" s="28">
        <v>0</v>
      </c>
      <c r="AL39" s="28">
        <v>1.343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2.5000000000000001E-2</v>
      </c>
      <c r="AX39" s="28">
        <v>1.3</v>
      </c>
      <c r="AY39" s="28">
        <v>0</v>
      </c>
      <c r="AZ39" s="28">
        <v>0.15744897959183671</v>
      </c>
      <c r="BA39" s="34">
        <v>7.7149999999999999</v>
      </c>
    </row>
    <row r="40" spans="1:53" x14ac:dyDescent="0.25">
      <c r="A40" s="24">
        <v>39</v>
      </c>
      <c r="B40" s="26">
        <v>19</v>
      </c>
      <c r="C40" s="28">
        <v>0</v>
      </c>
      <c r="D40" s="28">
        <v>0</v>
      </c>
      <c r="E40" s="28">
        <v>0</v>
      </c>
      <c r="F40" s="28">
        <v>0</v>
      </c>
      <c r="G40" s="28">
        <v>0.19700000000000001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0.26400000000000001</v>
      </c>
      <c r="N40" s="28">
        <v>1.0999999999999999E-2</v>
      </c>
      <c r="O40" s="28">
        <v>0</v>
      </c>
      <c r="P40" s="28">
        <v>0</v>
      </c>
      <c r="Q40" s="28">
        <v>0</v>
      </c>
      <c r="R40" s="28">
        <v>0.41899999999999998</v>
      </c>
      <c r="S40" s="28">
        <v>0</v>
      </c>
      <c r="T40" s="28">
        <v>0.17599999999999999</v>
      </c>
      <c r="U40" s="28">
        <v>0</v>
      </c>
      <c r="V40" s="28">
        <v>1.0389999999999999</v>
      </c>
      <c r="W40" s="28">
        <v>0</v>
      </c>
      <c r="X40" s="28">
        <v>0.23</v>
      </c>
      <c r="Y40" s="28">
        <v>0</v>
      </c>
      <c r="Z40" s="28">
        <v>0</v>
      </c>
      <c r="AA40" s="28">
        <v>0</v>
      </c>
      <c r="AB40" s="28">
        <v>0</v>
      </c>
      <c r="AC40" s="28">
        <v>1.6E-2</v>
      </c>
      <c r="AD40" s="28">
        <v>0.28100000000000003</v>
      </c>
      <c r="AE40" s="28">
        <v>0.45500000000000002</v>
      </c>
      <c r="AF40" s="28">
        <v>0</v>
      </c>
      <c r="AG40" s="28">
        <v>0.11799999999999999</v>
      </c>
      <c r="AH40" s="28">
        <v>0</v>
      </c>
      <c r="AI40" s="28">
        <v>0.27700000000000002</v>
      </c>
      <c r="AJ40" s="28">
        <v>4.5999999999999999E-2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0.107</v>
      </c>
      <c r="AS40" s="28">
        <v>0</v>
      </c>
      <c r="AT40" s="28">
        <v>0</v>
      </c>
      <c r="AU40" s="28">
        <v>2.9000000000000001E-2</v>
      </c>
      <c r="AV40" s="28">
        <v>0</v>
      </c>
      <c r="AW40" s="28">
        <v>0.114</v>
      </c>
      <c r="AX40" s="28">
        <v>0.78</v>
      </c>
      <c r="AY40" s="28">
        <v>0.33700000000000002</v>
      </c>
      <c r="AZ40" s="28">
        <v>9.9918367346938777E-2</v>
      </c>
      <c r="BA40" s="34">
        <v>4.8959999999999999</v>
      </c>
    </row>
    <row r="41" spans="1:53" x14ac:dyDescent="0.25">
      <c r="A41" s="24">
        <v>40</v>
      </c>
      <c r="B41" s="26">
        <v>19.5</v>
      </c>
      <c r="C41" s="28">
        <v>0.57799999999999996</v>
      </c>
      <c r="D41" s="28">
        <v>0.10299999999999999</v>
      </c>
      <c r="E41" s="28">
        <v>0.253</v>
      </c>
      <c r="F41" s="28">
        <v>0</v>
      </c>
      <c r="G41" s="28">
        <v>0.19</v>
      </c>
      <c r="H41" s="28">
        <v>0.34</v>
      </c>
      <c r="I41" s="28">
        <v>0.42199999999999999</v>
      </c>
      <c r="J41" s="28">
        <v>0</v>
      </c>
      <c r="K41" s="28">
        <v>0.18099999999999999</v>
      </c>
      <c r="L41" s="28">
        <v>0.46</v>
      </c>
      <c r="M41" s="28">
        <v>0.36</v>
      </c>
      <c r="N41" s="28">
        <v>1.218</v>
      </c>
      <c r="O41" s="28">
        <v>0.28199999999999997</v>
      </c>
      <c r="P41" s="28">
        <v>0.32600000000000001</v>
      </c>
      <c r="Q41" s="28">
        <v>8.3999999999999991E-2</v>
      </c>
      <c r="R41" s="28">
        <v>0.79600000000000004</v>
      </c>
      <c r="S41" s="28">
        <v>0.128</v>
      </c>
      <c r="T41" s="28">
        <v>0.49199999999999999</v>
      </c>
      <c r="U41" s="28">
        <v>0.45200000000000001</v>
      </c>
      <c r="V41" s="28">
        <v>0.72099999999999997</v>
      </c>
      <c r="W41" s="28">
        <v>1.5760000000000001</v>
      </c>
      <c r="X41" s="28">
        <v>0.13300000000000001</v>
      </c>
      <c r="Y41" s="28">
        <v>0.247</v>
      </c>
      <c r="Z41" s="28">
        <v>0.435</v>
      </c>
      <c r="AA41" s="28">
        <v>2.4E-2</v>
      </c>
      <c r="AB41" s="28">
        <v>0.21099999999999999</v>
      </c>
      <c r="AC41" s="28">
        <v>0.26300000000000001</v>
      </c>
      <c r="AD41" s="28">
        <v>0.56200000000000006</v>
      </c>
      <c r="AE41" s="28">
        <v>0.17199999999999999</v>
      </c>
      <c r="AF41" s="28">
        <v>0.35799999999999998</v>
      </c>
      <c r="AG41" s="28">
        <v>0.40300000000000002</v>
      </c>
      <c r="AH41" s="28">
        <v>0.16400000000000001</v>
      </c>
      <c r="AI41" s="28">
        <v>0.81200000000000006</v>
      </c>
      <c r="AJ41" s="28">
        <v>0.42699999999999999</v>
      </c>
      <c r="AK41" s="28">
        <v>1.0309999999999999</v>
      </c>
      <c r="AL41" s="28">
        <v>2.1999999999999999E-2</v>
      </c>
      <c r="AM41" s="28">
        <v>1.2450000000000001</v>
      </c>
      <c r="AN41" s="28">
        <v>0.33100000000000002</v>
      </c>
      <c r="AO41" s="28">
        <v>0.252</v>
      </c>
      <c r="AP41" s="28">
        <v>0</v>
      </c>
      <c r="AQ41" s="28">
        <v>0</v>
      </c>
      <c r="AR41" s="28">
        <v>0.38200000000000001</v>
      </c>
      <c r="AS41" s="28">
        <v>0</v>
      </c>
      <c r="AT41" s="28">
        <v>0.374</v>
      </c>
      <c r="AU41" s="28">
        <v>0.60599999999999998</v>
      </c>
      <c r="AV41" s="28">
        <v>0</v>
      </c>
      <c r="AW41" s="28">
        <v>0.51200000000000001</v>
      </c>
      <c r="AX41" s="28">
        <v>0.14599999999999999</v>
      </c>
      <c r="AY41" s="28">
        <v>1.3859999999999999</v>
      </c>
      <c r="AZ41" s="28">
        <v>0.39714285714285719</v>
      </c>
      <c r="BA41" s="34">
        <v>19.46</v>
      </c>
    </row>
    <row r="42" spans="1:53" x14ac:dyDescent="0.25">
      <c r="A42" s="24">
        <v>41</v>
      </c>
      <c r="B42" s="26">
        <v>20</v>
      </c>
      <c r="C42" s="28">
        <v>0.76400000000000001</v>
      </c>
      <c r="D42" s="28">
        <v>0.224</v>
      </c>
      <c r="E42" s="28">
        <v>0.42199999999999999</v>
      </c>
      <c r="F42" s="28">
        <v>3.3000000000000002E-2</v>
      </c>
      <c r="G42" s="28">
        <v>0.17899999999999999</v>
      </c>
      <c r="H42" s="28">
        <v>0.40400000000000003</v>
      </c>
      <c r="I42" s="28">
        <v>0.57099999999999995</v>
      </c>
      <c r="J42" s="28">
        <v>4.5000000000000012E-2</v>
      </c>
      <c r="K42" s="28">
        <v>0.12</v>
      </c>
      <c r="L42" s="28">
        <v>0.41599999999999998</v>
      </c>
      <c r="M42" s="28">
        <v>0.46200000000000002</v>
      </c>
      <c r="N42" s="28">
        <v>0.314</v>
      </c>
      <c r="O42" s="28">
        <v>0.34699999999999998</v>
      </c>
      <c r="P42" s="28">
        <v>0.50900000000000001</v>
      </c>
      <c r="Q42" s="28">
        <v>0.1</v>
      </c>
      <c r="R42" s="28">
        <v>0.91400000000000003</v>
      </c>
      <c r="S42" s="28">
        <v>0.33</v>
      </c>
      <c r="T42" s="28">
        <v>0.56300000000000006</v>
      </c>
      <c r="U42" s="28">
        <v>0.30599999999999999</v>
      </c>
      <c r="V42" s="28">
        <v>0.67300000000000004</v>
      </c>
      <c r="W42" s="28">
        <v>0.27100000000000002</v>
      </c>
      <c r="X42" s="28">
        <v>3.3000000000000002E-2</v>
      </c>
      <c r="Y42" s="28">
        <v>1.19</v>
      </c>
      <c r="Z42" s="28">
        <v>0.55900000000000005</v>
      </c>
      <c r="AA42" s="28">
        <v>0.25800000000000001</v>
      </c>
      <c r="AB42" s="28">
        <v>0.48599999999999999</v>
      </c>
      <c r="AC42" s="28">
        <v>0.38200000000000001</v>
      </c>
      <c r="AD42" s="28">
        <v>1.331</v>
      </c>
      <c r="AE42" s="28">
        <v>0.36499999999999999</v>
      </c>
      <c r="AF42" s="28">
        <v>0.27800000000000002</v>
      </c>
      <c r="AG42" s="28">
        <v>1.659</v>
      </c>
      <c r="AH42" s="28">
        <v>0.38100000000000001</v>
      </c>
      <c r="AI42" s="28">
        <v>0.50800000000000001</v>
      </c>
      <c r="AJ42" s="28">
        <v>2.9000000000000001E-2</v>
      </c>
      <c r="AK42" s="28">
        <v>0.215</v>
      </c>
      <c r="AL42" s="28">
        <v>0.21299999999999999</v>
      </c>
      <c r="AM42" s="28">
        <v>1.248</v>
      </c>
      <c r="AN42" s="28">
        <v>0.312</v>
      </c>
      <c r="AO42" s="28">
        <v>0.39400000000000002</v>
      </c>
      <c r="AP42" s="28">
        <v>3.3000000000000002E-2</v>
      </c>
      <c r="AQ42" s="28">
        <v>3.5000000000000003E-2</v>
      </c>
      <c r="AR42" s="28">
        <v>0.44700000000000001</v>
      </c>
      <c r="AS42" s="28">
        <v>0.17899999999999999</v>
      </c>
      <c r="AT42" s="28">
        <v>0.30299999999999999</v>
      </c>
      <c r="AU42" s="28">
        <v>0.91400000000000003</v>
      </c>
      <c r="AV42" s="28">
        <v>0.17799999999999999</v>
      </c>
      <c r="AW42" s="28">
        <v>0.316</v>
      </c>
      <c r="AX42" s="28">
        <v>0.33100000000000002</v>
      </c>
      <c r="AY42" s="28">
        <v>1.333</v>
      </c>
      <c r="AZ42" s="28">
        <v>0.44646938775510192</v>
      </c>
      <c r="BA42" s="34">
        <v>21.876999999999999</v>
      </c>
    </row>
    <row r="43" spans="1:53" x14ac:dyDescent="0.25">
      <c r="A43" s="24">
        <v>42</v>
      </c>
      <c r="B43" s="26">
        <v>20.5</v>
      </c>
      <c r="C43" s="28">
        <v>0.63700000000000001</v>
      </c>
      <c r="D43" s="28">
        <v>0.40100000000000002</v>
      </c>
      <c r="E43" s="28">
        <v>0.51700000000000002</v>
      </c>
      <c r="F43" s="28">
        <v>0.23300000000000001</v>
      </c>
      <c r="G43" s="28">
        <v>0.94200000000000006</v>
      </c>
      <c r="H43" s="28">
        <v>0.59399999999999997</v>
      </c>
      <c r="I43" s="28">
        <v>0.76100000000000001</v>
      </c>
      <c r="J43" s="28">
        <v>0.10100000000000001</v>
      </c>
      <c r="K43" s="28">
        <v>0.224</v>
      </c>
      <c r="L43" s="28">
        <v>0.68499999999999994</v>
      </c>
      <c r="M43" s="28">
        <v>0.91</v>
      </c>
      <c r="N43" s="28">
        <v>0.45300000000000001</v>
      </c>
      <c r="O43" s="28">
        <v>0.36299999999999999</v>
      </c>
      <c r="P43" s="28">
        <v>0.42099999999999999</v>
      </c>
      <c r="Q43" s="28">
        <v>0.36900000000000011</v>
      </c>
      <c r="R43" s="28">
        <v>2.4159999999999999</v>
      </c>
      <c r="S43" s="28">
        <v>0.52800000000000002</v>
      </c>
      <c r="T43" s="28">
        <v>0.80500000000000005</v>
      </c>
      <c r="U43" s="28">
        <v>4.8000000000000001E-2</v>
      </c>
      <c r="V43" s="28">
        <v>0.77700000000000002</v>
      </c>
      <c r="W43" s="28">
        <v>0.307</v>
      </c>
      <c r="X43" s="28">
        <v>5.2999999999999999E-2</v>
      </c>
      <c r="Y43" s="28">
        <v>0.23499999999999999</v>
      </c>
      <c r="Z43" s="28">
        <v>0.50600000000000001</v>
      </c>
      <c r="AA43" s="28">
        <v>4.9000000000000002E-2</v>
      </c>
      <c r="AB43" s="28">
        <v>0.43</v>
      </c>
      <c r="AC43" s="28">
        <v>0.58200000000000007</v>
      </c>
      <c r="AD43" s="28">
        <v>1.3380000000000001</v>
      </c>
      <c r="AE43" s="28">
        <v>0.37</v>
      </c>
      <c r="AF43" s="28">
        <v>0.1</v>
      </c>
      <c r="AG43" s="28">
        <v>0.53700000000000003</v>
      </c>
      <c r="AH43" s="28">
        <v>0.39500000000000002</v>
      </c>
      <c r="AI43" s="28">
        <v>0.96599999999999997</v>
      </c>
      <c r="AJ43" s="28">
        <v>0.13600000000000001</v>
      </c>
      <c r="AK43" s="28">
        <v>0.27400000000000002</v>
      </c>
      <c r="AL43" s="28">
        <v>0.55999999999999994</v>
      </c>
      <c r="AM43" s="28">
        <v>0.46100000000000002</v>
      </c>
      <c r="AN43" s="28">
        <v>0.39600000000000002</v>
      </c>
      <c r="AO43" s="28">
        <v>0.56999999999999995</v>
      </c>
      <c r="AP43" s="28">
        <v>5.2999999999999999E-2</v>
      </c>
      <c r="AQ43" s="28">
        <v>0.25700000000000001</v>
      </c>
      <c r="AR43" s="28">
        <v>0.442</v>
      </c>
      <c r="AS43" s="28">
        <v>6.8000000000000005E-2</v>
      </c>
      <c r="AT43" s="28">
        <v>0.435</v>
      </c>
      <c r="AU43" s="28">
        <v>0.625</v>
      </c>
      <c r="AV43" s="28">
        <v>0.05</v>
      </c>
      <c r="AW43" s="28">
        <v>0.31900000000000001</v>
      </c>
      <c r="AX43" s="28">
        <v>0.38900000000000001</v>
      </c>
      <c r="AY43" s="28">
        <v>0.41499999999999998</v>
      </c>
      <c r="AZ43" s="28">
        <v>0.47965306122448992</v>
      </c>
      <c r="BA43" s="34">
        <v>23.503</v>
      </c>
    </row>
    <row r="44" spans="1:53" x14ac:dyDescent="0.25">
      <c r="A44" s="24">
        <v>43</v>
      </c>
      <c r="B44" s="26">
        <v>21</v>
      </c>
      <c r="C44" s="28">
        <v>0.96899999999999997</v>
      </c>
      <c r="D44" s="28">
        <v>0.52899999999999991</v>
      </c>
      <c r="E44" s="28">
        <v>0.57600000000000007</v>
      </c>
      <c r="F44" s="28">
        <v>0.127</v>
      </c>
      <c r="G44" s="28">
        <v>1.1319999999999999</v>
      </c>
      <c r="H44" s="28">
        <v>0.442</v>
      </c>
      <c r="I44" s="28">
        <v>0.63900000000000001</v>
      </c>
      <c r="J44" s="28">
        <v>3.3000000000000002E-2</v>
      </c>
      <c r="K44" s="28">
        <v>0.374</v>
      </c>
      <c r="L44" s="28">
        <v>0.70200000000000007</v>
      </c>
      <c r="M44" s="28">
        <v>1.2030000000000001</v>
      </c>
      <c r="N44" s="28">
        <v>0.55199999999999994</v>
      </c>
      <c r="O44" s="28">
        <v>0.16200000000000001</v>
      </c>
      <c r="P44" s="28">
        <v>0.45400000000000001</v>
      </c>
      <c r="Q44" s="28">
        <v>0.21299999999999999</v>
      </c>
      <c r="R44" s="28">
        <v>2.2719999999999998</v>
      </c>
      <c r="S44" s="28">
        <v>0.36699999999999999</v>
      </c>
      <c r="T44" s="28">
        <v>0.622</v>
      </c>
      <c r="U44" s="28">
        <v>0.28399999999999997</v>
      </c>
      <c r="V44" s="28">
        <v>0.98</v>
      </c>
      <c r="W44" s="28">
        <v>0.28199999999999997</v>
      </c>
      <c r="X44" s="28">
        <v>0.161</v>
      </c>
      <c r="Y44" s="28">
        <v>0.70200000000000007</v>
      </c>
      <c r="Z44" s="28">
        <v>0.13200000000000001</v>
      </c>
      <c r="AA44" s="28">
        <v>0.312</v>
      </c>
      <c r="AB44" s="28">
        <v>0.48799999999999999</v>
      </c>
      <c r="AC44" s="28">
        <v>0.64</v>
      </c>
      <c r="AD44" s="28">
        <v>0.79699999999999993</v>
      </c>
      <c r="AE44" s="28">
        <v>0.32200000000000001</v>
      </c>
      <c r="AF44" s="28">
        <v>5.2999999999999999E-2</v>
      </c>
      <c r="AG44" s="28">
        <v>0.66100000000000003</v>
      </c>
      <c r="AH44" s="28">
        <v>0.57099999999999995</v>
      </c>
      <c r="AI44" s="28">
        <v>0.81300000000000006</v>
      </c>
      <c r="AJ44" s="28">
        <v>0.41399999999999998</v>
      </c>
      <c r="AK44" s="28">
        <v>0.39300000000000002</v>
      </c>
      <c r="AL44" s="28">
        <v>0.42799999999999999</v>
      </c>
      <c r="AM44" s="28">
        <v>0.71899999999999997</v>
      </c>
      <c r="AN44" s="28">
        <v>0.48599999999999999</v>
      </c>
      <c r="AO44" s="28">
        <v>0.61399999999999999</v>
      </c>
      <c r="AP44" s="28">
        <v>5.2999999999999999E-2</v>
      </c>
      <c r="AQ44" s="28">
        <v>0.27500000000000002</v>
      </c>
      <c r="AR44" s="28">
        <v>0.73699999999999999</v>
      </c>
      <c r="AS44" s="28">
        <v>0.33800000000000002</v>
      </c>
      <c r="AT44" s="28">
        <v>0.72900000000000009</v>
      </c>
      <c r="AU44" s="28">
        <v>0.495</v>
      </c>
      <c r="AV44" s="28">
        <v>0.05</v>
      </c>
      <c r="AW44" s="28">
        <v>0.49299999999999988</v>
      </c>
      <c r="AX44" s="28">
        <v>0.57600000000000007</v>
      </c>
      <c r="AY44" s="28">
        <v>0.20300000000000001</v>
      </c>
      <c r="AZ44" s="28">
        <v>0.52181632653061227</v>
      </c>
      <c r="BA44" s="34">
        <v>25.568999999999999</v>
      </c>
    </row>
    <row r="45" spans="1:53" x14ac:dyDescent="0.25">
      <c r="A45" s="24">
        <v>44</v>
      </c>
      <c r="B45" s="26">
        <v>21.5</v>
      </c>
      <c r="C45" s="28">
        <v>0.69499999999999995</v>
      </c>
      <c r="D45" s="28">
        <v>0.33600000000000002</v>
      </c>
      <c r="E45" s="28">
        <v>0.35499999999999998</v>
      </c>
      <c r="F45" s="28">
        <v>0.40600000000000003</v>
      </c>
      <c r="G45" s="28">
        <v>0.48</v>
      </c>
      <c r="H45" s="28">
        <v>1.42</v>
      </c>
      <c r="I45" s="28">
        <v>0.77600000000000002</v>
      </c>
      <c r="J45" s="28">
        <v>4.1000000000000002E-2</v>
      </c>
      <c r="K45" s="28">
        <v>0.25800000000000001</v>
      </c>
      <c r="L45" s="28">
        <v>0.62</v>
      </c>
      <c r="M45" s="28">
        <v>0.433</v>
      </c>
      <c r="N45" s="28">
        <v>0.54900000000000004</v>
      </c>
      <c r="O45" s="28">
        <v>0.40400000000000003</v>
      </c>
      <c r="P45" s="28">
        <v>0.41899999999999998</v>
      </c>
      <c r="Q45" s="28">
        <v>0.36900000000000011</v>
      </c>
      <c r="R45" s="28">
        <v>0.33800000000000002</v>
      </c>
      <c r="S45" s="28">
        <v>0.39700000000000002</v>
      </c>
      <c r="T45" s="28">
        <v>0.80199999999999994</v>
      </c>
      <c r="U45" s="28">
        <v>4.8000000000000001E-2</v>
      </c>
      <c r="V45" s="28">
        <v>0.70100000000000007</v>
      </c>
      <c r="W45" s="28">
        <v>0.37</v>
      </c>
      <c r="X45" s="28">
        <v>5.2999999999999999E-2</v>
      </c>
      <c r="Y45" s="28">
        <v>0.443</v>
      </c>
      <c r="Z45" s="28">
        <v>7.5999999999999998E-2</v>
      </c>
      <c r="AA45" s="28">
        <v>4.9000000000000002E-2</v>
      </c>
      <c r="AB45" s="28">
        <v>0.32100000000000001</v>
      </c>
      <c r="AC45" s="28">
        <v>0.54</v>
      </c>
      <c r="AD45" s="28">
        <v>1.002</v>
      </c>
      <c r="AE45" s="28">
        <v>0.36099999999999999</v>
      </c>
      <c r="AF45" s="28">
        <v>5.2999999999999999E-2</v>
      </c>
      <c r="AG45" s="28">
        <v>0.99099999999999988</v>
      </c>
      <c r="AH45" s="28">
        <v>0.59299999999999997</v>
      </c>
      <c r="AI45" s="28">
        <v>0.72199999999999998</v>
      </c>
      <c r="AJ45" s="28">
        <v>0.30199999999999999</v>
      </c>
      <c r="AK45" s="28">
        <v>0.41699999999999998</v>
      </c>
      <c r="AL45" s="28">
        <v>0.50800000000000001</v>
      </c>
      <c r="AM45" s="28">
        <v>0.5</v>
      </c>
      <c r="AN45" s="28">
        <v>0.495</v>
      </c>
      <c r="AO45" s="28">
        <v>0.52899999999999991</v>
      </c>
      <c r="AP45" s="28">
        <v>5.2999999999999999E-2</v>
      </c>
      <c r="AQ45" s="28">
        <v>0.35899999999999999</v>
      </c>
      <c r="AR45" s="28">
        <v>0.34499999999999997</v>
      </c>
      <c r="AS45" s="28">
        <v>0.26100000000000001</v>
      </c>
      <c r="AT45" s="28">
        <v>0.56200000000000006</v>
      </c>
      <c r="AU45" s="28">
        <v>0.47099999999999997</v>
      </c>
      <c r="AV45" s="28">
        <v>0.377</v>
      </c>
      <c r="AW45" s="28">
        <v>0.4</v>
      </c>
      <c r="AX45" s="28">
        <v>0.76800000000000002</v>
      </c>
      <c r="AY45" s="28">
        <v>0.40200000000000002</v>
      </c>
      <c r="AZ45" s="28">
        <v>0.45244897959183678</v>
      </c>
      <c r="BA45" s="34">
        <v>22.17</v>
      </c>
    </row>
    <row r="46" spans="1:53" x14ac:dyDescent="0.25">
      <c r="A46" s="24">
        <v>45</v>
      </c>
      <c r="B46" s="26">
        <v>22</v>
      </c>
      <c r="C46" s="28">
        <v>1.1140000000000001</v>
      </c>
      <c r="D46" s="28">
        <v>0.32</v>
      </c>
      <c r="E46" s="28">
        <v>0.27600000000000002</v>
      </c>
      <c r="F46" s="28">
        <v>0.38700000000000001</v>
      </c>
      <c r="G46" s="28">
        <v>0.46500000000000002</v>
      </c>
      <c r="H46" s="28">
        <v>1.679</v>
      </c>
      <c r="I46" s="28">
        <v>0.63700000000000001</v>
      </c>
      <c r="J46" s="28">
        <v>9.7000000000000003E-2</v>
      </c>
      <c r="K46" s="28">
        <v>0.378</v>
      </c>
      <c r="L46" s="28">
        <v>0.745</v>
      </c>
      <c r="M46" s="28">
        <v>0.442</v>
      </c>
      <c r="N46" s="28">
        <v>0.36499999999999999</v>
      </c>
      <c r="O46" s="28">
        <v>0.36900000000000011</v>
      </c>
      <c r="P46" s="28">
        <v>0.438</v>
      </c>
      <c r="Q46" s="28">
        <v>5.8999999999999997E-2</v>
      </c>
      <c r="R46" s="28">
        <v>0</v>
      </c>
      <c r="S46" s="28">
        <v>1.034</v>
      </c>
      <c r="T46" s="28">
        <v>0.9</v>
      </c>
      <c r="U46" s="28">
        <v>9.6000000000000002E-2</v>
      </c>
      <c r="V46" s="28">
        <v>0.39300000000000002</v>
      </c>
      <c r="W46" s="28">
        <v>0.308</v>
      </c>
      <c r="X46" s="28">
        <v>0.161</v>
      </c>
      <c r="Y46" s="28">
        <v>0.32100000000000001</v>
      </c>
      <c r="Z46" s="28">
        <v>0.29599999999999999</v>
      </c>
      <c r="AA46" s="28">
        <v>0.17699999999999999</v>
      </c>
      <c r="AB46" s="28">
        <v>0.63200000000000001</v>
      </c>
      <c r="AC46" s="28">
        <v>0.6130000000000001</v>
      </c>
      <c r="AD46" s="28">
        <v>1.3009999999999999</v>
      </c>
      <c r="AE46" s="28">
        <v>0.19400000000000001</v>
      </c>
      <c r="AF46" s="28">
        <v>0.48599999999999999</v>
      </c>
      <c r="AG46" s="28">
        <v>1.502</v>
      </c>
      <c r="AH46" s="28">
        <v>0.42199999999999999</v>
      </c>
      <c r="AI46" s="28">
        <v>0.85899999999999999</v>
      </c>
      <c r="AJ46" s="28">
        <v>0.57499999999999996</v>
      </c>
      <c r="AK46" s="28">
        <v>0.34699999999999998</v>
      </c>
      <c r="AL46" s="28">
        <v>0.69399999999999995</v>
      </c>
      <c r="AM46" s="28">
        <v>0.46600000000000003</v>
      </c>
      <c r="AN46" s="28">
        <v>0.623</v>
      </c>
      <c r="AO46" s="28">
        <v>0.71399999999999997</v>
      </c>
      <c r="AP46" s="28">
        <v>5.2999999999999999E-2</v>
      </c>
      <c r="AQ46" s="28">
        <v>0.05</v>
      </c>
      <c r="AR46" s="28">
        <v>0.29799999999999999</v>
      </c>
      <c r="AS46" s="28">
        <v>0.47399999999999998</v>
      </c>
      <c r="AT46" s="28">
        <v>0.67199999999999993</v>
      </c>
      <c r="AU46" s="28">
        <v>1.1719999999999999</v>
      </c>
      <c r="AV46" s="28">
        <v>0.23</v>
      </c>
      <c r="AW46" s="28">
        <v>0.42499999999999999</v>
      </c>
      <c r="AX46" s="28">
        <v>1.7010000000000001</v>
      </c>
      <c r="AY46" s="28">
        <v>0.26700000000000002</v>
      </c>
      <c r="AZ46" s="28">
        <v>0.53524489795918373</v>
      </c>
      <c r="BA46" s="34">
        <v>26.227</v>
      </c>
    </row>
    <row r="47" spans="1:53" x14ac:dyDescent="0.25">
      <c r="A47" s="24">
        <v>46</v>
      </c>
      <c r="B47" s="26">
        <v>22.5</v>
      </c>
      <c r="C47" s="28">
        <v>0.98</v>
      </c>
      <c r="D47" s="28">
        <v>0.66600000000000004</v>
      </c>
      <c r="E47" s="28">
        <v>7.3999999999999996E-2</v>
      </c>
      <c r="F47" s="28">
        <v>0.49</v>
      </c>
      <c r="G47" s="28">
        <v>0.35</v>
      </c>
      <c r="H47" s="28">
        <v>0.41</v>
      </c>
      <c r="I47" s="28">
        <v>0.67699999999999994</v>
      </c>
      <c r="J47" s="28">
        <v>3.3000000000000002E-2</v>
      </c>
      <c r="K47" s="28">
        <v>0.21099999999999999</v>
      </c>
      <c r="L47" s="28">
        <v>0.46899999999999997</v>
      </c>
      <c r="M47" s="28">
        <v>0.34799999999999998</v>
      </c>
      <c r="N47" s="28">
        <v>0.36099999999999999</v>
      </c>
      <c r="O47" s="28">
        <v>0.30099999999999999</v>
      </c>
      <c r="P47" s="28">
        <v>0.27500000000000002</v>
      </c>
      <c r="Q47" s="28">
        <v>0.182</v>
      </c>
      <c r="R47" s="28">
        <v>0</v>
      </c>
      <c r="S47" s="28">
        <v>0.30499999999999999</v>
      </c>
      <c r="T47" s="28">
        <v>0.76200000000000001</v>
      </c>
      <c r="U47" s="28">
        <v>0.23599999999999999</v>
      </c>
      <c r="V47" s="28">
        <v>0</v>
      </c>
      <c r="W47" s="28">
        <v>0.94899999999999995</v>
      </c>
      <c r="X47" s="28">
        <v>5.2999999999999999E-2</v>
      </c>
      <c r="Y47" s="28">
        <v>0.19900000000000001</v>
      </c>
      <c r="Z47" s="28">
        <v>0.34200000000000003</v>
      </c>
      <c r="AA47" s="28">
        <v>9.7000000000000003E-2</v>
      </c>
      <c r="AB47" s="28">
        <v>0.45</v>
      </c>
      <c r="AC47" s="28">
        <v>0.39700000000000002</v>
      </c>
      <c r="AD47" s="28">
        <v>0.56099999999999994</v>
      </c>
      <c r="AE47" s="28">
        <v>4.1000000000000002E-2</v>
      </c>
      <c r="AF47" s="28">
        <v>0.45200000000000001</v>
      </c>
      <c r="AG47" s="28">
        <v>0</v>
      </c>
      <c r="AH47" s="28">
        <v>0.438</v>
      </c>
      <c r="AI47" s="28">
        <v>0.92100000000000004</v>
      </c>
      <c r="AJ47" s="28">
        <v>0.67599999999999993</v>
      </c>
      <c r="AK47" s="28">
        <v>0.11799999999999999</v>
      </c>
      <c r="AL47" s="28">
        <v>1.359</v>
      </c>
      <c r="AM47" s="28">
        <v>0.30099999999999999</v>
      </c>
      <c r="AN47" s="28">
        <v>0.876</v>
      </c>
      <c r="AO47" s="28">
        <v>0.73699999999999999</v>
      </c>
      <c r="AP47" s="28">
        <v>5.2999999999999999E-2</v>
      </c>
      <c r="AQ47" s="28">
        <v>0.05</v>
      </c>
      <c r="AR47" s="28">
        <v>0.34699999999999998</v>
      </c>
      <c r="AS47" s="28">
        <v>0.75</v>
      </c>
      <c r="AT47" s="28">
        <v>0.59100000000000008</v>
      </c>
      <c r="AU47" s="28">
        <v>0.48399999999999999</v>
      </c>
      <c r="AV47" s="28">
        <v>0.25600000000000001</v>
      </c>
      <c r="AW47" s="28">
        <v>0.42699999999999999</v>
      </c>
      <c r="AX47" s="28">
        <v>0.79299999999999993</v>
      </c>
      <c r="AY47" s="28">
        <v>0.54</v>
      </c>
      <c r="AZ47" s="28">
        <v>0.41608163265306131</v>
      </c>
      <c r="BA47" s="34">
        <v>20.388000000000009</v>
      </c>
    </row>
    <row r="48" spans="1:53" x14ac:dyDescent="0.25">
      <c r="A48" s="24">
        <v>47</v>
      </c>
      <c r="B48" s="26">
        <v>23</v>
      </c>
      <c r="C48" s="28">
        <v>0.18</v>
      </c>
      <c r="D48" s="28">
        <v>4.5999999999999999E-2</v>
      </c>
      <c r="E48" s="28">
        <v>0.16300000000000001</v>
      </c>
      <c r="F48" s="28">
        <v>0.25</v>
      </c>
      <c r="G48" s="28">
        <v>4.8000000000000001E-2</v>
      </c>
      <c r="H48" s="28">
        <v>0.24099999999999999</v>
      </c>
      <c r="I48" s="28">
        <v>0.66699999999999993</v>
      </c>
      <c r="J48" s="28">
        <v>0.105</v>
      </c>
      <c r="K48" s="28">
        <v>1.244</v>
      </c>
      <c r="L48" s="28">
        <v>0.56700000000000006</v>
      </c>
      <c r="M48" s="28">
        <v>8.2000000000000003E-2</v>
      </c>
      <c r="N48" s="28">
        <v>0.10299999999999999</v>
      </c>
      <c r="O48" s="28">
        <v>0.45800000000000002</v>
      </c>
      <c r="P48" s="28">
        <v>0.20100000000000001</v>
      </c>
      <c r="Q48" s="28">
        <v>1.538</v>
      </c>
      <c r="R48" s="28">
        <v>0</v>
      </c>
      <c r="S48" s="28">
        <v>0.50600000000000001</v>
      </c>
      <c r="T48" s="28">
        <v>0.57999999999999996</v>
      </c>
      <c r="U48" s="28">
        <v>4.8000000000000001E-2</v>
      </c>
      <c r="V48" s="28">
        <v>0</v>
      </c>
      <c r="W48" s="28">
        <v>0.81700000000000006</v>
      </c>
      <c r="X48" s="28">
        <v>6.0999999999999999E-2</v>
      </c>
      <c r="Y48" s="28">
        <v>0.222</v>
      </c>
      <c r="Z48" s="28">
        <v>0.39400000000000002</v>
      </c>
      <c r="AA48" s="28">
        <v>8.1000000000000003E-2</v>
      </c>
      <c r="AB48" s="28">
        <v>0.46300000000000002</v>
      </c>
      <c r="AC48" s="28">
        <v>0.42899999999999999</v>
      </c>
      <c r="AD48" s="28">
        <v>0</v>
      </c>
      <c r="AE48" s="28">
        <v>0.112</v>
      </c>
      <c r="AF48" s="28">
        <v>0.71299999999999997</v>
      </c>
      <c r="AG48" s="28">
        <v>0</v>
      </c>
      <c r="AH48" s="28">
        <v>0.30599999999999999</v>
      </c>
      <c r="AI48" s="28">
        <v>0.82200000000000006</v>
      </c>
      <c r="AJ48" s="28">
        <v>0.441</v>
      </c>
      <c r="AK48" s="28">
        <v>4.2999999999999997E-2</v>
      </c>
      <c r="AL48" s="28">
        <v>0.32100000000000001</v>
      </c>
      <c r="AM48" s="28">
        <v>0.30399999999999999</v>
      </c>
      <c r="AN48" s="28">
        <v>0.55199999999999994</v>
      </c>
      <c r="AO48" s="28">
        <v>0.70399999999999996</v>
      </c>
      <c r="AP48" s="28">
        <v>5.2999999999999999E-2</v>
      </c>
      <c r="AQ48" s="28">
        <v>0.05</v>
      </c>
      <c r="AR48" s="28">
        <v>5.2999999999999999E-2</v>
      </c>
      <c r="AS48" s="28">
        <v>0.41</v>
      </c>
      <c r="AT48" s="28">
        <v>0.50700000000000001</v>
      </c>
      <c r="AU48" s="28">
        <v>0.76300000000000001</v>
      </c>
      <c r="AV48" s="28">
        <v>0.38900000000000001</v>
      </c>
      <c r="AW48" s="28">
        <v>0.05</v>
      </c>
      <c r="AX48" s="28">
        <v>0.26300000000000001</v>
      </c>
      <c r="AY48" s="28">
        <v>0.51700000000000002</v>
      </c>
      <c r="AZ48" s="28">
        <v>0.34422448979591852</v>
      </c>
      <c r="BA48" s="34">
        <v>16.867000000000001</v>
      </c>
    </row>
    <row r="49" spans="1:53" x14ac:dyDescent="0.25">
      <c r="A49" s="25">
        <v>48</v>
      </c>
      <c r="B49" s="27">
        <v>23.5</v>
      </c>
      <c r="C49" s="29">
        <v>0.93800000000000006</v>
      </c>
      <c r="D49" s="29">
        <v>0.17599999999999999</v>
      </c>
      <c r="E49" s="29">
        <v>0.17599999999999999</v>
      </c>
      <c r="F49" s="29">
        <v>4.8000000000000001E-2</v>
      </c>
      <c r="G49" s="29">
        <v>0.16700000000000001</v>
      </c>
      <c r="H49" s="29">
        <v>0.17100000000000001</v>
      </c>
      <c r="I49" s="29">
        <v>0.13400000000000001</v>
      </c>
      <c r="J49" s="29">
        <v>3.3000000000000002E-2</v>
      </c>
      <c r="K49" s="29">
        <v>0.224</v>
      </c>
      <c r="L49" s="29">
        <v>0.182</v>
      </c>
      <c r="M49" s="29">
        <v>8.8999999999999996E-2</v>
      </c>
      <c r="N49" s="29">
        <v>7.3999999999999996E-2</v>
      </c>
      <c r="O49" s="29">
        <v>0.109</v>
      </c>
      <c r="P49" s="29">
        <v>0.14899999999999999</v>
      </c>
      <c r="Q49" s="29">
        <v>1.405</v>
      </c>
      <c r="R49" s="29">
        <v>0</v>
      </c>
      <c r="S49" s="29">
        <v>0.17100000000000001</v>
      </c>
      <c r="T49" s="29">
        <v>0.99099999999999988</v>
      </c>
      <c r="U49" s="29">
        <v>0.23300000000000001</v>
      </c>
      <c r="V49" s="29">
        <v>0</v>
      </c>
      <c r="W49" s="29">
        <v>0.23899999999999999</v>
      </c>
      <c r="X49" s="29">
        <v>0.153</v>
      </c>
      <c r="Y49" s="29">
        <v>0.57200000000000006</v>
      </c>
      <c r="Z49" s="29">
        <v>0.17899999999999999</v>
      </c>
      <c r="AA49" s="29">
        <v>0.193</v>
      </c>
      <c r="AB49" s="29">
        <v>0.28299999999999997</v>
      </c>
      <c r="AC49" s="29">
        <v>9.4E-2</v>
      </c>
      <c r="AD49" s="29">
        <v>0</v>
      </c>
      <c r="AE49" s="29">
        <v>4.1000000000000002E-2</v>
      </c>
      <c r="AF49" s="29">
        <v>0.161</v>
      </c>
      <c r="AG49" s="29">
        <v>0</v>
      </c>
      <c r="AH49" s="29">
        <v>0.30499999999999999</v>
      </c>
      <c r="AI49" s="29">
        <v>0.23599999999999999</v>
      </c>
      <c r="AJ49" s="29">
        <v>0.47299999999999998</v>
      </c>
      <c r="AK49" s="29">
        <v>4.2999999999999997E-2</v>
      </c>
      <c r="AL49" s="29">
        <v>0.16900000000000001</v>
      </c>
      <c r="AM49" s="29">
        <v>0.48299999999999998</v>
      </c>
      <c r="AN49" s="29">
        <v>0.79400000000000004</v>
      </c>
      <c r="AO49" s="29">
        <v>0.123</v>
      </c>
      <c r="AP49" s="29">
        <v>5.2999999999999999E-2</v>
      </c>
      <c r="AQ49" s="29">
        <v>0.05</v>
      </c>
      <c r="AR49" s="29">
        <v>6.3E-2</v>
      </c>
      <c r="AS49" s="29">
        <v>0.54900000000000004</v>
      </c>
      <c r="AT49" s="29">
        <v>0.64600000000000002</v>
      </c>
      <c r="AU49" s="29">
        <v>0.16200000000000001</v>
      </c>
      <c r="AV49" s="29">
        <v>0.45300000000000001</v>
      </c>
      <c r="AW49" s="29">
        <v>0.05</v>
      </c>
      <c r="AX49" s="29">
        <v>5.6000000000000001E-2</v>
      </c>
      <c r="AY49" s="29">
        <v>0.16800000000000001</v>
      </c>
      <c r="AZ49" s="29">
        <v>0.25022448979591838</v>
      </c>
      <c r="BA49" s="35">
        <v>12.260999999999999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53" width="15" customWidth="1"/>
  </cols>
  <sheetData>
    <row r="1" spans="1:53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9" t="s">
        <v>87</v>
      </c>
    </row>
    <row r="2" spans="1:53" x14ac:dyDescent="0.25">
      <c r="A2" s="24">
        <v>1</v>
      </c>
      <c r="B2" s="26">
        <v>0</v>
      </c>
      <c r="C2" s="28">
        <v>-3.4533333333300331E-4</v>
      </c>
      <c r="D2" s="28">
        <v>0</v>
      </c>
      <c r="E2" s="28">
        <v>0</v>
      </c>
      <c r="F2" s="28">
        <v>4.5800000000001401E-4</v>
      </c>
      <c r="G2" s="28">
        <v>0</v>
      </c>
      <c r="H2" s="28">
        <v>-4.2899999999999883E-4</v>
      </c>
      <c r="I2" s="28">
        <v>-2.4733333333304408E-4</v>
      </c>
      <c r="J2" s="28">
        <v>0</v>
      </c>
      <c r="K2" s="28">
        <v>0</v>
      </c>
      <c r="L2" s="28">
        <v>-4.1599999999990261E-4</v>
      </c>
      <c r="M2" s="28">
        <v>0</v>
      </c>
      <c r="N2" s="28">
        <v>3.9466666666698741E-4</v>
      </c>
      <c r="O2" s="28">
        <v>-1.413333333333128E-4</v>
      </c>
      <c r="P2" s="28">
        <v>4.286666666669936E-4</v>
      </c>
      <c r="Q2" s="28">
        <v>5.0999999999995493E-5</v>
      </c>
      <c r="R2" s="28">
        <v>3.9966666666699241E-4</v>
      </c>
      <c r="S2" s="28">
        <v>4.200000000000037E-4</v>
      </c>
      <c r="T2" s="28">
        <v>-4.8933333333298079E-4</v>
      </c>
      <c r="U2" s="28">
        <v>0</v>
      </c>
      <c r="V2" s="28">
        <v>5.3333333333016597E-5</v>
      </c>
      <c r="W2" s="28">
        <v>-9.3333333333001089E-5</v>
      </c>
      <c r="X2" s="28">
        <v>0</v>
      </c>
      <c r="Y2" s="28">
        <v>-1.819999999999877E-4</v>
      </c>
      <c r="Z2" s="28">
        <v>-4.326666666669976E-4</v>
      </c>
      <c r="AA2" s="28">
        <v>2.6666666666924628E-6</v>
      </c>
      <c r="AB2" s="28">
        <v>-2.0166666666704411E-4</v>
      </c>
      <c r="AC2" s="28">
        <v>0</v>
      </c>
      <c r="AD2" s="28">
        <v>-6.9388939039072284E-18</v>
      </c>
      <c r="AE2" s="28">
        <v>0</v>
      </c>
      <c r="AF2" s="28">
        <v>0</v>
      </c>
      <c r="AG2" s="28">
        <v>0</v>
      </c>
      <c r="AH2" s="28">
        <v>-4.699999999999982E-4</v>
      </c>
      <c r="AI2" s="28">
        <v>-1.3900000000000021E-4</v>
      </c>
      <c r="AJ2" s="28">
        <v>9.1666666667017394E-5</v>
      </c>
      <c r="AK2" s="28">
        <v>-6.9388939039072284E-18</v>
      </c>
      <c r="AL2" s="28">
        <v>-6.6666666666992391E-5</v>
      </c>
      <c r="AM2" s="28">
        <v>0</v>
      </c>
      <c r="AN2" s="28">
        <v>-3.3166666666660521E-4</v>
      </c>
      <c r="AO2" s="28">
        <v>-1.2433333333297661E-4</v>
      </c>
      <c r="AP2" s="28">
        <v>0</v>
      </c>
      <c r="AQ2" s="28">
        <v>-1.2933333333298161E-4</v>
      </c>
      <c r="AR2" s="28">
        <v>0</v>
      </c>
      <c r="AS2" s="28">
        <v>-1.199999999990098E-5</v>
      </c>
      <c r="AT2" s="28">
        <v>-8.566666666709466E-5</v>
      </c>
      <c r="AU2" s="28">
        <v>-2.8099999999997571E-4</v>
      </c>
      <c r="AV2" s="28">
        <v>-7.9999999999941229E-6</v>
      </c>
      <c r="AW2" s="28">
        <v>3.5066666666699892E-4</v>
      </c>
      <c r="AX2" s="28">
        <v>4.7333333332982841E-5</v>
      </c>
      <c r="AY2" s="28">
        <v>-3.9666666666704492E-4</v>
      </c>
      <c r="AZ2" s="28">
        <v>-4.7442176870717478E-5</v>
      </c>
      <c r="BA2" s="34">
        <v>-2.3246666666651571E-3</v>
      </c>
    </row>
    <row r="3" spans="1:53" x14ac:dyDescent="0.25">
      <c r="A3" s="24">
        <v>2</v>
      </c>
      <c r="B3" s="26">
        <v>0.5</v>
      </c>
      <c r="C3" s="28">
        <v>1.3199999999996551E-4</v>
      </c>
      <c r="D3" s="28">
        <v>1.5199999999999941E-4</v>
      </c>
      <c r="E3" s="28">
        <v>-2.013333333329981E-4</v>
      </c>
      <c r="F3" s="28">
        <v>-2.7399999999999652E-4</v>
      </c>
      <c r="G3" s="28">
        <v>-4.5206666666702811E-4</v>
      </c>
      <c r="H3" s="28">
        <v>-3.7300000000001221E-4</v>
      </c>
      <c r="I3" s="28">
        <v>0</v>
      </c>
      <c r="J3" s="28">
        <v>0</v>
      </c>
      <c r="K3" s="28">
        <v>4.059999999999897E-4</v>
      </c>
      <c r="L3" s="28">
        <v>1.739999999999936E-4</v>
      </c>
      <c r="M3" s="28">
        <v>-1.043333333330121E-4</v>
      </c>
      <c r="N3" s="28">
        <v>2.1533333333401131E-4</v>
      </c>
      <c r="O3" s="28">
        <v>6.9388939039072284E-18</v>
      </c>
      <c r="P3" s="28">
        <v>-1.5266666666702289E-4</v>
      </c>
      <c r="Q3" s="28">
        <v>0</v>
      </c>
      <c r="R3" s="28">
        <v>0</v>
      </c>
      <c r="S3" s="28">
        <v>0</v>
      </c>
      <c r="T3" s="28">
        <v>4.106666666669756E-4</v>
      </c>
      <c r="U3" s="28">
        <v>3.799999999999637E-5</v>
      </c>
      <c r="V3" s="28">
        <v>6.0000000000004487E-5</v>
      </c>
      <c r="W3" s="28">
        <v>0</v>
      </c>
      <c r="X3" s="28">
        <v>0</v>
      </c>
      <c r="Y3" s="28">
        <v>-1.03999999999993E-4</v>
      </c>
      <c r="Z3" s="28">
        <v>-1.7666666666596439E-5</v>
      </c>
      <c r="AA3" s="28">
        <v>-4.2599999999998189E-4</v>
      </c>
      <c r="AB3" s="28">
        <v>-3.7733333332989888E-4</v>
      </c>
      <c r="AC3" s="28">
        <v>0</v>
      </c>
      <c r="AD3" s="28">
        <v>-2.346666666669939E-4</v>
      </c>
      <c r="AE3" s="28">
        <v>-3.2000000000004247E-5</v>
      </c>
      <c r="AF3" s="28">
        <v>0</v>
      </c>
      <c r="AG3" s="28">
        <v>-4.5266666666698979E-4</v>
      </c>
      <c r="AH3" s="28">
        <v>-6.4000000000008495E-5</v>
      </c>
      <c r="AI3" s="28">
        <v>3.356666666669561E-4</v>
      </c>
      <c r="AJ3" s="28">
        <v>0</v>
      </c>
      <c r="AK3" s="28">
        <v>-6.9388939039072284E-18</v>
      </c>
      <c r="AL3" s="28">
        <v>9.9999999999891842E-5</v>
      </c>
      <c r="AM3" s="28">
        <v>-3.1000000000000472E-4</v>
      </c>
      <c r="AN3" s="28">
        <v>2.7199999999999452E-4</v>
      </c>
      <c r="AO3" s="28">
        <v>5.7000000000001487E-5</v>
      </c>
      <c r="AP3" s="28">
        <v>0</v>
      </c>
      <c r="AQ3" s="28">
        <v>0</v>
      </c>
      <c r="AR3" s="28">
        <v>0</v>
      </c>
      <c r="AS3" s="28">
        <v>-3.7433333333292129E-4</v>
      </c>
      <c r="AT3" s="28">
        <v>-3.4666666666699491E-4</v>
      </c>
      <c r="AU3" s="28">
        <v>1.8266666666699741E-4</v>
      </c>
      <c r="AV3" s="28">
        <v>-4.4033333333301511E-4</v>
      </c>
      <c r="AW3" s="28">
        <v>4.9000000000021249E-5</v>
      </c>
      <c r="AX3" s="28">
        <v>-4.0433333333300681E-4</v>
      </c>
      <c r="AY3" s="28">
        <v>4.8799999999998839E-4</v>
      </c>
      <c r="AZ3" s="28">
        <v>-4.2225850340034541E-5</v>
      </c>
      <c r="BA3" s="34">
        <v>-2.069066666661692E-3</v>
      </c>
    </row>
    <row r="4" spans="1:53" x14ac:dyDescent="0.25">
      <c r="A4" s="24">
        <v>3</v>
      </c>
      <c r="B4" s="26">
        <v>1</v>
      </c>
      <c r="C4" s="28">
        <v>1.2533333333339389E-4</v>
      </c>
      <c r="D4" s="28">
        <v>-2.36000000000014E-4</v>
      </c>
      <c r="E4" s="28">
        <v>2.7066666666669681E-4</v>
      </c>
      <c r="F4" s="28">
        <v>0</v>
      </c>
      <c r="G4" s="28">
        <v>0</v>
      </c>
      <c r="H4" s="28">
        <v>-4.200000000000037E-4</v>
      </c>
      <c r="I4" s="28">
        <v>-2.7533333333301663E-4</v>
      </c>
      <c r="J4" s="28">
        <v>0</v>
      </c>
      <c r="K4" s="28">
        <v>0</v>
      </c>
      <c r="L4" s="28">
        <v>-2.9799999999989562E-4</v>
      </c>
      <c r="M4" s="28">
        <v>-3.6700000000000621E-4</v>
      </c>
      <c r="N4" s="28">
        <v>-4.9099999999990818E-4</v>
      </c>
      <c r="O4" s="28">
        <v>6.9388939039072284E-18</v>
      </c>
      <c r="P4" s="28">
        <v>8.0333333332988088E-5</v>
      </c>
      <c r="Q4" s="28">
        <v>-3.4999999999998921E-4</v>
      </c>
      <c r="R4" s="28">
        <v>0</v>
      </c>
      <c r="S4" s="28">
        <v>-1.5833333333328811E-4</v>
      </c>
      <c r="T4" s="28">
        <v>4.579999999999862E-4</v>
      </c>
      <c r="U4" s="28">
        <v>-2.3200000000001E-4</v>
      </c>
      <c r="V4" s="28">
        <v>2.7999999999889221E-5</v>
      </c>
      <c r="W4" s="28">
        <v>0</v>
      </c>
      <c r="X4" s="28">
        <v>-4.0533333333300781E-4</v>
      </c>
      <c r="Y4" s="28">
        <v>0</v>
      </c>
      <c r="Z4" s="28">
        <v>4.9666666667030901E-5</v>
      </c>
      <c r="AA4" s="28">
        <v>0</v>
      </c>
      <c r="AB4" s="28">
        <v>3.5666666666700492E-4</v>
      </c>
      <c r="AC4" s="28">
        <v>2.2999999999998019E-4</v>
      </c>
      <c r="AD4" s="28">
        <v>3.6000000000008248E-5</v>
      </c>
      <c r="AE4" s="28">
        <v>0</v>
      </c>
      <c r="AF4" s="28">
        <v>0</v>
      </c>
      <c r="AG4" s="28">
        <v>3.0199999999999672E-4</v>
      </c>
      <c r="AH4" s="28">
        <v>-6.9388939039072284E-18</v>
      </c>
      <c r="AI4" s="28">
        <v>-1.07999999999997E-4</v>
      </c>
      <c r="AJ4" s="28">
        <v>9.0000000000006741E-5</v>
      </c>
      <c r="AK4" s="28">
        <v>4.6566666666697509E-4</v>
      </c>
      <c r="AL4" s="28">
        <v>6.9388939039072284E-18</v>
      </c>
      <c r="AM4" s="28">
        <v>0</v>
      </c>
      <c r="AN4" s="28">
        <v>5.2333333333015597E-5</v>
      </c>
      <c r="AO4" s="28">
        <v>0</v>
      </c>
      <c r="AP4" s="28">
        <v>0</v>
      </c>
      <c r="AQ4" s="28">
        <v>0</v>
      </c>
      <c r="AR4" s="28">
        <v>0</v>
      </c>
      <c r="AS4" s="28">
        <v>7.699999999999374E-5</v>
      </c>
      <c r="AT4" s="28">
        <v>3.3399999999997321E-4</v>
      </c>
      <c r="AU4" s="28">
        <v>4.6533333333287352E-4</v>
      </c>
      <c r="AV4" s="28">
        <v>-2.230000000000287E-4</v>
      </c>
      <c r="AW4" s="28">
        <v>3.0566666666650982E-4</v>
      </c>
      <c r="AX4" s="28">
        <v>-4.906666666670001E-4</v>
      </c>
      <c r="AY4" s="28">
        <v>1.9866666666701341E-4</v>
      </c>
      <c r="AZ4" s="28">
        <v>-2.6394557823024901E-6</v>
      </c>
      <c r="BA4" s="34">
        <v>-1.2933333333282199E-4</v>
      </c>
    </row>
    <row r="5" spans="1:53" x14ac:dyDescent="0.25">
      <c r="A5" s="24">
        <v>4</v>
      </c>
      <c r="B5" s="26">
        <v>1.5</v>
      </c>
      <c r="C5" s="28">
        <v>4.726666666670098E-4</v>
      </c>
      <c r="D5" s="28">
        <v>-4.8199999999999632E-4</v>
      </c>
      <c r="E5" s="28">
        <v>-1.993333333329961E-4</v>
      </c>
      <c r="F5" s="28">
        <v>3.9999999999984492E-5</v>
      </c>
      <c r="G5" s="28">
        <v>0</v>
      </c>
      <c r="H5" s="28">
        <v>-3.8099999999999939E-4</v>
      </c>
      <c r="I5" s="28">
        <v>-1.2666666666699691E-4</v>
      </c>
      <c r="J5" s="28">
        <v>-6.2999999999993617E-5</v>
      </c>
      <c r="K5" s="28">
        <v>-4.3199999999998789E-4</v>
      </c>
      <c r="L5" s="28">
        <v>0</v>
      </c>
      <c r="M5" s="28">
        <v>1.5199999999999941E-4</v>
      </c>
      <c r="N5" s="28">
        <v>2.8366666666701512E-4</v>
      </c>
      <c r="O5" s="28">
        <v>2.226666666670096E-4</v>
      </c>
      <c r="P5" s="28">
        <v>-9.6666666669908974E-6</v>
      </c>
      <c r="Q5" s="28">
        <v>-4.639999999999922E-4</v>
      </c>
      <c r="R5" s="28">
        <v>-2.4633333333300139E-4</v>
      </c>
      <c r="S5" s="28">
        <v>2.6166666666699312E-4</v>
      </c>
      <c r="T5" s="28">
        <v>-1.466666666669891E-4</v>
      </c>
      <c r="U5" s="28">
        <v>-1.14000000000003E-4</v>
      </c>
      <c r="V5" s="28">
        <v>0</v>
      </c>
      <c r="W5" s="28">
        <v>-5.1333333333014597E-5</v>
      </c>
      <c r="X5" s="28">
        <v>0</v>
      </c>
      <c r="Y5" s="28">
        <v>0</v>
      </c>
      <c r="Z5" s="28">
        <v>-1.799999999999996E-4</v>
      </c>
      <c r="AA5" s="28">
        <v>-3.7000000000000921E-4</v>
      </c>
      <c r="AB5" s="28">
        <v>-3.8000000000000528E-4</v>
      </c>
      <c r="AC5" s="28">
        <v>0</v>
      </c>
      <c r="AD5" s="28">
        <v>1.733333333329978E-4</v>
      </c>
      <c r="AE5" s="28">
        <v>-3.2000000000004247E-5</v>
      </c>
      <c r="AF5" s="28">
        <v>0</v>
      </c>
      <c r="AG5" s="28">
        <v>4.3400000000000377E-4</v>
      </c>
      <c r="AH5" s="28">
        <v>-1.8800000000000761E-4</v>
      </c>
      <c r="AI5" s="28">
        <v>4.703333333330173E-4</v>
      </c>
      <c r="AJ5" s="28">
        <v>0</v>
      </c>
      <c r="AK5" s="28">
        <v>2.193333333329883E-4</v>
      </c>
      <c r="AL5" s="28">
        <v>3.3333333332996602E-5</v>
      </c>
      <c r="AM5" s="28">
        <v>0</v>
      </c>
      <c r="AN5" s="28">
        <v>-2.376666666669969E-4</v>
      </c>
      <c r="AO5" s="28">
        <v>-6.7333333333002843E-5</v>
      </c>
      <c r="AP5" s="28">
        <v>0</v>
      </c>
      <c r="AQ5" s="28">
        <v>0</v>
      </c>
      <c r="AR5" s="28">
        <v>0</v>
      </c>
      <c r="AS5" s="28">
        <v>1.7999999999988861E-4</v>
      </c>
      <c r="AT5" s="28">
        <v>0</v>
      </c>
      <c r="AU5" s="28">
        <v>0.27841733333333302</v>
      </c>
      <c r="AV5" s="28">
        <v>0</v>
      </c>
      <c r="AW5" s="28">
        <v>3.7799999999998951E-4</v>
      </c>
      <c r="AX5" s="28">
        <v>-1.18000000000007E-4</v>
      </c>
      <c r="AY5" s="28">
        <v>4.8799999999998839E-4</v>
      </c>
      <c r="AZ5" s="28">
        <v>5.6721904761904678E-3</v>
      </c>
      <c r="BA5" s="34">
        <v>0.27793733333333293</v>
      </c>
    </row>
    <row r="6" spans="1:53" x14ac:dyDescent="0.25">
      <c r="A6" s="24">
        <v>5</v>
      </c>
      <c r="B6" s="26">
        <v>2</v>
      </c>
      <c r="C6" s="28">
        <v>1.916666666669786E-4</v>
      </c>
      <c r="D6" s="28">
        <v>-1.20000000000009E-4</v>
      </c>
      <c r="E6" s="28">
        <v>3.8266666666700311E-4</v>
      </c>
      <c r="F6" s="28">
        <v>0</v>
      </c>
      <c r="G6" s="28">
        <v>-1.5866666666661261E-4</v>
      </c>
      <c r="H6" s="28">
        <v>1.5900000000002021E-4</v>
      </c>
      <c r="I6" s="28">
        <v>-3.6699999999999228E-4</v>
      </c>
      <c r="J6" s="28">
        <v>-6.2999999999993617E-5</v>
      </c>
      <c r="K6" s="28">
        <v>-1.620000000000926E-4</v>
      </c>
      <c r="L6" s="28">
        <v>0</v>
      </c>
      <c r="M6" s="28">
        <v>1.8999999999989861E-4</v>
      </c>
      <c r="N6" s="28">
        <v>0.29093733333333299</v>
      </c>
      <c r="O6" s="28">
        <v>6.9388939039072284E-18</v>
      </c>
      <c r="P6" s="28">
        <v>3.3799999999999109E-4</v>
      </c>
      <c r="Q6" s="28">
        <v>4.5599999999999807E-4</v>
      </c>
      <c r="R6" s="28">
        <v>-3.8499999999999651E-4</v>
      </c>
      <c r="S6" s="28">
        <v>0</v>
      </c>
      <c r="T6" s="28">
        <v>0</v>
      </c>
      <c r="U6" s="28">
        <v>-1.939999999999997E-4</v>
      </c>
      <c r="V6" s="28">
        <v>7.7333333332985088E-5</v>
      </c>
      <c r="W6" s="28">
        <v>-4.2000000000097508E-5</v>
      </c>
      <c r="X6" s="28">
        <v>2.24000000000002E-4</v>
      </c>
      <c r="Y6" s="28">
        <v>-2.8599999999998071E-4</v>
      </c>
      <c r="Z6" s="28">
        <v>-2.1200000000000391E-4</v>
      </c>
      <c r="AA6" s="28">
        <v>-5.3333333332988841E-5</v>
      </c>
      <c r="AB6" s="28">
        <v>-7.1666666666997392E-5</v>
      </c>
      <c r="AC6" s="28">
        <v>3.3500000000000202E-4</v>
      </c>
      <c r="AD6" s="28">
        <v>-9.4000000000010742E-5</v>
      </c>
      <c r="AE6" s="28">
        <v>0</v>
      </c>
      <c r="AF6" s="28">
        <v>0</v>
      </c>
      <c r="AG6" s="28">
        <v>4.1533333333299011E-4</v>
      </c>
      <c r="AH6" s="28">
        <v>1.5399999999998751E-4</v>
      </c>
      <c r="AI6" s="28">
        <v>-4.379999999999939E-4</v>
      </c>
      <c r="AJ6" s="28">
        <v>0</v>
      </c>
      <c r="AK6" s="28">
        <v>-3.5200000000001902E-4</v>
      </c>
      <c r="AL6" s="28">
        <v>6.9388939039072284E-18</v>
      </c>
      <c r="AM6" s="28">
        <v>-3.1000000000000472E-4</v>
      </c>
      <c r="AN6" s="28">
        <v>2.303333333329993E-4</v>
      </c>
      <c r="AO6" s="28">
        <v>0</v>
      </c>
      <c r="AP6" s="28">
        <v>0</v>
      </c>
      <c r="AQ6" s="28">
        <v>0</v>
      </c>
      <c r="AR6" s="28">
        <v>0</v>
      </c>
      <c r="AS6" s="28">
        <v>-8.6666666666013192E-6</v>
      </c>
      <c r="AT6" s="28">
        <v>0</v>
      </c>
      <c r="AU6" s="28">
        <v>0.48988799999999999</v>
      </c>
      <c r="AV6" s="28">
        <v>3.3666666666701262E-4</v>
      </c>
      <c r="AW6" s="28">
        <v>-3.8866666666698141E-4</v>
      </c>
      <c r="AX6" s="28">
        <v>-5.2666666667006152E-5</v>
      </c>
      <c r="AY6" s="28">
        <v>0</v>
      </c>
      <c r="AZ6" s="28">
        <v>1.5929727891156431E-2</v>
      </c>
      <c r="BA6" s="34">
        <v>0.78055666666666534</v>
      </c>
    </row>
    <row r="7" spans="1:53" x14ac:dyDescent="0.25">
      <c r="A7" s="24">
        <v>6</v>
      </c>
      <c r="B7" s="26">
        <v>2.5</v>
      </c>
      <c r="C7" s="28">
        <v>2.8933333333300282E-4</v>
      </c>
      <c r="D7" s="28">
        <v>0</v>
      </c>
      <c r="E7" s="28">
        <v>-9.3999999999996864E-5</v>
      </c>
      <c r="F7" s="28">
        <v>3.9999999999984492E-5</v>
      </c>
      <c r="G7" s="28">
        <v>3.6533333333299561E-4</v>
      </c>
      <c r="H7" s="28">
        <v>0</v>
      </c>
      <c r="I7" s="28">
        <v>-3.6699999999999228E-4</v>
      </c>
      <c r="J7" s="28">
        <v>0</v>
      </c>
      <c r="K7" s="28">
        <v>0</v>
      </c>
      <c r="L7" s="28">
        <v>0</v>
      </c>
      <c r="M7" s="28">
        <v>0</v>
      </c>
      <c r="N7" s="28">
        <v>9.5999999999999905E-2</v>
      </c>
      <c r="O7" s="28">
        <v>-2.1199999999999E-4</v>
      </c>
      <c r="P7" s="28">
        <v>-3.5666666666700492E-4</v>
      </c>
      <c r="Q7" s="28">
        <v>3.2000000000009798E-4</v>
      </c>
      <c r="R7" s="28">
        <v>0</v>
      </c>
      <c r="S7" s="28">
        <v>0</v>
      </c>
      <c r="T7" s="28">
        <v>4.579999999999862E-4</v>
      </c>
      <c r="U7" s="28">
        <v>-1.14000000000003E-4</v>
      </c>
      <c r="V7" s="28">
        <v>6.4000000000008495E-5</v>
      </c>
      <c r="W7" s="28">
        <v>0</v>
      </c>
      <c r="X7" s="28">
        <v>3.7066666666658871E-4</v>
      </c>
      <c r="Y7" s="28">
        <v>0</v>
      </c>
      <c r="Z7" s="28">
        <v>-5.0999999999995493E-5</v>
      </c>
      <c r="AA7" s="28">
        <v>0</v>
      </c>
      <c r="AB7" s="28">
        <v>9.7548333333332987E-2</v>
      </c>
      <c r="AC7" s="28">
        <v>-1.04999999999994E-4</v>
      </c>
      <c r="AD7" s="28">
        <v>-1.0466666666703039E-4</v>
      </c>
      <c r="AE7" s="28">
        <v>-3.2000000000004247E-5</v>
      </c>
      <c r="AF7" s="28">
        <v>0</v>
      </c>
      <c r="AG7" s="28">
        <v>0</v>
      </c>
      <c r="AH7" s="28">
        <v>-6.9388939039072284E-18</v>
      </c>
      <c r="AI7" s="28">
        <v>8.5333333332993089E-5</v>
      </c>
      <c r="AJ7" s="28">
        <v>3.5499999999999421E-4</v>
      </c>
      <c r="AK7" s="28">
        <v>2.1000000000000191E-4</v>
      </c>
      <c r="AL7" s="28">
        <v>6.9388939039072284E-18</v>
      </c>
      <c r="AM7" s="28">
        <v>0</v>
      </c>
      <c r="AN7" s="28">
        <v>4.6733333333340288E-4</v>
      </c>
      <c r="AO7" s="28">
        <v>5.7000000000001487E-5</v>
      </c>
      <c r="AP7" s="28">
        <v>0</v>
      </c>
      <c r="AQ7" s="28">
        <v>0</v>
      </c>
      <c r="AR7" s="28">
        <v>0</v>
      </c>
      <c r="AS7" s="28">
        <v>-8.6666666667012393E-5</v>
      </c>
      <c r="AT7" s="28">
        <v>3.3399999999997321E-4</v>
      </c>
      <c r="AU7" s="28">
        <v>0.56713533333333299</v>
      </c>
      <c r="AV7" s="28">
        <v>0</v>
      </c>
      <c r="AW7" s="28">
        <v>3.7799999999998951E-4</v>
      </c>
      <c r="AX7" s="28">
        <v>3.913333333329938E-4</v>
      </c>
      <c r="AY7" s="28">
        <v>4.8799999999998839E-4</v>
      </c>
      <c r="AZ7" s="28">
        <v>1.558844897959177E-2</v>
      </c>
      <c r="BA7" s="34">
        <v>0.76383399999999679</v>
      </c>
    </row>
    <row r="8" spans="1:53" x14ac:dyDescent="0.25">
      <c r="A8" s="24">
        <v>7</v>
      </c>
      <c r="B8" s="26">
        <v>3</v>
      </c>
      <c r="C8" s="28">
        <v>3.3966666666701562E-4</v>
      </c>
      <c r="D8" s="28">
        <v>7.6666666667002392E-5</v>
      </c>
      <c r="E8" s="28">
        <v>-5.999999999978245E-6</v>
      </c>
      <c r="F8" s="28">
        <v>0</v>
      </c>
      <c r="G8" s="28">
        <v>0</v>
      </c>
      <c r="H8" s="28">
        <v>2.5333333333299462E-4</v>
      </c>
      <c r="I8" s="28">
        <v>1.4033333333299261E-4</v>
      </c>
      <c r="J8" s="28">
        <v>0</v>
      </c>
      <c r="K8" s="28">
        <v>4.059999999999897E-4</v>
      </c>
      <c r="L8" s="28">
        <v>-1.2399999999999911E-4</v>
      </c>
      <c r="M8" s="28">
        <v>0</v>
      </c>
      <c r="N8" s="28">
        <v>4.4999999999999998E-2</v>
      </c>
      <c r="O8" s="28">
        <v>4.346666666669996E-4</v>
      </c>
      <c r="P8" s="28">
        <v>-1.5333333333394931E-5</v>
      </c>
      <c r="Q8" s="28">
        <v>4.45000000000001E-4</v>
      </c>
      <c r="R8" s="28">
        <v>3.6866666666701692E-4</v>
      </c>
      <c r="S8" s="28">
        <v>1.0333333333298329E-4</v>
      </c>
      <c r="T8" s="28">
        <v>-1.466666666669891E-4</v>
      </c>
      <c r="U8" s="28">
        <v>0</v>
      </c>
      <c r="V8" s="28">
        <v>0</v>
      </c>
      <c r="W8" s="28">
        <v>-7.9333333333014844E-5</v>
      </c>
      <c r="X8" s="28">
        <v>0</v>
      </c>
      <c r="Y8" s="28">
        <v>-1.4300000000000421E-4</v>
      </c>
      <c r="Z8" s="28">
        <v>1.15000000000004E-4</v>
      </c>
      <c r="AA8" s="28">
        <v>-4.3800000000002171E-4</v>
      </c>
      <c r="AB8" s="28">
        <v>4.2999999999999997E-2</v>
      </c>
      <c r="AC8" s="28">
        <v>0</v>
      </c>
      <c r="AD8" s="28">
        <v>-6.9388939039072284E-18</v>
      </c>
      <c r="AE8" s="28">
        <v>0</v>
      </c>
      <c r="AF8" s="28">
        <v>0</v>
      </c>
      <c r="AG8" s="28">
        <v>0</v>
      </c>
      <c r="AH8" s="28">
        <v>-3.4000000000006247E-5</v>
      </c>
      <c r="AI8" s="28">
        <v>4.1966666666701241E-4</v>
      </c>
      <c r="AJ8" s="28">
        <v>-2.6500000000011242E-4</v>
      </c>
      <c r="AK8" s="28">
        <v>-6.9388939039072284E-18</v>
      </c>
      <c r="AL8" s="28">
        <v>2.000000000000057E-4</v>
      </c>
      <c r="AM8" s="28">
        <v>0</v>
      </c>
      <c r="AN8" s="28">
        <v>-3.4899999999998821E-4</v>
      </c>
      <c r="AO8" s="28">
        <v>-1.2433333333297661E-4</v>
      </c>
      <c r="AP8" s="28">
        <v>0</v>
      </c>
      <c r="AQ8" s="28">
        <v>0</v>
      </c>
      <c r="AR8" s="28">
        <v>0</v>
      </c>
      <c r="AS8" s="28">
        <v>-2.30000000000008E-4</v>
      </c>
      <c r="AT8" s="28">
        <v>0</v>
      </c>
      <c r="AU8" s="28">
        <v>0.206956</v>
      </c>
      <c r="AV8" s="28">
        <v>0</v>
      </c>
      <c r="AW8" s="28">
        <v>0</v>
      </c>
      <c r="AX8" s="28">
        <v>0</v>
      </c>
      <c r="AY8" s="28">
        <v>1.18E-4</v>
      </c>
      <c r="AZ8" s="28">
        <v>6.0494217687075006E-3</v>
      </c>
      <c r="BA8" s="34">
        <v>0.29642166666666753</v>
      </c>
    </row>
    <row r="9" spans="1:53" x14ac:dyDescent="0.25">
      <c r="A9" s="24">
        <v>8</v>
      </c>
      <c r="B9" s="26">
        <v>3.5</v>
      </c>
      <c r="C9" s="28">
        <v>4.0852986666634061E-4</v>
      </c>
      <c r="D9" s="28">
        <v>-8.3470133333374275E-5</v>
      </c>
      <c r="E9" s="28">
        <v>-3.6547013333368411E-4</v>
      </c>
      <c r="F9" s="28">
        <v>2.7397400000017669E-5</v>
      </c>
      <c r="G9" s="28">
        <v>-4.4080346666667408E-4</v>
      </c>
      <c r="H9" s="28">
        <v>8.38632000003392E-5</v>
      </c>
      <c r="I9" s="28">
        <v>-4.2693593333301139E-4</v>
      </c>
      <c r="J9" s="28">
        <v>-1.070303333333342E-5</v>
      </c>
      <c r="K9" s="28">
        <v>-4.4080346666667408E-4</v>
      </c>
      <c r="L9" s="28">
        <v>-4.4080346666667408E-4</v>
      </c>
      <c r="M9" s="28">
        <v>-3.7840173333333888E-4</v>
      </c>
      <c r="N9" s="28">
        <v>0.1849375982666667</v>
      </c>
      <c r="O9" s="28">
        <v>-4.4080346666666709E-4</v>
      </c>
      <c r="P9" s="28">
        <v>-4.3413679999967919E-4</v>
      </c>
      <c r="Q9" s="28">
        <v>-4.5940173333333672E-4</v>
      </c>
      <c r="R9" s="28">
        <v>-1.5050216666666341E-4</v>
      </c>
      <c r="S9" s="28">
        <v>-1.0703033333329949E-5</v>
      </c>
      <c r="T9" s="28">
        <v>-2.118034666666879E-4</v>
      </c>
      <c r="U9" s="28">
        <v>3.7329696666665862E-4</v>
      </c>
      <c r="V9" s="28">
        <v>-2.0230129999998511E-4</v>
      </c>
      <c r="W9" s="28">
        <v>-4.5480346666666732E-4</v>
      </c>
      <c r="X9" s="28">
        <v>4.6852986666634511E-4</v>
      </c>
      <c r="Y9" s="28">
        <v>4.1619653333331558E-4</v>
      </c>
      <c r="Z9" s="28">
        <v>2.41196533333321E-4</v>
      </c>
      <c r="AA9" s="28">
        <v>-1.3783549999968339E-4</v>
      </c>
      <c r="AB9" s="28">
        <v>0.1801691965333333</v>
      </c>
      <c r="AC9" s="28">
        <v>2.1929696666667109E-4</v>
      </c>
      <c r="AD9" s="28">
        <v>3.6052986666634812E-4</v>
      </c>
      <c r="AE9" s="28">
        <v>4.1939740000000031E-4</v>
      </c>
      <c r="AF9" s="28">
        <v>-4.4080346666667408E-4</v>
      </c>
      <c r="AG9" s="28">
        <v>2.6873073333300018E-4</v>
      </c>
      <c r="AH9" s="28">
        <v>-4.4080346666667408E-4</v>
      </c>
      <c r="AI9" s="28">
        <v>6.3991630299999658E-2</v>
      </c>
      <c r="AJ9" s="28">
        <v>-3.105021666666638E-4</v>
      </c>
      <c r="AK9" s="28">
        <v>-4.4080346666667408E-4</v>
      </c>
      <c r="AL9" s="28">
        <v>1.129315999996716E-4</v>
      </c>
      <c r="AM9" s="28">
        <v>-3.3080346666666821E-4</v>
      </c>
      <c r="AN9" s="28">
        <v>4.3352986666653209E-4</v>
      </c>
      <c r="AO9" s="28">
        <v>-4.4080346666666709E-4</v>
      </c>
      <c r="AP9" s="28">
        <v>-4.4080346666667408E-4</v>
      </c>
      <c r="AQ9" s="28">
        <v>4.1939740000000031E-4</v>
      </c>
      <c r="AR9" s="28">
        <v>-1.5050216666666341E-4</v>
      </c>
      <c r="AS9" s="28">
        <v>-1.0603636666634E-4</v>
      </c>
      <c r="AT9" s="28">
        <v>8.6397400000007285E-5</v>
      </c>
      <c r="AU9" s="28">
        <v>4.9989296966666673E-2</v>
      </c>
      <c r="AV9" s="28">
        <v>-2.2703033333348891E-5</v>
      </c>
      <c r="AW9" s="28">
        <v>-4.3640173333332749E-4</v>
      </c>
      <c r="AX9" s="28">
        <v>-4.2430129999998512E-4</v>
      </c>
      <c r="AY9" s="28">
        <v>3.6026493333368709E-4</v>
      </c>
      <c r="AZ9" s="28">
        <v>9.688005280272095E-3</v>
      </c>
      <c r="BA9" s="34">
        <v>0.47471225873333273</v>
      </c>
    </row>
    <row r="10" spans="1:53" x14ac:dyDescent="0.25">
      <c r="A10" s="24">
        <v>9</v>
      </c>
      <c r="B10" s="26">
        <v>4</v>
      </c>
      <c r="C10" s="28">
        <v>-2.3315920000019361E-4</v>
      </c>
      <c r="D10" s="28">
        <v>4.2507466666799609E-5</v>
      </c>
      <c r="E10" s="28">
        <v>2.348407999998581E-4</v>
      </c>
      <c r="F10" s="28">
        <v>1.311306000000845E-4</v>
      </c>
      <c r="G10" s="28">
        <v>2.655074666667988E-4</v>
      </c>
      <c r="H10" s="28">
        <v>2.6550746666679619E-4</v>
      </c>
      <c r="I10" s="28">
        <v>-2.7353606666688512E-4</v>
      </c>
      <c r="J10" s="28">
        <v>3.7031903333344113E-4</v>
      </c>
      <c r="K10" s="28">
        <v>-8.5492533333203502E-5</v>
      </c>
      <c r="L10" s="28">
        <v>2.6550746666679451E-4</v>
      </c>
      <c r="M10" s="28">
        <v>1.327537333333968E-4</v>
      </c>
      <c r="N10" s="28">
        <v>0.1064367537333334</v>
      </c>
      <c r="O10" s="28">
        <v>2.6550746666680058E-4</v>
      </c>
      <c r="P10" s="28">
        <v>-1.3515920000020659E-4</v>
      </c>
      <c r="Q10" s="28">
        <v>4.7275373333335868E-4</v>
      </c>
      <c r="R10" s="28">
        <v>2.5960883333375762E-4</v>
      </c>
      <c r="S10" s="28">
        <v>1.6565236666644939E-4</v>
      </c>
      <c r="T10" s="28">
        <v>4.6250746666678938E-4</v>
      </c>
      <c r="U10" s="28">
        <v>-2.0968096666655611E-4</v>
      </c>
      <c r="V10" s="28">
        <v>3.8156530000005301E-4</v>
      </c>
      <c r="W10" s="28">
        <v>-2.143333319940682E-8</v>
      </c>
      <c r="X10" s="28">
        <v>-4.9159199999902058E-5</v>
      </c>
      <c r="Y10" s="28">
        <v>-2.143333319940682E-8</v>
      </c>
      <c r="Z10" s="28">
        <v>2.655074666667988E-4</v>
      </c>
      <c r="AA10" s="28">
        <v>-8.2057833333246122E-5</v>
      </c>
      <c r="AB10" s="28">
        <v>7.1182174133333803E-2</v>
      </c>
      <c r="AC10" s="28">
        <v>4.8231903333343691E-4</v>
      </c>
      <c r="AD10" s="28">
        <v>2.6550746666679538E-4</v>
      </c>
      <c r="AE10" s="28">
        <v>-3.0086939999990001E-4</v>
      </c>
      <c r="AF10" s="28">
        <v>2.6550746666679619E-4</v>
      </c>
      <c r="AG10" s="28">
        <v>-3.0086939999990348E-4</v>
      </c>
      <c r="AH10" s="28">
        <v>2.6550746666679538E-4</v>
      </c>
      <c r="AI10" s="28">
        <v>0.11013131903333349</v>
      </c>
      <c r="AJ10" s="28">
        <v>2.8260883333372511E-4</v>
      </c>
      <c r="AK10" s="28">
        <v>4.7550746666678861E-4</v>
      </c>
      <c r="AL10" s="28">
        <v>-1.3391293333329951E-4</v>
      </c>
      <c r="AM10" s="28">
        <v>-1.5449253333330029E-4</v>
      </c>
      <c r="AN10" s="28">
        <v>-2.1333333199426929E-8</v>
      </c>
      <c r="AO10" s="28">
        <v>2.6550746666679972E-4</v>
      </c>
      <c r="AP10" s="28">
        <v>2.6550746666679619E-4</v>
      </c>
      <c r="AQ10" s="28">
        <v>-3.0086939999989833E-4</v>
      </c>
      <c r="AR10" s="28">
        <v>-8.4057833333251591E-5</v>
      </c>
      <c r="AS10" s="28">
        <v>4.8231903333344033E-4</v>
      </c>
      <c r="AT10" s="28">
        <v>3.6613059999999342E-4</v>
      </c>
      <c r="AU10" s="28">
        <v>0.12704698570000039</v>
      </c>
      <c r="AV10" s="28">
        <v>-1.6901429999954809E-4</v>
      </c>
      <c r="AW10" s="28">
        <v>4.3808706666639829E-4</v>
      </c>
      <c r="AX10" s="28">
        <v>-1.7776803333294231E-4</v>
      </c>
      <c r="AY10" s="28">
        <v>-3.7657959999991281E-4</v>
      </c>
      <c r="AZ10" s="28">
        <v>8.5625750204082682E-3</v>
      </c>
      <c r="BA10" s="34">
        <v>0.41956617600000512</v>
      </c>
    </row>
    <row r="11" spans="1:53" x14ac:dyDescent="0.25">
      <c r="A11" s="24">
        <v>10</v>
      </c>
      <c r="B11" s="26">
        <v>4.5</v>
      </c>
      <c r="C11" s="28">
        <v>1.4110946666699711E-4</v>
      </c>
      <c r="D11" s="28">
        <v>8.3442800000005021E-5</v>
      </c>
      <c r="E11" s="28">
        <v>2.3644280000000709E-4</v>
      </c>
      <c r="F11" s="28">
        <v>-4.3016790000000032E-4</v>
      </c>
      <c r="G11" s="28">
        <v>-3.6689053333301141E-4</v>
      </c>
      <c r="H11" s="28">
        <v>3.8177613333298388E-4</v>
      </c>
      <c r="I11" s="28">
        <v>3.5383210000000659E-4</v>
      </c>
      <c r="J11" s="28">
        <v>4.8413745000000508E-4</v>
      </c>
      <c r="K11" s="28">
        <v>1.8344280000000271E-4</v>
      </c>
      <c r="L11" s="28">
        <v>4.2644279999998203E-4</v>
      </c>
      <c r="M11" s="28">
        <v>-2.8677860000000249E-4</v>
      </c>
      <c r="N11" s="28">
        <v>5.1054221399999988E-2</v>
      </c>
      <c r="O11" s="28">
        <v>-3.5089053333300582E-4</v>
      </c>
      <c r="P11" s="28">
        <v>-3.4289053333301679E-4</v>
      </c>
      <c r="Q11" s="28">
        <v>2.6322139999999158E-4</v>
      </c>
      <c r="R11" s="28">
        <v>3.7819341666700529E-4</v>
      </c>
      <c r="S11" s="28">
        <v>-8.1862549999978107E-5</v>
      </c>
      <c r="T11" s="28">
        <v>3.1177613333341347E-4</v>
      </c>
      <c r="U11" s="28">
        <v>7.6137449999999496E-5</v>
      </c>
      <c r="V11" s="28">
        <v>-1.9375061666668849E-4</v>
      </c>
      <c r="W11" s="28">
        <v>4.2644279999998203E-4</v>
      </c>
      <c r="X11" s="28">
        <v>4.2644280000000978E-4</v>
      </c>
      <c r="Y11" s="28">
        <v>1.4044280000000481E-4</v>
      </c>
      <c r="Z11" s="28">
        <v>1.084427999999832E-4</v>
      </c>
      <c r="AA11" s="28">
        <v>-4.0847325000002021E-4</v>
      </c>
      <c r="AB11" s="28">
        <v>1.8810946666661391E-4</v>
      </c>
      <c r="AC11" s="28">
        <v>-2.6862550000002899E-5</v>
      </c>
      <c r="AD11" s="28">
        <v>-1.3889053333300541E-4</v>
      </c>
      <c r="AE11" s="28">
        <v>-4.3016789999997251E-4</v>
      </c>
      <c r="AF11" s="28">
        <v>4.2644280000000978E-4</v>
      </c>
      <c r="AG11" s="28">
        <v>-1.8483456666669451E-4</v>
      </c>
      <c r="AH11" s="28">
        <v>3.9244280000000348E-4</v>
      </c>
      <c r="AI11" s="28">
        <v>-2.2452921666699099E-4</v>
      </c>
      <c r="AJ11" s="28">
        <v>-4.7513991666671418E-4</v>
      </c>
      <c r="AK11" s="28">
        <v>4.2644279999998203E-4</v>
      </c>
      <c r="AL11" s="28">
        <v>1.322139999999916E-5</v>
      </c>
      <c r="AM11" s="28">
        <v>-9.855719999998791E-5</v>
      </c>
      <c r="AN11" s="28">
        <v>3.6610946666700012E-4</v>
      </c>
      <c r="AO11" s="28">
        <v>3.5910946666699311E-4</v>
      </c>
      <c r="AP11" s="28">
        <v>4.2644280000000978E-4</v>
      </c>
      <c r="AQ11" s="28">
        <v>-4.3016789999998639E-4</v>
      </c>
      <c r="AR11" s="28">
        <v>-3.5847325000001867E-4</v>
      </c>
      <c r="AS11" s="28">
        <v>4.3747078333300488E-4</v>
      </c>
      <c r="AT11" s="28">
        <v>-4.3016789999998639E-4</v>
      </c>
      <c r="AU11" s="28">
        <v>9.8483470783332999E-2</v>
      </c>
      <c r="AV11" s="28">
        <v>4.9813745000001908E-4</v>
      </c>
      <c r="AW11" s="28">
        <v>1.132213999999951E-4</v>
      </c>
      <c r="AX11" s="28">
        <v>2.179160500000131E-4</v>
      </c>
      <c r="AY11" s="28">
        <v>-2.0877859999998691E-4</v>
      </c>
      <c r="AZ11" s="28">
        <v>3.1093104238095501E-3</v>
      </c>
      <c r="BA11" s="34">
        <v>0.15235621076666789</v>
      </c>
    </row>
    <row r="12" spans="1:53" x14ac:dyDescent="0.25">
      <c r="A12" s="24">
        <v>11</v>
      </c>
      <c r="B12" s="26">
        <v>5</v>
      </c>
      <c r="C12" s="28">
        <v>-4.7628826666801238E-4</v>
      </c>
      <c r="D12" s="28">
        <v>-2.4195493333467599E-4</v>
      </c>
      <c r="E12" s="28">
        <v>-2.2695493333502181E-4</v>
      </c>
      <c r="F12" s="28">
        <v>3.4783799998994169E-5</v>
      </c>
      <c r="G12" s="28">
        <v>-3.4028826666798739E-4</v>
      </c>
      <c r="H12" s="28">
        <v>4.8237839999898391E-4</v>
      </c>
      <c r="I12" s="28">
        <v>-4.5054953333403808E-4</v>
      </c>
      <c r="J12" s="28">
        <v>2.7824776666546258E-4</v>
      </c>
      <c r="K12" s="28">
        <v>-3.402882666680429E-4</v>
      </c>
      <c r="L12" s="28">
        <v>3.6171173333199302E-4</v>
      </c>
      <c r="M12" s="28">
        <v>-3.2814413333401288E-4</v>
      </c>
      <c r="N12" s="28">
        <v>-3.5314413333401018E-4</v>
      </c>
      <c r="O12" s="28">
        <v>-3.402882666680429E-4</v>
      </c>
      <c r="P12" s="28">
        <v>-1.7728826666796321E-4</v>
      </c>
      <c r="Q12" s="28">
        <v>1.0585586666599089E-4</v>
      </c>
      <c r="R12" s="28">
        <v>8.7840986499999524E-2</v>
      </c>
      <c r="S12" s="28">
        <v>6.3914433332201703E-5</v>
      </c>
      <c r="T12" s="28">
        <v>1.1771173333197101E-4</v>
      </c>
      <c r="U12" s="28">
        <v>4.4124776666548682E-4</v>
      </c>
      <c r="V12" s="28">
        <v>8.5391899999493967E-5</v>
      </c>
      <c r="W12" s="28">
        <v>-3.4495493333458471E-4</v>
      </c>
      <c r="X12" s="28">
        <v>2.5437839999897788E-4</v>
      </c>
      <c r="Y12" s="28">
        <v>-3.4028826666798739E-4</v>
      </c>
      <c r="Z12" s="28">
        <v>-2.5862160000106332E-4</v>
      </c>
      <c r="AA12" s="28">
        <v>2.889864999995051E-4</v>
      </c>
      <c r="AB12" s="28">
        <v>-2.9528826666802571E-4</v>
      </c>
      <c r="AC12" s="28">
        <v>8.2247766665488609E-5</v>
      </c>
      <c r="AD12" s="28">
        <v>2.6378399998971961E-5</v>
      </c>
      <c r="AE12" s="28">
        <v>4.2145046666569602E-4</v>
      </c>
      <c r="AF12" s="28">
        <v>-3.402882666680429E-4</v>
      </c>
      <c r="AG12" s="28">
        <v>-4.0121620000102548E-4</v>
      </c>
      <c r="AH12" s="28">
        <v>-3.402882666680429E-4</v>
      </c>
      <c r="AI12" s="28">
        <v>2.310810999985036E-4</v>
      </c>
      <c r="AJ12" s="28">
        <v>8.5653166665783376E-5</v>
      </c>
      <c r="AK12" s="28">
        <v>4.4304506666537069E-4</v>
      </c>
      <c r="AL12" s="28">
        <v>3.2985586666600669E-4</v>
      </c>
      <c r="AM12" s="28">
        <v>-1.2528826666807771E-4</v>
      </c>
      <c r="AN12" s="28">
        <v>-2.8728826666801771E-4</v>
      </c>
      <c r="AO12" s="28">
        <v>-3.4028826666798739E-4</v>
      </c>
      <c r="AP12" s="28">
        <v>-3.402882666680429E-4</v>
      </c>
      <c r="AQ12" s="28">
        <v>-5.2162000010458343E-6</v>
      </c>
      <c r="AR12" s="28">
        <v>-3.3768016666751999E-4</v>
      </c>
      <c r="AS12" s="28">
        <v>6.2581099998515466E-5</v>
      </c>
      <c r="AT12" s="28">
        <v>3.2878379999898288E-4</v>
      </c>
      <c r="AU12" s="28">
        <v>-1.060855666674687E-4</v>
      </c>
      <c r="AV12" s="28">
        <v>-1.13085566667448E-4</v>
      </c>
      <c r="AW12" s="28">
        <v>-3.2614413333401088E-4</v>
      </c>
      <c r="AX12" s="28">
        <v>-4.8827476666751449E-4</v>
      </c>
      <c r="AY12" s="28">
        <v>4.4785586666590271E-4</v>
      </c>
      <c r="AZ12" s="28">
        <v>1.7295663904751039E-3</v>
      </c>
      <c r="BA12" s="34">
        <v>8.4748753133280091E-2</v>
      </c>
    </row>
    <row r="13" spans="1:53" x14ac:dyDescent="0.25">
      <c r="A13" s="24">
        <v>12</v>
      </c>
      <c r="B13" s="26">
        <v>5.5</v>
      </c>
      <c r="C13" s="28">
        <v>3.540234666680186E-4</v>
      </c>
      <c r="D13" s="28">
        <v>4.7769013333504029E-4</v>
      </c>
      <c r="E13" s="28">
        <v>5.4690133334978068E-5</v>
      </c>
      <c r="F13" s="28">
        <v>-3.9348239999892343E-4</v>
      </c>
      <c r="G13" s="28">
        <v>-2.9430986666489911E-4</v>
      </c>
      <c r="H13" s="28">
        <v>1.420234666681397E-4</v>
      </c>
      <c r="I13" s="28">
        <v>-8.2482399998973221E-5</v>
      </c>
      <c r="J13" s="28">
        <v>-2.0272946666544109E-4</v>
      </c>
      <c r="K13" s="28">
        <v>1.420234666680287E-4</v>
      </c>
      <c r="L13" s="28">
        <v>3.1602346666803621E-4</v>
      </c>
      <c r="M13" s="28">
        <v>7.1011733334014338E-5</v>
      </c>
      <c r="N13" s="28">
        <v>-5.0988266665996651E-5</v>
      </c>
      <c r="O13" s="28">
        <v>4.6535680000137081E-4</v>
      </c>
      <c r="P13" s="28">
        <v>-4.9397653333205227E-4</v>
      </c>
      <c r="Q13" s="28">
        <v>-8.6988266665949388E-5</v>
      </c>
      <c r="R13" s="28">
        <v>3.387646666675459E-4</v>
      </c>
      <c r="S13" s="28">
        <v>2.4093720000156751E-4</v>
      </c>
      <c r="T13" s="28">
        <v>1.260234666680127E-4</v>
      </c>
      <c r="U13" s="28">
        <v>-2.397294666655059E-4</v>
      </c>
      <c r="V13" s="28">
        <v>-1.434078666664729E-4</v>
      </c>
      <c r="W13" s="28">
        <v>5.3356800000958771E-5</v>
      </c>
      <c r="X13" s="28">
        <v>1.420234666681397E-4</v>
      </c>
      <c r="Y13" s="28">
        <v>-1.4397653333209079E-4</v>
      </c>
      <c r="Z13" s="28">
        <v>-8.7643199998543864E-5</v>
      </c>
      <c r="AA13" s="28">
        <v>-3.3390199999944192E-4</v>
      </c>
      <c r="AB13" s="28">
        <v>-2.379765333319073E-4</v>
      </c>
      <c r="AC13" s="28">
        <v>-1.2572946666533641E-4</v>
      </c>
      <c r="AD13" s="28">
        <v>1.420234666680287E-4</v>
      </c>
      <c r="AE13" s="28">
        <v>1.4785093333430371E-4</v>
      </c>
      <c r="AF13" s="28">
        <v>2.9535680000136733E-4</v>
      </c>
      <c r="AG13" s="28">
        <v>-3.9348239999892343E-4</v>
      </c>
      <c r="AH13" s="28">
        <v>1.420234666681397E-4</v>
      </c>
      <c r="AI13" s="28">
        <v>4.8960386666752065E-4</v>
      </c>
      <c r="AJ13" s="28">
        <v>5.4313333345268333E-6</v>
      </c>
      <c r="AK13" s="28">
        <v>-4.3130986666528592E-4</v>
      </c>
      <c r="AL13" s="28">
        <v>4.3450666670219462E-6</v>
      </c>
      <c r="AM13" s="28">
        <v>1.420234666681397E-4</v>
      </c>
      <c r="AN13" s="28">
        <v>1.420234666681397E-4</v>
      </c>
      <c r="AO13" s="28">
        <v>1.420234666680287E-4</v>
      </c>
      <c r="AP13" s="28">
        <v>1.420234666681397E-4</v>
      </c>
      <c r="AQ13" s="28">
        <v>-3.9348239999892343E-4</v>
      </c>
      <c r="AR13" s="28">
        <v>3.387646666675459E-4</v>
      </c>
      <c r="AS13" s="28">
        <v>-1.257294666654474E-4</v>
      </c>
      <c r="AT13" s="28">
        <v>-3.9348239999892343E-4</v>
      </c>
      <c r="AU13" s="28">
        <v>6.6038666675649624E-6</v>
      </c>
      <c r="AV13" s="28">
        <v>-3.4672946666558507E-4</v>
      </c>
      <c r="AW13" s="28">
        <v>4.9567840000100394E-4</v>
      </c>
      <c r="AX13" s="28">
        <v>1.2625880000050049E-4</v>
      </c>
      <c r="AY13" s="28">
        <v>-4.409882666659426E-4</v>
      </c>
      <c r="AZ13" s="28">
        <v>4.9684952392501552E-6</v>
      </c>
      <c r="BA13" s="34">
        <v>2.434562667232576E-4</v>
      </c>
    </row>
    <row r="14" spans="1:53" x14ac:dyDescent="0.25">
      <c r="A14" s="24">
        <v>13</v>
      </c>
      <c r="B14" s="26">
        <v>6</v>
      </c>
      <c r="C14" s="28">
        <v>-2.8825933333509468E-4</v>
      </c>
      <c r="D14" s="28">
        <v>8.1407333331950937E-5</v>
      </c>
      <c r="E14" s="28">
        <v>2.380739999989778E-4</v>
      </c>
      <c r="F14" s="28">
        <v>1.010554999988367E-4</v>
      </c>
      <c r="G14" s="28">
        <v>-2.7559266666798981E-4</v>
      </c>
      <c r="H14" s="28">
        <v>4.2807399999889029E-4</v>
      </c>
      <c r="I14" s="28">
        <v>-3.7794450000117052E-4</v>
      </c>
      <c r="J14" s="28">
        <v>-1.2768583334543671E-5</v>
      </c>
      <c r="K14" s="28">
        <v>4.874073333319684E-4</v>
      </c>
      <c r="L14" s="28">
        <v>8.140733333206196E-5</v>
      </c>
      <c r="M14" s="28">
        <v>-2.882963333340482E-4</v>
      </c>
      <c r="N14" s="28">
        <v>-1.7929633333407799E-4</v>
      </c>
      <c r="O14" s="28">
        <v>-1.9259333335019949E-5</v>
      </c>
      <c r="P14" s="28">
        <v>-4.2959266666808832E-4</v>
      </c>
      <c r="Q14" s="28">
        <v>3.8470366666598638E-4</v>
      </c>
      <c r="R14" s="28">
        <v>-2.2645375000052151E-4</v>
      </c>
      <c r="S14" s="28">
        <v>7.1231416665429315E-5</v>
      </c>
      <c r="T14" s="28">
        <v>3.7474066666498551E-4</v>
      </c>
      <c r="U14" s="28">
        <v>-1.2276858333448709E-4</v>
      </c>
      <c r="V14" s="28">
        <v>6.6527749999378827E-5</v>
      </c>
      <c r="W14" s="28">
        <v>8.1407333331950937E-5</v>
      </c>
      <c r="X14" s="28">
        <v>1.934073333318409E-4</v>
      </c>
      <c r="Y14" s="28">
        <v>8.1407333331950937E-5</v>
      </c>
      <c r="Z14" s="28">
        <v>-5.4259333335138222E-5</v>
      </c>
      <c r="AA14" s="28">
        <v>3.0021291666548772E-4</v>
      </c>
      <c r="AB14" s="28">
        <v>-6.1926000001100157E-5</v>
      </c>
      <c r="AC14" s="28">
        <v>3.0123141666538178E-4</v>
      </c>
      <c r="AD14" s="28">
        <v>-1.172593333350624E-4</v>
      </c>
      <c r="AE14" s="28">
        <v>3.2772216666898668E-4</v>
      </c>
      <c r="AF14" s="28">
        <v>8.1407333331950937E-5</v>
      </c>
      <c r="AG14" s="28">
        <v>6.105549999879667E-5</v>
      </c>
      <c r="AH14" s="28">
        <v>4.7407333331861423E-5</v>
      </c>
      <c r="AI14" s="28">
        <v>1.432314166652793E-4</v>
      </c>
      <c r="AJ14" s="28">
        <v>5.0879583332497091E-5</v>
      </c>
      <c r="AK14" s="28">
        <v>8.1407333331950937E-5</v>
      </c>
      <c r="AL14" s="28">
        <v>1.4070366666585341E-4</v>
      </c>
      <c r="AM14" s="28">
        <v>-2.8359266666810878E-4</v>
      </c>
      <c r="AN14" s="28">
        <v>-3.709260000009929E-4</v>
      </c>
      <c r="AO14" s="28">
        <v>-3.3825933333508917E-4</v>
      </c>
      <c r="AP14" s="28">
        <v>8.1407333331950937E-5</v>
      </c>
      <c r="AQ14" s="28">
        <v>6.1055499998907692E-5</v>
      </c>
      <c r="AR14" s="28">
        <v>5.0879583332497091E-5</v>
      </c>
      <c r="AS14" s="28">
        <v>-4.4176858333455638E-4</v>
      </c>
      <c r="AT14" s="28">
        <v>2.5205549999884891E-4</v>
      </c>
      <c r="AU14" s="28">
        <v>-7.776858333452541E-5</v>
      </c>
      <c r="AV14" s="28">
        <v>6.9231416665482826E-5</v>
      </c>
      <c r="AW14" s="28">
        <v>2.6137033333301091E-4</v>
      </c>
      <c r="AX14" s="28">
        <v>9.8861083332679733E-5</v>
      </c>
      <c r="AY14" s="28">
        <v>2.3937033333293331E-4</v>
      </c>
      <c r="AZ14" s="28">
        <v>2.76397721077337E-5</v>
      </c>
      <c r="BA14" s="34">
        <v>1.3543488332789511E-3</v>
      </c>
    </row>
    <row r="15" spans="1:53" x14ac:dyDescent="0.25">
      <c r="A15" s="24">
        <v>14</v>
      </c>
      <c r="B15" s="26">
        <v>6.5</v>
      </c>
      <c r="C15" s="28">
        <v>-3.2516773333179932E-4</v>
      </c>
      <c r="D15" s="28">
        <v>-4.4616773333183701E-4</v>
      </c>
      <c r="E15" s="28">
        <v>2.5883226666811859E-4</v>
      </c>
      <c r="F15" s="28">
        <v>-3.0587579999885589E-4</v>
      </c>
      <c r="G15" s="28">
        <v>2.5883226666811859E-4</v>
      </c>
      <c r="H15" s="28">
        <v>2.6749893333499752E-4</v>
      </c>
      <c r="I15" s="28">
        <v>-3.7009133331933342E-5</v>
      </c>
      <c r="J15" s="28">
        <v>-6.5521766665188608E-5</v>
      </c>
      <c r="K15" s="28">
        <v>2.5883226666811859E-4</v>
      </c>
      <c r="L15" s="28">
        <v>1.3483226666810569E-4</v>
      </c>
      <c r="M15" s="28">
        <v>-1.9958386666596439E-4</v>
      </c>
      <c r="N15" s="28">
        <v>-1.2925053333257E-4</v>
      </c>
      <c r="O15" s="28">
        <v>2.588322666678966E-4</v>
      </c>
      <c r="P15" s="28">
        <v>-1.0383439999905871E-4</v>
      </c>
      <c r="Q15" s="28">
        <v>-2.8558386666599489E-4</v>
      </c>
      <c r="R15" s="28">
        <v>-3.3356316666643959E-4</v>
      </c>
      <c r="S15" s="28">
        <v>4.2814490000198102E-4</v>
      </c>
      <c r="T15" s="28">
        <v>2.9283226666820822E-4</v>
      </c>
      <c r="U15" s="28">
        <v>-1.375217666650386E-4</v>
      </c>
      <c r="V15" s="28">
        <v>-1.00937899999487E-4</v>
      </c>
      <c r="W15" s="28">
        <v>2.588322666678966E-4</v>
      </c>
      <c r="X15" s="28">
        <v>-2.5850106666513989E-4</v>
      </c>
      <c r="Y15" s="28">
        <v>1.288322666679331E-4</v>
      </c>
      <c r="Z15" s="28">
        <v>2.4649893333483769E-4</v>
      </c>
      <c r="AA15" s="28">
        <v>4.1177016666760208E-4</v>
      </c>
      <c r="AB15" s="28">
        <v>2.588322666678966E-4</v>
      </c>
      <c r="AC15" s="28">
        <v>-2.3521766664869052E-5</v>
      </c>
      <c r="AD15" s="28">
        <v>2.588322666678966E-4</v>
      </c>
      <c r="AE15" s="28">
        <v>4.5412420000112702E-4</v>
      </c>
      <c r="AF15" s="28">
        <v>2.442989333348855E-4</v>
      </c>
      <c r="AG15" s="28">
        <v>-4.5654246666593229E-4</v>
      </c>
      <c r="AH15" s="28">
        <v>2.5883226666811859E-4</v>
      </c>
      <c r="AI15" s="28">
        <v>-3.5585509999802589E-4</v>
      </c>
      <c r="AJ15" s="28">
        <v>-4.9822983333247528E-4</v>
      </c>
      <c r="AK15" s="28">
        <v>4.6883226666794009E-4</v>
      </c>
      <c r="AL15" s="28">
        <v>-4.8858386666594811E-4</v>
      </c>
      <c r="AM15" s="28">
        <v>3.1383226666803488E-4</v>
      </c>
      <c r="AN15" s="28">
        <v>-2.961677333321866E-4</v>
      </c>
      <c r="AO15" s="28">
        <v>-3.8883439999848329E-4</v>
      </c>
      <c r="AP15" s="28">
        <v>2.588322666678966E-4</v>
      </c>
      <c r="AQ15" s="28">
        <v>-3.0587579999896702E-4</v>
      </c>
      <c r="AR15" s="28">
        <v>4.1177016666760208E-4</v>
      </c>
      <c r="AS15" s="28">
        <v>1.6414490000193899E-4</v>
      </c>
      <c r="AT15" s="28">
        <v>-1.6287579999907381E-4</v>
      </c>
      <c r="AU15" s="28">
        <v>-4.5685509999793261E-4</v>
      </c>
      <c r="AV15" s="28">
        <v>3.1714490000189782E-4</v>
      </c>
      <c r="AW15" s="28">
        <v>1.294161333340593E-4</v>
      </c>
      <c r="AX15" s="28">
        <v>1.7239543333352761E-4</v>
      </c>
      <c r="AY15" s="28">
        <v>-3.7458386666600058E-4</v>
      </c>
      <c r="AZ15" s="28">
        <v>7.7431605454578452E-6</v>
      </c>
      <c r="BA15" s="34">
        <v>3.7941486672743441E-4</v>
      </c>
    </row>
    <row r="16" spans="1:53" x14ac:dyDescent="0.25">
      <c r="A16" s="24">
        <v>15</v>
      </c>
      <c r="B16" s="26">
        <v>7</v>
      </c>
      <c r="C16" s="28">
        <v>-2.1212146666726989E-4</v>
      </c>
      <c r="D16" s="28">
        <v>1.7954519999996421E-4</v>
      </c>
      <c r="E16" s="28">
        <v>4.032118666670303E-4</v>
      </c>
      <c r="F16" s="28">
        <v>4.3707556666988673E-4</v>
      </c>
      <c r="G16" s="28">
        <v>-2.7678813333342772E-4</v>
      </c>
      <c r="H16" s="28">
        <v>-1.48121466670148E-4</v>
      </c>
      <c r="I16" s="28">
        <v>2.029422333330588E-4</v>
      </c>
      <c r="J16" s="28">
        <v>2.8547705000003809E-4</v>
      </c>
      <c r="K16" s="28">
        <v>2.6054519999996201E-4</v>
      </c>
      <c r="L16" s="28">
        <v>4.0545199999852948E-5</v>
      </c>
      <c r="M16" s="28">
        <v>2.0272599999926481E-5</v>
      </c>
      <c r="N16" s="28">
        <v>2.409392666670174E-4</v>
      </c>
      <c r="O16" s="28">
        <v>4.0545200000074999E-5</v>
      </c>
      <c r="P16" s="28">
        <v>4.0621186666700559E-4</v>
      </c>
      <c r="Q16" s="28">
        <v>3.1027260000005002E-4</v>
      </c>
      <c r="R16" s="28">
        <v>-2.2465925000014761E-4</v>
      </c>
      <c r="S16" s="28">
        <v>-2.3585628332994929E-4</v>
      </c>
      <c r="T16" s="28">
        <v>-1.061214666668864E-4</v>
      </c>
      <c r="U16" s="28">
        <v>1.547705000026767E-5</v>
      </c>
      <c r="V16" s="28">
        <v>-3.1212888333298489E-4</v>
      </c>
      <c r="W16" s="28">
        <v>4.0545200000074999E-5</v>
      </c>
      <c r="X16" s="28">
        <v>4.0545199999852948E-5</v>
      </c>
      <c r="Y16" s="28">
        <v>-1.1545479999997001E-4</v>
      </c>
      <c r="Z16" s="28">
        <v>4.0545200000074999E-5</v>
      </c>
      <c r="AA16" s="28">
        <v>-2.099925833330962E-4</v>
      </c>
      <c r="AB16" s="28">
        <v>4.0054519999999089E-4</v>
      </c>
      <c r="AC16" s="28">
        <v>-1.045229500000744E-4</v>
      </c>
      <c r="AD16" s="28">
        <v>-4.5454800000177542E-5</v>
      </c>
      <c r="AE16" s="28">
        <v>-1.3625776666659209E-4</v>
      </c>
      <c r="AF16" s="28">
        <v>-1.031214666671332E-4</v>
      </c>
      <c r="AG16" s="28">
        <v>-4.6959109999988868E-4</v>
      </c>
      <c r="AH16" s="28">
        <v>4.9354519999988966E-4</v>
      </c>
      <c r="AI16" s="28">
        <v>1.8347705000021361E-4</v>
      </c>
      <c r="AJ16" s="28">
        <v>-2.2465925000014761E-4</v>
      </c>
      <c r="AK16" s="28">
        <v>4.0545199999852948E-5</v>
      </c>
      <c r="AL16" s="28">
        <v>-3.1306073333303708E-4</v>
      </c>
      <c r="AM16" s="28">
        <v>4.0545199999852948E-5</v>
      </c>
      <c r="AN16" s="28">
        <v>-6.2121466666731351E-5</v>
      </c>
      <c r="AO16" s="28">
        <v>4.0545199999852948E-5</v>
      </c>
      <c r="AP16" s="28">
        <v>7.0545199999827446E-5</v>
      </c>
      <c r="AQ16" s="28">
        <v>-4.6959109999988868E-4</v>
      </c>
      <c r="AR16" s="28">
        <v>-2.2465925000003659E-4</v>
      </c>
      <c r="AS16" s="28">
        <v>2.8547705000003809E-4</v>
      </c>
      <c r="AT16" s="28">
        <v>-4.6959109999988868E-4</v>
      </c>
      <c r="AU16" s="28">
        <v>2.8681038333311371E-4</v>
      </c>
      <c r="AV16" s="28">
        <v>2.8147704999992312E-4</v>
      </c>
      <c r="AW16" s="28">
        <v>-1.2839406666698139E-4</v>
      </c>
      <c r="AX16" s="28">
        <v>2.7953778333300589E-4</v>
      </c>
      <c r="AY16" s="28">
        <v>4.6560593333300199E-4</v>
      </c>
      <c r="AZ16" s="28">
        <v>2.532823605445396E-5</v>
      </c>
      <c r="BA16" s="34">
        <v>1.241083566668244E-3</v>
      </c>
    </row>
    <row r="17" spans="1:53" x14ac:dyDescent="0.25">
      <c r="A17" s="24">
        <v>16</v>
      </c>
      <c r="B17" s="26">
        <v>7.5</v>
      </c>
      <c r="C17" s="28">
        <v>-3.1608999999988008E-4</v>
      </c>
      <c r="D17" s="28">
        <v>-5.7626089999999852E-2</v>
      </c>
      <c r="E17" s="28">
        <v>3.7391000000019941E-4</v>
      </c>
      <c r="F17" s="28">
        <v>-3.6156749999993743E-4</v>
      </c>
      <c r="G17" s="28">
        <v>-0.74310209000000005</v>
      </c>
      <c r="H17" s="28">
        <v>2.7391000000021037E-4</v>
      </c>
      <c r="I17" s="28">
        <v>-3.2176750000012522E-4</v>
      </c>
      <c r="J17" s="28">
        <v>-0.3988398287499999</v>
      </c>
      <c r="K17" s="28">
        <v>-0.26022308999999982</v>
      </c>
      <c r="L17" s="28">
        <v>-0.98822368999999965</v>
      </c>
      <c r="M17" s="28">
        <v>2.8954999999997181E-5</v>
      </c>
      <c r="N17" s="28">
        <v>-3.6637833333319492E-4</v>
      </c>
      <c r="O17" s="28">
        <v>-0.70846288999999985</v>
      </c>
      <c r="P17" s="28">
        <v>-3.9062333333284022E-4</v>
      </c>
      <c r="Q17" s="28">
        <v>1.5695500000012519E-4</v>
      </c>
      <c r="R17" s="28">
        <v>2.2736041666693299E-4</v>
      </c>
      <c r="S17" s="28">
        <v>-3.9049541666602572E-4</v>
      </c>
      <c r="T17" s="28">
        <v>-1.6808999999984309E-4</v>
      </c>
      <c r="U17" s="28">
        <v>-4.397954166668328E-4</v>
      </c>
      <c r="V17" s="28">
        <v>2.3788291666704259E-4</v>
      </c>
      <c r="W17" s="28">
        <v>-0.93405208999999978</v>
      </c>
      <c r="X17" s="28">
        <v>-0.64603142333333285</v>
      </c>
      <c r="Y17" s="28">
        <v>-0.40030742333333319</v>
      </c>
      <c r="Z17" s="28">
        <v>-0.2167740899999997</v>
      </c>
      <c r="AA17" s="28">
        <v>-1.413062499999729E-4</v>
      </c>
      <c r="AB17" s="28">
        <v>3.7857666666707418E-4</v>
      </c>
      <c r="AC17" s="28">
        <v>2.4450458333413749E-4</v>
      </c>
      <c r="AD17" s="28">
        <v>2.6124333333310551E-4</v>
      </c>
      <c r="AE17" s="28">
        <v>2.8509916666652479E-4</v>
      </c>
      <c r="AF17" s="28">
        <v>-0.88781728999999987</v>
      </c>
      <c r="AG17" s="28">
        <v>6.8432499999770968E-5</v>
      </c>
      <c r="AH17" s="28">
        <v>-0.5366130899999999</v>
      </c>
      <c r="AI17" s="28">
        <v>3.3450458333295069E-4</v>
      </c>
      <c r="AJ17" s="28">
        <v>-3.713062499997033E-4</v>
      </c>
      <c r="AK17" s="28">
        <v>-0.34130775666666652</v>
      </c>
      <c r="AL17" s="28">
        <v>-1.8504499999993931E-4</v>
      </c>
      <c r="AM17" s="28">
        <v>-0.29593608999999987</v>
      </c>
      <c r="AN17" s="28">
        <v>4.6924333333397961E-4</v>
      </c>
      <c r="AO17" s="28">
        <v>-0.60769342333333309</v>
      </c>
      <c r="AP17" s="28">
        <v>-1.2148408900000001</v>
      </c>
      <c r="AQ17" s="28">
        <v>3.0432500000010521E-5</v>
      </c>
      <c r="AR17" s="28">
        <v>-1.413062499999729E-4</v>
      </c>
      <c r="AS17" s="28">
        <v>-2.782874999995855E-5</v>
      </c>
      <c r="AT17" s="28">
        <v>3.0432500000010521E-5</v>
      </c>
      <c r="AU17" s="28">
        <v>-1.7416208333309591E-4</v>
      </c>
      <c r="AV17" s="28">
        <v>-4.6716208333341669E-4</v>
      </c>
      <c r="AW17" s="28">
        <v>-3.1304499999984531E-4</v>
      </c>
      <c r="AX17" s="28">
        <v>1.3721625000007179E-4</v>
      </c>
      <c r="AY17" s="28">
        <v>4.3228833333341932E-4</v>
      </c>
      <c r="AZ17" s="28">
        <v>-0.18853992382653051</v>
      </c>
      <c r="BA17" s="34">
        <v>-9.238456267499993</v>
      </c>
    </row>
    <row r="18" spans="1:53" x14ac:dyDescent="0.25">
      <c r="A18" s="24">
        <v>17</v>
      </c>
      <c r="B18" s="26">
        <v>8</v>
      </c>
      <c r="C18" s="28">
        <v>2.2526840000192119E-4</v>
      </c>
      <c r="D18" s="28">
        <v>-2.0683633982666678</v>
      </c>
      <c r="E18" s="28">
        <v>-1.303570064933335</v>
      </c>
      <c r="F18" s="28">
        <v>2.8295129999911239E-4</v>
      </c>
      <c r="G18" s="28">
        <v>-2.2163293982666681</v>
      </c>
      <c r="H18" s="28">
        <v>1.926840000188168E-5</v>
      </c>
      <c r="I18" s="28">
        <v>3.7095129999897841E-4</v>
      </c>
      <c r="J18" s="28">
        <v>-1.709185856816668</v>
      </c>
      <c r="K18" s="28">
        <v>-2.0857197316000011</v>
      </c>
      <c r="L18" s="28">
        <v>-2.164964064933335</v>
      </c>
      <c r="M18" s="28">
        <v>-3.6869913333403842E-4</v>
      </c>
      <c r="N18" s="28">
        <v>4.6063419999886612E-4</v>
      </c>
      <c r="O18" s="28">
        <v>-2.0471472649333351</v>
      </c>
      <c r="P18" s="28">
        <v>-0.86953339826666798</v>
      </c>
      <c r="Q18" s="28">
        <v>4.2263419999893909E-4</v>
      </c>
      <c r="R18" s="28">
        <v>-2.0587391666793131E-4</v>
      </c>
      <c r="S18" s="28">
        <v>-3.655681666514532E-5</v>
      </c>
      <c r="T18" s="28">
        <v>-1.2110300649333341</v>
      </c>
      <c r="U18" s="28">
        <v>-0.81671312348333513</v>
      </c>
      <c r="V18" s="28">
        <v>1.7314231666643029E-4</v>
      </c>
      <c r="W18" s="28">
        <v>-2.1775775316000008</v>
      </c>
      <c r="X18" s="28">
        <v>-2.2113293982666682</v>
      </c>
      <c r="Y18" s="28">
        <v>-2.0200363982666678</v>
      </c>
      <c r="Z18" s="28">
        <v>-2.2163293982666681</v>
      </c>
      <c r="AA18" s="28">
        <v>-2.0587391666793131E-4</v>
      </c>
      <c r="AB18" s="28">
        <v>-0.56021873160000113</v>
      </c>
      <c r="AC18" s="28">
        <v>-0.70998289015000116</v>
      </c>
      <c r="AD18" s="28">
        <v>-1.4497027316000011</v>
      </c>
      <c r="AE18" s="28">
        <v>-4.6704870000091597E-4</v>
      </c>
      <c r="AF18" s="28">
        <v>-2.105116331600001</v>
      </c>
      <c r="AG18" s="28">
        <v>-4.6238203333404121E-4</v>
      </c>
      <c r="AH18" s="28">
        <v>-2.2208293982666678</v>
      </c>
      <c r="AI18" s="28">
        <v>-2.8822348333501502E-4</v>
      </c>
      <c r="AJ18" s="28">
        <v>1.141260833319446E-4</v>
      </c>
      <c r="AK18" s="28">
        <v>-2.200437731600001</v>
      </c>
      <c r="AL18" s="28">
        <v>3.8770086666595199E-4</v>
      </c>
      <c r="AM18" s="28">
        <v>-2.2153293982666682</v>
      </c>
      <c r="AN18" s="28">
        <v>-1.9333293982666679</v>
      </c>
      <c r="AO18" s="28">
        <v>-2.2073293982666682</v>
      </c>
      <c r="AP18" s="28">
        <v>-2.146566731600001</v>
      </c>
      <c r="AQ18" s="28">
        <v>-0.48724704870000091</v>
      </c>
      <c r="AR18" s="28">
        <v>-2.0587391666815341E-4</v>
      </c>
      <c r="AS18" s="28">
        <v>-0.35438355681666822</v>
      </c>
      <c r="AT18" s="28">
        <v>-3.4904870000107557E-4</v>
      </c>
      <c r="AU18" s="28">
        <v>-3.6322348333506232E-4</v>
      </c>
      <c r="AV18" s="28">
        <v>-1.1650712234833349</v>
      </c>
      <c r="AW18" s="28">
        <v>8.3008666658807018E-6</v>
      </c>
      <c r="AX18" s="28">
        <v>2.1467564999944069E-4</v>
      </c>
      <c r="AY18" s="28">
        <v>-2.0469913333409639E-4</v>
      </c>
      <c r="AZ18" s="28">
        <v>-0.91579288801428682</v>
      </c>
      <c r="BA18" s="34">
        <v>-44.873851512700057</v>
      </c>
    </row>
    <row r="19" spans="1:53" x14ac:dyDescent="0.25">
      <c r="A19" s="24">
        <v>18</v>
      </c>
      <c r="B19" s="26">
        <v>8.5</v>
      </c>
      <c r="C19" s="28">
        <v>-1.7826693332989579E-4</v>
      </c>
      <c r="D19" s="28">
        <v>-2.3832543336000001</v>
      </c>
      <c r="E19" s="28">
        <v>-2.3503409336000001</v>
      </c>
      <c r="F19" s="28">
        <v>8.2533133333839714E-5</v>
      </c>
      <c r="G19" s="28">
        <v>-2.3694442669333329</v>
      </c>
      <c r="H19" s="28">
        <v>-0.79899260026666585</v>
      </c>
      <c r="I19" s="28">
        <v>4.7546646666707382E-4</v>
      </c>
      <c r="J19" s="28">
        <v>-2.0814729668999998</v>
      </c>
      <c r="K19" s="28">
        <v>-0.99126660026666991</v>
      </c>
      <c r="L19" s="28">
        <v>-2.4427746336</v>
      </c>
      <c r="M19" s="28">
        <v>4.9959986666703315E-4</v>
      </c>
      <c r="N19" s="28">
        <v>6.453320000021634E-5</v>
      </c>
      <c r="O19" s="28">
        <v>-2.4925982669333329</v>
      </c>
      <c r="P19" s="28">
        <v>-2.4524877335999999</v>
      </c>
      <c r="Q19" s="28">
        <v>-3.4546680000002722E-4</v>
      </c>
      <c r="R19" s="28">
        <v>2.3916649999988771E-4</v>
      </c>
      <c r="S19" s="28">
        <v>-3.3456690000011058E-4</v>
      </c>
      <c r="T19" s="28">
        <v>-2.2850639336</v>
      </c>
      <c r="U19" s="28">
        <v>-2.1097443002333329</v>
      </c>
      <c r="V19" s="28">
        <v>2.0423323333407239E-4</v>
      </c>
      <c r="W19" s="28">
        <v>-2.4270959336</v>
      </c>
      <c r="X19" s="28">
        <v>-2.482903066933333</v>
      </c>
      <c r="Y19" s="28">
        <v>-2.375272266933333</v>
      </c>
      <c r="Z19" s="28">
        <v>-2.4153609336000001</v>
      </c>
      <c r="AA19" s="28">
        <v>-7.1500166667126663E-5</v>
      </c>
      <c r="AB19" s="28">
        <v>-2.2024332669333329</v>
      </c>
      <c r="AC19" s="28">
        <v>-1.8886089002333331</v>
      </c>
      <c r="AD19" s="28">
        <v>-2.2804762669333338</v>
      </c>
      <c r="AE19" s="28">
        <v>-1.1074882001999999</v>
      </c>
      <c r="AF19" s="28">
        <v>-2.4836509335999999</v>
      </c>
      <c r="AG19" s="28">
        <v>-1.3023848668666671</v>
      </c>
      <c r="AH19" s="28">
        <v>-2.488164600266666</v>
      </c>
      <c r="AI19" s="28">
        <v>-1.124762900233333</v>
      </c>
      <c r="AJ19" s="28">
        <v>-0.15355683349999991</v>
      </c>
      <c r="AK19" s="28">
        <v>-2.3800262669333332</v>
      </c>
      <c r="AL19" s="28">
        <v>-4.3813346666698999E-4</v>
      </c>
      <c r="AM19" s="28">
        <v>-2.4797842669333332</v>
      </c>
      <c r="AN19" s="28">
        <v>-2.3240559336</v>
      </c>
      <c r="AO19" s="28">
        <v>-2.2242872669333331</v>
      </c>
      <c r="AP19" s="28">
        <v>-2.3417949336000001</v>
      </c>
      <c r="AQ19" s="28">
        <v>-1.7550971002</v>
      </c>
      <c r="AR19" s="28">
        <v>-1.3944068334999999</v>
      </c>
      <c r="AS19" s="28">
        <v>-2.1033295668999998</v>
      </c>
      <c r="AT19" s="28">
        <v>-1.5204882002</v>
      </c>
      <c r="AU19" s="28">
        <v>-1.2935735668999999</v>
      </c>
      <c r="AV19" s="28">
        <v>-2.1467805669</v>
      </c>
      <c r="AW19" s="28">
        <v>4.0753320000019849E-4</v>
      </c>
      <c r="AX19" s="28">
        <v>-1.4883343333282889E-4</v>
      </c>
      <c r="AY19" s="28">
        <v>3.2053320000002827E-4</v>
      </c>
      <c r="AZ19" s="28">
        <v>-1.417396881854422</v>
      </c>
      <c r="BA19" s="34">
        <v>-69.452447210866666</v>
      </c>
    </row>
    <row r="20" spans="1:53" x14ac:dyDescent="0.25">
      <c r="A20" s="24">
        <v>19</v>
      </c>
      <c r="B20" s="26">
        <v>9</v>
      </c>
      <c r="C20" s="28">
        <v>-0.90210269600000192</v>
      </c>
      <c r="D20" s="28">
        <v>-2.6787897626666681</v>
      </c>
      <c r="E20" s="28">
        <v>-1.9114553626666679</v>
      </c>
      <c r="F20" s="28">
        <v>-1.1403871886666681</v>
      </c>
      <c r="G20" s="28">
        <v>-2.6725832960000009</v>
      </c>
      <c r="H20" s="28">
        <v>-2.4672983626666678</v>
      </c>
      <c r="I20" s="28">
        <v>-1.5136301886666681</v>
      </c>
      <c r="J20" s="28">
        <v>-2.2125208423333351</v>
      </c>
      <c r="K20" s="28">
        <v>-1.4748220293333381</v>
      </c>
      <c r="L20" s="28">
        <v>-1.783636996000002</v>
      </c>
      <c r="M20" s="28">
        <v>-0.16040168133333399</v>
      </c>
      <c r="N20" s="28">
        <v>-4.4234800000064739E-4</v>
      </c>
      <c r="O20" s="28">
        <v>-1.8401401626666669</v>
      </c>
      <c r="P20" s="28">
        <v>-2.6727593626666679</v>
      </c>
      <c r="Q20" s="28">
        <v>4.8831866666598778E-4</v>
      </c>
      <c r="R20" s="28">
        <v>-4.8493500000090778E-4</v>
      </c>
      <c r="S20" s="28">
        <v>3.0989099999478848E-4</v>
      </c>
      <c r="T20" s="28">
        <v>-2.5211690293333349</v>
      </c>
      <c r="U20" s="28">
        <v>-2.2078114423333348</v>
      </c>
      <c r="V20" s="28">
        <v>-2.11760999999866E-4</v>
      </c>
      <c r="W20" s="28">
        <v>-2.6090663626666681</v>
      </c>
      <c r="X20" s="28">
        <v>-2.6051746960000011</v>
      </c>
      <c r="Y20" s="28">
        <v>-2.5455373626666682</v>
      </c>
      <c r="Z20" s="28">
        <v>-2.6070133626666681</v>
      </c>
      <c r="AA20" s="28">
        <v>-1.3071182683333351</v>
      </c>
      <c r="AB20" s="28">
        <v>-2.5541536960000011</v>
      </c>
      <c r="AC20" s="28">
        <v>-2.1300094423333351</v>
      </c>
      <c r="AD20" s="28">
        <v>-2.708575362666668</v>
      </c>
      <c r="AE20" s="28">
        <v>-1.9644635220000011</v>
      </c>
      <c r="AF20" s="28">
        <v>-2.619032696000001</v>
      </c>
      <c r="AG20" s="28">
        <v>-1.842357522000001</v>
      </c>
      <c r="AH20" s="28">
        <v>-2.5640623626666681</v>
      </c>
      <c r="AI20" s="28">
        <v>-2.1978309423333351</v>
      </c>
      <c r="AJ20" s="28">
        <v>3.0373166666208817E-4</v>
      </c>
      <c r="AK20" s="28">
        <v>-1.798228629333334</v>
      </c>
      <c r="AL20" s="28">
        <v>-8.7287681333333866E-2</v>
      </c>
      <c r="AM20" s="28">
        <v>-2.6044836960000008</v>
      </c>
      <c r="AN20" s="28">
        <v>-2.4054716960000011</v>
      </c>
      <c r="AO20" s="28">
        <v>-0.51010536266666806</v>
      </c>
      <c r="AP20" s="28">
        <v>-2.5511453626666678</v>
      </c>
      <c r="AQ20" s="28">
        <v>-2.0022045220000009</v>
      </c>
      <c r="AR20" s="28">
        <v>-1.6773596016666681</v>
      </c>
      <c r="AS20" s="28">
        <v>-2.228574109000002</v>
      </c>
      <c r="AT20" s="28">
        <v>-2.0224315220000011</v>
      </c>
      <c r="AU20" s="28">
        <v>-1.851562442333335</v>
      </c>
      <c r="AV20" s="28">
        <v>-2.2945154423333349</v>
      </c>
      <c r="AW20" s="28">
        <v>-3.6348000000963048E-5</v>
      </c>
      <c r="AX20" s="28">
        <v>4.1957233333300698E-4</v>
      </c>
      <c r="AY20" s="28">
        <v>2.0298533333273919E-4</v>
      </c>
      <c r="AZ20" s="28">
        <v>-1.6417698971836749</v>
      </c>
      <c r="BA20" s="34">
        <v>-80.446724962000076</v>
      </c>
    </row>
    <row r="21" spans="1:53" x14ac:dyDescent="0.25">
      <c r="A21" s="24">
        <v>20</v>
      </c>
      <c r="B21" s="26">
        <v>9.5</v>
      </c>
      <c r="C21" s="28">
        <v>-2.6504286727999991</v>
      </c>
      <c r="D21" s="28">
        <v>-1.975351739466666</v>
      </c>
      <c r="E21" s="28">
        <v>-2.2026240727999982</v>
      </c>
      <c r="F21" s="28">
        <v>-0.35089288793332879</v>
      </c>
      <c r="G21" s="28">
        <v>-2.7991767394666649</v>
      </c>
      <c r="H21" s="28">
        <v>-2.5996474061333319</v>
      </c>
      <c r="I21" s="28">
        <v>-2.123206554599999</v>
      </c>
      <c r="J21" s="28">
        <v>-2.5227738803666648</v>
      </c>
      <c r="K21" s="28">
        <v>-2.2699500727999991</v>
      </c>
      <c r="L21" s="28">
        <v>-2.9111959394666651</v>
      </c>
      <c r="M21" s="28">
        <v>-1.1485113697333329</v>
      </c>
      <c r="N21" s="28">
        <v>-3.5236973333296889E-4</v>
      </c>
      <c r="O21" s="28">
        <v>-2.6670674061333322</v>
      </c>
      <c r="P21" s="28">
        <v>-2.7440154061333319</v>
      </c>
      <c r="Q21" s="28">
        <v>-4.719170306666598E-2</v>
      </c>
      <c r="R21" s="28">
        <v>-3.9362883333193821E-4</v>
      </c>
      <c r="S21" s="28">
        <v>-1.132467480366665</v>
      </c>
      <c r="T21" s="28">
        <v>-2.9183834061333318</v>
      </c>
      <c r="U21" s="28">
        <v>-2.4285018136999978</v>
      </c>
      <c r="V21" s="28">
        <v>-1.2511063333220379E-4</v>
      </c>
      <c r="W21" s="28">
        <v>-2.9027448727999978</v>
      </c>
      <c r="X21" s="28">
        <v>-2.7362234061333321</v>
      </c>
      <c r="Y21" s="28">
        <v>-2.6455274061333318</v>
      </c>
      <c r="Z21" s="28">
        <v>-2.9183834061333318</v>
      </c>
      <c r="AA21" s="28">
        <v>-1.804989628833332</v>
      </c>
      <c r="AB21" s="28">
        <v>-2.8338014061333321</v>
      </c>
      <c r="AC21" s="28">
        <v>-2.3530854803666652</v>
      </c>
      <c r="AD21" s="28">
        <v>-2.8800874061333319</v>
      </c>
      <c r="AE21" s="28">
        <v>-2.183787554599999</v>
      </c>
      <c r="AF21" s="28">
        <v>-2.7302044061333319</v>
      </c>
      <c r="AG21" s="28">
        <v>-1.912847554599999</v>
      </c>
      <c r="AH21" s="28">
        <v>-2.9303834061333318</v>
      </c>
      <c r="AI21" s="28">
        <v>-2.3612208136999979</v>
      </c>
      <c r="AJ21" s="28">
        <v>-1.1184389621666651</v>
      </c>
      <c r="AK21" s="28">
        <v>-2.7237084061333321</v>
      </c>
      <c r="AL21" s="28">
        <v>-1.294158369733333</v>
      </c>
      <c r="AM21" s="28">
        <v>-2.7816882061333321</v>
      </c>
      <c r="AN21" s="28">
        <v>-2.695141572799999</v>
      </c>
      <c r="AO21" s="28">
        <v>4.0659386666797888E-4</v>
      </c>
      <c r="AP21" s="28">
        <v>-2.7789534061333319</v>
      </c>
      <c r="AQ21" s="28">
        <v>-2.1328446545999991</v>
      </c>
      <c r="AR21" s="28">
        <v>-1.800989628833332</v>
      </c>
      <c r="AS21" s="28">
        <v>-1.8819404803666651</v>
      </c>
      <c r="AT21" s="28">
        <v>-2.081453554599999</v>
      </c>
      <c r="AU21" s="28">
        <v>-2.5149438136999982</v>
      </c>
      <c r="AV21" s="28">
        <v>-2.3671834803666649</v>
      </c>
      <c r="AW21" s="28">
        <v>-1.5103639999880511E-4</v>
      </c>
      <c r="AX21" s="28">
        <v>-3.4364396666597408E-4</v>
      </c>
      <c r="AY21" s="28">
        <v>-0.150231703066666</v>
      </c>
      <c r="AZ21" s="28">
        <v>-1.938924668025849</v>
      </c>
      <c r="BA21" s="34">
        <v>-95.007308733266598</v>
      </c>
    </row>
    <row r="22" spans="1:53" x14ac:dyDescent="0.25">
      <c r="A22" s="24">
        <v>21</v>
      </c>
      <c r="B22" s="26">
        <v>10</v>
      </c>
      <c r="C22" s="28">
        <v>-1.6526422763999979</v>
      </c>
      <c r="D22" s="28">
        <v>-2.578234943066668</v>
      </c>
      <c r="E22" s="28">
        <v>-2.8823139430666682</v>
      </c>
      <c r="F22" s="28">
        <v>-2.2990297073000008</v>
      </c>
      <c r="G22" s="28">
        <v>-3.0471346097333338</v>
      </c>
      <c r="H22" s="28">
        <v>-2.9394592764000009</v>
      </c>
      <c r="I22" s="28">
        <v>-2.1530230406333342</v>
      </c>
      <c r="J22" s="28">
        <v>-2.6150791918500009</v>
      </c>
      <c r="K22" s="28">
        <v>-2.975467943066668</v>
      </c>
      <c r="L22" s="28">
        <v>-3.0733059430666678</v>
      </c>
      <c r="M22" s="28">
        <v>-1.3660344715333339</v>
      </c>
      <c r="N22" s="28">
        <v>-0.98029747153333402</v>
      </c>
      <c r="O22" s="28">
        <v>-1.6143605430666681</v>
      </c>
      <c r="P22" s="28">
        <v>-2.9245469430666682</v>
      </c>
      <c r="Q22" s="28">
        <v>-0.97655347153333394</v>
      </c>
      <c r="R22" s="28">
        <v>-0.13120558941666699</v>
      </c>
      <c r="S22" s="28">
        <v>-2.4722178251833342</v>
      </c>
      <c r="T22" s="28">
        <v>-2.9631556097333349</v>
      </c>
      <c r="U22" s="28">
        <v>-2.5272398251833339</v>
      </c>
      <c r="V22" s="28">
        <v>3.3731301666706243E-4</v>
      </c>
      <c r="W22" s="28">
        <v>-2.9901022764000009</v>
      </c>
      <c r="X22" s="28">
        <v>-2.8337457430666682</v>
      </c>
      <c r="Y22" s="28">
        <v>-2.9449189430666678</v>
      </c>
      <c r="Z22" s="28">
        <v>-2.9836819430666681</v>
      </c>
      <c r="AA22" s="28">
        <v>-1.8365615894166669</v>
      </c>
      <c r="AB22" s="28">
        <v>-3.032388943066668</v>
      </c>
      <c r="AC22" s="28">
        <v>-2.3490258251833338</v>
      </c>
      <c r="AD22" s="28">
        <v>-2.864046943066668</v>
      </c>
      <c r="AE22" s="28">
        <v>-2.3140067073000008</v>
      </c>
      <c r="AF22" s="28">
        <v>-2.9688676097333349</v>
      </c>
      <c r="AG22" s="28">
        <v>-1.8008040406333341</v>
      </c>
      <c r="AH22" s="28">
        <v>-3.0891029430666679</v>
      </c>
      <c r="AI22" s="28">
        <v>-2.6037998251833341</v>
      </c>
      <c r="AJ22" s="28">
        <v>-1.5628909227500001</v>
      </c>
      <c r="AK22" s="28">
        <v>-2.9527532764000011</v>
      </c>
      <c r="AL22" s="28">
        <v>-1.5280044715333341</v>
      </c>
      <c r="AM22" s="28">
        <v>-2.4778560097333351</v>
      </c>
      <c r="AN22" s="28">
        <v>-2.8365422764000008</v>
      </c>
      <c r="AO22" s="28">
        <v>-2.1608062764000011</v>
      </c>
      <c r="AP22" s="28">
        <v>-3.0870089430666678</v>
      </c>
      <c r="AQ22" s="28">
        <v>-2.2349327073000009</v>
      </c>
      <c r="AR22" s="28">
        <v>-1.909505589416667</v>
      </c>
      <c r="AS22" s="28">
        <v>-1.1219551585166641</v>
      </c>
      <c r="AT22" s="28">
        <v>-2.3010067073000009</v>
      </c>
      <c r="AU22" s="28">
        <v>-2.5504891585166671</v>
      </c>
      <c r="AV22" s="28">
        <v>-2.3953571585166671</v>
      </c>
      <c r="AW22" s="28">
        <v>-1.036563804866667</v>
      </c>
      <c r="AX22" s="28">
        <v>3.4831301666704562E-4</v>
      </c>
      <c r="AY22" s="28">
        <v>-1.418779138200001</v>
      </c>
      <c r="AZ22" s="28">
        <v>-2.211349427142177</v>
      </c>
      <c r="BA22" s="34">
        <v>-108.3561219299667</v>
      </c>
    </row>
    <row r="23" spans="1:53" x14ac:dyDescent="0.25">
      <c r="A23" s="24">
        <v>22</v>
      </c>
      <c r="B23" s="26">
        <v>10.5</v>
      </c>
      <c r="C23" s="28">
        <v>-1.8624211211999999</v>
      </c>
      <c r="D23" s="28">
        <v>-2.883710454533333</v>
      </c>
      <c r="E23" s="28">
        <v>-3.0516901212</v>
      </c>
      <c r="F23" s="28">
        <v>-2.3859558408999999</v>
      </c>
      <c r="G23" s="28">
        <v>-3.2251951212000001</v>
      </c>
      <c r="H23" s="28">
        <v>-3.165137354533333</v>
      </c>
      <c r="I23" s="28">
        <v>-2.2550681742333332</v>
      </c>
      <c r="J23" s="28">
        <v>-2.78389198105</v>
      </c>
      <c r="K23" s="28">
        <v>-3.2024401212</v>
      </c>
      <c r="L23" s="28">
        <v>-2.9197937212</v>
      </c>
      <c r="M23" s="28">
        <v>-1.5876525606</v>
      </c>
      <c r="N23" s="28">
        <v>-1.5966525605999999</v>
      </c>
      <c r="O23" s="28">
        <v>-1.15150415453333</v>
      </c>
      <c r="P23" s="28">
        <v>-3.1356611212000001</v>
      </c>
      <c r="Q23" s="28">
        <v>-1.4150718939333331</v>
      </c>
      <c r="R23" s="28">
        <v>5.2632583329909062E-5</v>
      </c>
      <c r="S23" s="28">
        <v>-2.4703303143833342</v>
      </c>
      <c r="T23" s="28">
        <v>-3.0628471211999999</v>
      </c>
      <c r="U23" s="28">
        <v>-2.76146798105</v>
      </c>
      <c r="V23" s="28">
        <v>-2.720742045000013E-2</v>
      </c>
      <c r="W23" s="28">
        <v>-3.2333051211999999</v>
      </c>
      <c r="X23" s="28">
        <v>-3.1096907545333332</v>
      </c>
      <c r="Y23" s="28">
        <v>-2.9450781211999999</v>
      </c>
      <c r="Z23" s="28">
        <v>-3.1567801212000002</v>
      </c>
      <c r="AA23" s="28">
        <v>-1.8174330340833329</v>
      </c>
      <c r="AB23" s="28">
        <v>-3.1778117878666672</v>
      </c>
      <c r="AC23" s="28">
        <v>-2.7611479810500001</v>
      </c>
      <c r="AD23" s="28">
        <v>-3.1907617878666672</v>
      </c>
      <c r="AE23" s="28">
        <v>-2.3505108409000002</v>
      </c>
      <c r="AF23" s="28">
        <v>-3.1903051212000002</v>
      </c>
      <c r="AG23" s="28">
        <v>-1.9900121742333341</v>
      </c>
      <c r="AH23" s="28">
        <v>-3.0982451212000002</v>
      </c>
      <c r="AI23" s="28">
        <v>-2.6703536477166669</v>
      </c>
      <c r="AJ23" s="28">
        <v>-1.5783863674166669</v>
      </c>
      <c r="AK23" s="28">
        <v>-3.0160387878666661</v>
      </c>
      <c r="AL23" s="28">
        <v>-1.532819227266667</v>
      </c>
      <c r="AM23" s="28">
        <v>-2.7910912545333328</v>
      </c>
      <c r="AN23" s="28">
        <v>-3.0461917878666669</v>
      </c>
      <c r="AO23" s="28">
        <v>-3.2263051211999998</v>
      </c>
      <c r="AP23" s="28">
        <v>-3.2303051211999998</v>
      </c>
      <c r="AQ23" s="28">
        <v>-2.1513738408999998</v>
      </c>
      <c r="AR23" s="28">
        <v>-1.9974213007499999</v>
      </c>
      <c r="AS23" s="28">
        <v>-2.6908337810499998</v>
      </c>
      <c r="AT23" s="28">
        <v>-2.4084788409</v>
      </c>
      <c r="AU23" s="28">
        <v>-2.50473738105</v>
      </c>
      <c r="AV23" s="28">
        <v>-2.5634546477166662</v>
      </c>
      <c r="AW23" s="28">
        <v>-1.4794125605999999</v>
      </c>
      <c r="AX23" s="28">
        <v>-0.36361475378333319</v>
      </c>
      <c r="AY23" s="28">
        <v>-1.516427227266667</v>
      </c>
      <c r="AZ23" s="28">
        <v>-2.4026933494333331</v>
      </c>
      <c r="BA23" s="34">
        <v>-117.7319741222333</v>
      </c>
    </row>
    <row r="24" spans="1:53" x14ac:dyDescent="0.25">
      <c r="A24" s="24">
        <v>23</v>
      </c>
      <c r="B24" s="26">
        <v>11</v>
      </c>
      <c r="C24" s="28">
        <v>-2.3010485913333381</v>
      </c>
      <c r="D24" s="28">
        <v>-3.2499110246666678</v>
      </c>
      <c r="E24" s="28">
        <v>-3.199543591333335</v>
      </c>
      <c r="F24" s="28">
        <v>-2.3032054435000009</v>
      </c>
      <c r="G24" s="28">
        <v>-3.2139585913333351</v>
      </c>
      <c r="H24" s="28">
        <v>-3.0183622580000011</v>
      </c>
      <c r="I24" s="28">
        <v>-2.4214154435000008</v>
      </c>
      <c r="J24" s="28">
        <v>1.873159166662364E-4</v>
      </c>
      <c r="K24" s="28">
        <v>-3.338977924666668</v>
      </c>
      <c r="L24" s="28">
        <v>-1.9453016246666679</v>
      </c>
      <c r="M24" s="28">
        <v>-1.6384889623333341</v>
      </c>
      <c r="N24" s="28">
        <v>-1.6308222956666669</v>
      </c>
      <c r="O24" s="28">
        <v>-0.77174125799999782</v>
      </c>
      <c r="P24" s="28">
        <v>-3.094791924666668</v>
      </c>
      <c r="Q24" s="28">
        <v>-1.407226962333334</v>
      </c>
      <c r="R24" s="28">
        <v>-8.1202916666744951E-5</v>
      </c>
      <c r="S24" s="28">
        <v>-2.813499017416667</v>
      </c>
      <c r="T24" s="28">
        <v>-3.2081245913333349</v>
      </c>
      <c r="U24" s="28">
        <v>-2.8705856840833341</v>
      </c>
      <c r="V24" s="28">
        <v>-1.208602055083333</v>
      </c>
      <c r="W24" s="28">
        <v>-3.2350712580000009</v>
      </c>
      <c r="X24" s="28">
        <v>-2.822070224666668</v>
      </c>
      <c r="Y24" s="28">
        <v>-3.1559469246666678</v>
      </c>
      <c r="Z24" s="28">
        <v>-3.2772429246666679</v>
      </c>
      <c r="AA24" s="28">
        <v>-2.066611202916667</v>
      </c>
      <c r="AB24" s="28">
        <v>-3.2290245913333351</v>
      </c>
      <c r="AC24" s="28">
        <v>-2.795119184083334</v>
      </c>
      <c r="AD24" s="28">
        <v>-3.232941924666668</v>
      </c>
      <c r="AE24" s="28">
        <v>-2.4977334435000009</v>
      </c>
      <c r="AF24" s="28">
        <v>-2.018677924666668</v>
      </c>
      <c r="AG24" s="28">
        <v>-2.311648776833334</v>
      </c>
      <c r="AH24" s="28">
        <v>-3.3489779246666682</v>
      </c>
      <c r="AI24" s="28">
        <v>-1.1361483507500041</v>
      </c>
      <c r="AJ24" s="28">
        <v>-2.0067528695833339</v>
      </c>
      <c r="AK24" s="28">
        <v>-3.0508829246666682</v>
      </c>
      <c r="AL24" s="28">
        <v>-1.570288962333334</v>
      </c>
      <c r="AM24" s="28">
        <v>-1.4255089246666679</v>
      </c>
      <c r="AN24" s="28">
        <v>-3.2324785913333351</v>
      </c>
      <c r="AO24" s="28">
        <v>-3.3279779246666679</v>
      </c>
      <c r="AP24" s="28">
        <v>-3.3319779246666679</v>
      </c>
      <c r="AQ24" s="28">
        <v>-2.488733443500001</v>
      </c>
      <c r="AR24" s="28">
        <v>-2.0502782029166671</v>
      </c>
      <c r="AS24" s="28">
        <v>-2.7926123507500011</v>
      </c>
      <c r="AT24" s="28">
        <v>-2.484733443500001</v>
      </c>
      <c r="AU24" s="28">
        <v>-2.8109655174166668</v>
      </c>
      <c r="AV24" s="28">
        <v>-2.6335816840833339</v>
      </c>
      <c r="AW24" s="28">
        <v>-1.6424889623333341</v>
      </c>
      <c r="AX24" s="28">
        <v>-1.1245187217499999</v>
      </c>
      <c r="AY24" s="28">
        <v>-1.5590169623333341</v>
      </c>
      <c r="AZ24" s="28">
        <v>-2.3733778203435389</v>
      </c>
      <c r="BA24" s="34">
        <v>-116.2955131968334</v>
      </c>
    </row>
    <row r="25" spans="1:53" x14ac:dyDescent="0.25">
      <c r="A25" s="24">
        <v>24</v>
      </c>
      <c r="B25" s="26">
        <v>11.5</v>
      </c>
      <c r="C25" s="28">
        <v>-3.0157230421333332</v>
      </c>
      <c r="D25" s="28">
        <v>-3.1715342754666671</v>
      </c>
      <c r="E25" s="28">
        <v>-3.3426607088</v>
      </c>
      <c r="F25" s="28">
        <v>-2.3783850316000001</v>
      </c>
      <c r="G25" s="28">
        <v>-2.5032230421333339</v>
      </c>
      <c r="H25" s="28">
        <v>-3.0719443754666669</v>
      </c>
      <c r="I25" s="28">
        <v>-2.3292743649333332</v>
      </c>
      <c r="J25" s="28">
        <v>-0.60380420353332998</v>
      </c>
      <c r="K25" s="28">
        <v>-3.2301607088000002</v>
      </c>
      <c r="L25" s="28">
        <v>-3.1980500421333331</v>
      </c>
      <c r="M25" s="28">
        <v>-1.6009603544</v>
      </c>
      <c r="N25" s="28">
        <v>-0.64292668773332995</v>
      </c>
      <c r="O25" s="28">
        <v>-2.6969477087999998</v>
      </c>
      <c r="P25" s="28">
        <v>-3.3591587087999999</v>
      </c>
      <c r="Q25" s="28">
        <v>-1.537924687733333</v>
      </c>
      <c r="R25" s="28">
        <v>2.088069999997832E-4</v>
      </c>
      <c r="S25" s="28">
        <v>-2.7939898701999999</v>
      </c>
      <c r="T25" s="28">
        <v>-3.3345327087999999</v>
      </c>
      <c r="U25" s="28">
        <v>-2.9182548702000002</v>
      </c>
      <c r="V25" s="28">
        <v>-1.0097108491333331</v>
      </c>
      <c r="W25" s="28">
        <v>-3.3795667088000001</v>
      </c>
      <c r="X25" s="28">
        <v>-2.4316650088</v>
      </c>
      <c r="Y25" s="28">
        <v>-2.0676470421333302</v>
      </c>
      <c r="Z25" s="28">
        <v>-3.2701547087999998</v>
      </c>
      <c r="AA25" s="28">
        <v>-1.894333526333333</v>
      </c>
      <c r="AB25" s="28">
        <v>-3.3136411088000002</v>
      </c>
      <c r="AC25" s="28">
        <v>-2.8322289035333328</v>
      </c>
      <c r="AD25" s="28">
        <v>-3.3169747088000001</v>
      </c>
      <c r="AE25" s="28">
        <v>-2.5311750316000001</v>
      </c>
      <c r="AF25" s="28">
        <v>-3.2510307088000001</v>
      </c>
      <c r="AG25" s="28">
        <v>-2.1835240316000002</v>
      </c>
      <c r="AH25" s="28">
        <v>-3.3488487087999999</v>
      </c>
      <c r="AI25" s="28">
        <v>-0.91989253686667016</v>
      </c>
      <c r="AJ25" s="28">
        <v>-2.1024791930000002</v>
      </c>
      <c r="AK25" s="28">
        <v>-2.3399500421333301</v>
      </c>
      <c r="AL25" s="28">
        <v>-1.6727833543999999</v>
      </c>
      <c r="AM25" s="28">
        <v>-0.41186670879999993</v>
      </c>
      <c r="AN25" s="28">
        <v>-3.2511323754666668</v>
      </c>
      <c r="AO25" s="28">
        <v>-3.2360667088000001</v>
      </c>
      <c r="AP25" s="28">
        <v>-3.3765667088</v>
      </c>
      <c r="AQ25" s="28">
        <v>-2.2950376316000001</v>
      </c>
      <c r="AR25" s="28">
        <v>-2.0467178596666669</v>
      </c>
      <c r="AS25" s="28">
        <v>-2.9498108701999999</v>
      </c>
      <c r="AT25" s="28">
        <v>-2.5181750315999998</v>
      </c>
      <c r="AU25" s="28">
        <v>-2.7231692035333328</v>
      </c>
      <c r="AV25" s="28">
        <v>-2.8026508701999999</v>
      </c>
      <c r="AW25" s="28">
        <v>-1.566172021066667</v>
      </c>
      <c r="AX25" s="28">
        <v>-1.0844105157999999</v>
      </c>
      <c r="AY25" s="28">
        <v>-1.5801860210666669</v>
      </c>
      <c r="AZ25" s="28">
        <v>-2.396669699665305</v>
      </c>
      <c r="BA25" s="34">
        <v>-117.4368152836</v>
      </c>
    </row>
    <row r="26" spans="1:53" x14ac:dyDescent="0.25">
      <c r="A26" s="24">
        <v>25</v>
      </c>
      <c r="B26" s="26">
        <v>12</v>
      </c>
      <c r="C26" s="28">
        <v>-3.1812603290666681</v>
      </c>
      <c r="D26" s="28">
        <v>-3.2632919957333351</v>
      </c>
      <c r="E26" s="28">
        <v>-3.2876259957333351</v>
      </c>
      <c r="F26" s="28">
        <v>-2.3880709968000011</v>
      </c>
      <c r="G26" s="28">
        <v>-3.394481329066668</v>
      </c>
      <c r="H26" s="28">
        <v>-3.300321329066668</v>
      </c>
      <c r="I26" s="28">
        <v>-2.4091164968000012</v>
      </c>
      <c r="J26" s="28">
        <v>-2.3756932962666681</v>
      </c>
      <c r="K26" s="28">
        <v>-3.2744173290666678</v>
      </c>
      <c r="L26" s="28">
        <v>-2.9915519957333352</v>
      </c>
      <c r="M26" s="28">
        <v>-1.6637216645333339</v>
      </c>
      <c r="N26" s="28">
        <v>-1.5167143978666671</v>
      </c>
      <c r="O26" s="28">
        <v>-3.2030306624000011</v>
      </c>
      <c r="P26" s="28">
        <v>-3.3109323290666679</v>
      </c>
      <c r="Q26" s="28">
        <v>-1.594464664533334</v>
      </c>
      <c r="R26" s="28">
        <v>-1.5344741639999999</v>
      </c>
      <c r="S26" s="28">
        <v>-2.4748984962666678</v>
      </c>
      <c r="T26" s="28">
        <v>-3.2690573290666678</v>
      </c>
      <c r="U26" s="28">
        <v>-2.7414601629333348</v>
      </c>
      <c r="V26" s="28">
        <v>-1.2569304984000009</v>
      </c>
      <c r="W26" s="28">
        <v>-3.3475233290666679</v>
      </c>
      <c r="X26" s="28">
        <v>-3.3749648957333349</v>
      </c>
      <c r="Y26" s="28">
        <v>-3.1774339957333351</v>
      </c>
      <c r="Z26" s="28">
        <v>-3.3787763290666679</v>
      </c>
      <c r="AA26" s="28">
        <v>-2.0401198306666668</v>
      </c>
      <c r="AB26" s="28">
        <v>-3.0328596624000008</v>
      </c>
      <c r="AC26" s="28">
        <v>-2.9581711629333349</v>
      </c>
      <c r="AD26" s="28">
        <v>-3.382481329066668</v>
      </c>
      <c r="AE26" s="28">
        <v>-2.5398609968000012</v>
      </c>
      <c r="AF26" s="28">
        <v>-3.1955129957333348</v>
      </c>
      <c r="AG26" s="28">
        <v>-1.055633663466671</v>
      </c>
      <c r="AH26" s="28">
        <v>-3.2872333290666682</v>
      </c>
      <c r="AI26" s="28">
        <v>-2.3716308296000008</v>
      </c>
      <c r="AJ26" s="28">
        <v>-2.1105508306666669</v>
      </c>
      <c r="AK26" s="28">
        <v>-2.9967429957333338</v>
      </c>
      <c r="AL26" s="28">
        <v>-1.679240664533334</v>
      </c>
      <c r="AM26" s="28">
        <v>-1.8343779957333379</v>
      </c>
      <c r="AN26" s="28">
        <v>-3.2816183290666681</v>
      </c>
      <c r="AO26" s="28">
        <v>-3.3854813290666681</v>
      </c>
      <c r="AP26" s="28">
        <v>-3.3894813290666681</v>
      </c>
      <c r="AQ26" s="28">
        <v>-2.5123140968000008</v>
      </c>
      <c r="AR26" s="28">
        <v>-1.9993308306666671</v>
      </c>
      <c r="AS26" s="28">
        <v>-2.835266496266668</v>
      </c>
      <c r="AT26" s="28">
        <v>-2.5278609968000012</v>
      </c>
      <c r="AU26" s="28">
        <v>-2.887036162933335</v>
      </c>
      <c r="AV26" s="28">
        <v>-2.9621711629333349</v>
      </c>
      <c r="AW26" s="28">
        <v>-1.502908664533334</v>
      </c>
      <c r="AX26" s="28">
        <v>-0.86886283173333401</v>
      </c>
      <c r="AY26" s="28">
        <v>-1.4997926645333339</v>
      </c>
      <c r="AZ26" s="28">
        <v>-2.6091174529142869</v>
      </c>
      <c r="BA26" s="34">
        <v>-127.8467551928001</v>
      </c>
    </row>
    <row r="27" spans="1:53" x14ac:dyDescent="0.25">
      <c r="A27" s="24">
        <v>26</v>
      </c>
      <c r="B27" s="26">
        <v>12.5</v>
      </c>
      <c r="C27" s="28">
        <v>-3.3190511053333331</v>
      </c>
      <c r="D27" s="28">
        <v>-3.3153643386666669</v>
      </c>
      <c r="E27" s="28">
        <v>-3.2269076719999998</v>
      </c>
      <c r="F27" s="28">
        <v>-2.4214815873333331</v>
      </c>
      <c r="G27" s="28">
        <v>-3.0667236720000002</v>
      </c>
      <c r="H27" s="28">
        <v>-3.2417036719999999</v>
      </c>
      <c r="I27" s="28">
        <v>-2.3674942539999999</v>
      </c>
      <c r="J27" s="28">
        <v>-2.8885493963333331</v>
      </c>
      <c r="K27" s="28">
        <v>-2.5942396720000001</v>
      </c>
      <c r="L27" s="28">
        <v>-1.5563166719999999</v>
      </c>
      <c r="M27" s="28">
        <v>-1.6551608360000001</v>
      </c>
      <c r="N27" s="28">
        <v>-1.548104702666667</v>
      </c>
      <c r="O27" s="28">
        <v>-2.885191338666667</v>
      </c>
      <c r="P27" s="28">
        <v>-3.165307338666667</v>
      </c>
      <c r="Q27" s="28">
        <v>-1.493750836</v>
      </c>
      <c r="R27" s="28">
        <v>-2.0814510450000001</v>
      </c>
      <c r="S27" s="28">
        <v>-2.423294129666667</v>
      </c>
      <c r="T27" s="28">
        <v>-3.3638790053333332</v>
      </c>
      <c r="U27" s="28">
        <v>-2.9300504630000002</v>
      </c>
      <c r="V27" s="28">
        <v>-1.1328172936666669</v>
      </c>
      <c r="W27" s="28">
        <v>-3.3133730053333328</v>
      </c>
      <c r="X27" s="28">
        <v>-3.3125828386666671</v>
      </c>
      <c r="Y27" s="28">
        <v>-3.266855005333333</v>
      </c>
      <c r="Z27" s="28">
        <v>-3.302266672</v>
      </c>
      <c r="AA27" s="28">
        <v>-1.9737383783333331</v>
      </c>
      <c r="AB27" s="28">
        <v>-3.271251672</v>
      </c>
      <c r="AC27" s="28">
        <v>-2.8494164629999998</v>
      </c>
      <c r="AD27" s="28">
        <v>-3.2136936719999998</v>
      </c>
      <c r="AE27" s="28">
        <v>-2.4603852540000002</v>
      </c>
      <c r="AF27" s="28">
        <v>-3.3185306720000001</v>
      </c>
      <c r="AG27" s="28">
        <v>-2.2504769206666668</v>
      </c>
      <c r="AH27" s="28">
        <v>-3.3823216719999998</v>
      </c>
      <c r="AI27" s="28">
        <v>-2.5863494629999999</v>
      </c>
      <c r="AJ27" s="28">
        <v>-2.0954510449999999</v>
      </c>
      <c r="AK27" s="28">
        <v>-2.7457583386666671</v>
      </c>
      <c r="AL27" s="28">
        <v>-1.5268108359999999</v>
      </c>
      <c r="AM27" s="28">
        <v>-3.3693216719999999</v>
      </c>
      <c r="AN27" s="28">
        <v>-3.1698024720000002</v>
      </c>
      <c r="AO27" s="28">
        <v>-3.3613216719999999</v>
      </c>
      <c r="AP27" s="28">
        <v>-3.3653216719999999</v>
      </c>
      <c r="AQ27" s="28">
        <v>-2.5114266540000001</v>
      </c>
      <c r="AR27" s="28">
        <v>-2.0735290449999999</v>
      </c>
      <c r="AS27" s="28">
        <v>-2.9015864630000001</v>
      </c>
      <c r="AT27" s="28">
        <v>-1.24335758733333</v>
      </c>
      <c r="AU27" s="28">
        <v>-2.7257741296666671</v>
      </c>
      <c r="AV27" s="28">
        <v>-2.7783581296666671</v>
      </c>
      <c r="AW27" s="28">
        <v>-1.6311148360000001</v>
      </c>
      <c r="AX27" s="28">
        <v>-0.49204062700000001</v>
      </c>
      <c r="AY27" s="28">
        <v>-1.376720169333334</v>
      </c>
      <c r="AZ27" s="28">
        <v>-2.5825668585170072</v>
      </c>
      <c r="BA27" s="34">
        <v>-126.54577606733331</v>
      </c>
    </row>
    <row r="28" spans="1:53" x14ac:dyDescent="0.25">
      <c r="A28" s="24">
        <v>27</v>
      </c>
      <c r="B28" s="26">
        <v>13</v>
      </c>
      <c r="C28" s="28">
        <v>-2.8686946153333328</v>
      </c>
      <c r="D28" s="28">
        <v>-2.7645941486666659</v>
      </c>
      <c r="E28" s="28">
        <v>-3.1274784819999999</v>
      </c>
      <c r="F28" s="28">
        <v>-1.1664931948333299</v>
      </c>
      <c r="G28" s="28">
        <v>-3.1891584819999999</v>
      </c>
      <c r="H28" s="28">
        <v>-3.284158482</v>
      </c>
      <c r="I28" s="28">
        <v>-2.1671118615</v>
      </c>
      <c r="J28" s="28">
        <v>-2.8034176717500001</v>
      </c>
      <c r="K28" s="28">
        <v>-2.8394288153333331</v>
      </c>
      <c r="L28" s="28">
        <v>-2.3761384819999991</v>
      </c>
      <c r="M28" s="28">
        <v>-1.568832241</v>
      </c>
      <c r="N28" s="28">
        <v>-1.5168192410000001</v>
      </c>
      <c r="O28" s="28">
        <v>3.6151800000017159E-4</v>
      </c>
      <c r="P28" s="28">
        <v>-3.1806988153333329</v>
      </c>
      <c r="Q28" s="28">
        <v>-1.5861232409999999</v>
      </c>
      <c r="R28" s="28">
        <v>-2.03072405125</v>
      </c>
      <c r="S28" s="28">
        <v>-2.3799536717500001</v>
      </c>
      <c r="T28" s="28">
        <v>-3.0961968153333328</v>
      </c>
      <c r="U28" s="28">
        <v>-2.7941276717500001</v>
      </c>
      <c r="V28" s="28">
        <v>-1.0808544307500001</v>
      </c>
      <c r="W28" s="28">
        <v>-3.2871584820000002</v>
      </c>
      <c r="X28" s="28">
        <v>-3.1964421486666672</v>
      </c>
      <c r="Y28" s="28">
        <v>-3.1334444819999998</v>
      </c>
      <c r="Z28" s="28">
        <v>-3.2420434820000001</v>
      </c>
      <c r="AA28" s="28">
        <v>-1.8878600512499999</v>
      </c>
      <c r="AB28" s="28">
        <v>-3.2774684820000002</v>
      </c>
      <c r="AC28" s="28">
        <v>-2.7783986717500002</v>
      </c>
      <c r="AD28" s="28">
        <v>-3.1469851486666669</v>
      </c>
      <c r="AE28" s="28">
        <v>-2.2918621948333331</v>
      </c>
      <c r="AF28" s="28">
        <v>-3.284158482</v>
      </c>
      <c r="AG28" s="28">
        <v>-2.0414328615000001</v>
      </c>
      <c r="AH28" s="28">
        <v>-3.3011584819999999</v>
      </c>
      <c r="AI28" s="28">
        <v>-2.5392770050833331</v>
      </c>
      <c r="AJ28" s="28">
        <v>-1.9144840512500001</v>
      </c>
      <c r="AK28" s="28">
        <v>-1.847617482</v>
      </c>
      <c r="AL28" s="28">
        <v>-1.613221241</v>
      </c>
      <c r="AM28" s="28">
        <v>-3.0609184819999999</v>
      </c>
      <c r="AN28" s="28">
        <v>-3.036854348666667</v>
      </c>
      <c r="AO28" s="28">
        <v>-3.1492491486666672</v>
      </c>
      <c r="AP28" s="28">
        <v>-3.284158482</v>
      </c>
      <c r="AQ28" s="28">
        <v>-2.4528688614999998</v>
      </c>
      <c r="AR28" s="28">
        <v>-1.7258757179166671</v>
      </c>
      <c r="AS28" s="28">
        <v>-2.832210338416667</v>
      </c>
      <c r="AT28" s="28">
        <v>-1.4326188615</v>
      </c>
      <c r="AU28" s="28">
        <v>-2.712721005083333</v>
      </c>
      <c r="AV28" s="28">
        <v>-2.8483503384166671</v>
      </c>
      <c r="AW28" s="28">
        <v>-1.1822809076666669</v>
      </c>
      <c r="AX28" s="28">
        <v>-1.0716477640833331</v>
      </c>
      <c r="AY28" s="28">
        <v>-1.249288574333334</v>
      </c>
      <c r="AZ28" s="28">
        <v>-2.421279560710885</v>
      </c>
      <c r="BA28" s="34">
        <v>-118.6426984748334</v>
      </c>
    </row>
    <row r="29" spans="1:53" x14ac:dyDescent="0.25">
      <c r="A29" s="24">
        <v>28</v>
      </c>
      <c r="B29" s="26">
        <v>13.5</v>
      </c>
      <c r="C29" s="28">
        <v>-3.103495127466668</v>
      </c>
      <c r="D29" s="28">
        <v>-3.1596903274666679</v>
      </c>
      <c r="E29" s="28">
        <v>-3.0320016608000011</v>
      </c>
      <c r="F29" s="28">
        <v>-1.5612407456000019</v>
      </c>
      <c r="G29" s="28">
        <v>-2.9461276608000011</v>
      </c>
      <c r="H29" s="28">
        <v>-3.0711743274666681</v>
      </c>
      <c r="I29" s="28">
        <v>-2.262763412266668</v>
      </c>
      <c r="J29" s="28">
        <v>-2.7550088698666682</v>
      </c>
      <c r="K29" s="28">
        <v>-2.8373886608000021</v>
      </c>
      <c r="L29" s="28">
        <v>-2.7635856608000009</v>
      </c>
      <c r="M29" s="28">
        <v>-1.535072163733334</v>
      </c>
      <c r="N29" s="28">
        <v>-1.3267251637333339</v>
      </c>
      <c r="O29" s="28">
        <v>-1.4166079999800021E-4</v>
      </c>
      <c r="P29" s="28">
        <v>-2.304021660800001</v>
      </c>
      <c r="Q29" s="28">
        <v>-1.515347163733334</v>
      </c>
      <c r="R29" s="28">
        <v>-1.840315621333334</v>
      </c>
      <c r="S29" s="28">
        <v>-2.5130308698666681</v>
      </c>
      <c r="T29" s="28">
        <v>-3.0634273274666679</v>
      </c>
      <c r="U29" s="28">
        <v>-2.6058615365333351</v>
      </c>
      <c r="V29" s="28">
        <v>-0.667449039466667</v>
      </c>
      <c r="W29" s="28">
        <v>-3.0142706608000012</v>
      </c>
      <c r="X29" s="28">
        <v>-3.125576394133335</v>
      </c>
      <c r="Y29" s="28">
        <v>-3.1633343274666679</v>
      </c>
      <c r="Z29" s="28">
        <v>-3.0976346608000012</v>
      </c>
      <c r="AA29" s="28">
        <v>-1.959333954666667</v>
      </c>
      <c r="AB29" s="28">
        <v>-3.0163343274666681</v>
      </c>
      <c r="AC29" s="28">
        <v>-2.7541538698666681</v>
      </c>
      <c r="AD29" s="28">
        <v>-2.7962336608000009</v>
      </c>
      <c r="AE29" s="28">
        <v>-2.0457614122666681</v>
      </c>
      <c r="AF29" s="28">
        <v>-3.1603343274666682</v>
      </c>
      <c r="AG29" s="28">
        <v>-1.9460887456000009</v>
      </c>
      <c r="AH29" s="28">
        <v>-3.010701660800001</v>
      </c>
      <c r="AI29" s="28">
        <v>-2.1400835365333348</v>
      </c>
      <c r="AJ29" s="28">
        <v>-1.9513672879999999</v>
      </c>
      <c r="AK29" s="28">
        <v>-1.194224327466668</v>
      </c>
      <c r="AL29" s="28">
        <v>-1.435140030400001</v>
      </c>
      <c r="AM29" s="28">
        <v>-3.022224327466668</v>
      </c>
      <c r="AN29" s="28">
        <v>-2.332367127466668</v>
      </c>
      <c r="AO29" s="28">
        <v>-3.0804043274666681</v>
      </c>
      <c r="AP29" s="28">
        <v>-3.1603343274666682</v>
      </c>
      <c r="AQ29" s="28">
        <v>-2.3600007456000012</v>
      </c>
      <c r="AR29" s="28">
        <v>-0.402080621333337</v>
      </c>
      <c r="AS29" s="28">
        <v>-2.6672412032000019</v>
      </c>
      <c r="AT29" s="28">
        <v>-2.0764174122666681</v>
      </c>
      <c r="AU29" s="28">
        <v>-2.646699536533335</v>
      </c>
      <c r="AV29" s="28">
        <v>-2.6336555365333352</v>
      </c>
      <c r="AW29" s="28">
        <v>-1.4435284970666671</v>
      </c>
      <c r="AX29" s="28">
        <v>-0.88060770613333306</v>
      </c>
      <c r="AY29" s="28">
        <v>-1.4720611637333341</v>
      </c>
      <c r="AZ29" s="28">
        <v>-2.3031033546448989</v>
      </c>
      <c r="BA29" s="34">
        <v>-112.8520643776001</v>
      </c>
    </row>
    <row r="30" spans="1:53" x14ac:dyDescent="0.25">
      <c r="A30" s="24">
        <v>29</v>
      </c>
      <c r="B30" s="26">
        <v>14</v>
      </c>
      <c r="C30" s="28">
        <v>-2.8006008931999999</v>
      </c>
      <c r="D30" s="28">
        <v>-2.9201358931999999</v>
      </c>
      <c r="E30" s="28">
        <v>-2.9192185598666671</v>
      </c>
      <c r="F30" s="28">
        <v>-2.075476853233333</v>
      </c>
      <c r="G30" s="28">
        <v>-3.0042932265333331</v>
      </c>
      <c r="H30" s="28">
        <v>-2.8888898932</v>
      </c>
      <c r="I30" s="28">
        <v>-1.8411429199</v>
      </c>
      <c r="J30" s="28">
        <v>-2.56372140655</v>
      </c>
      <c r="K30" s="28">
        <v>-3.0153035598666671</v>
      </c>
      <c r="L30" s="28">
        <v>-2.6633965598666669</v>
      </c>
      <c r="M30" s="28">
        <v>-1.4294879465999999</v>
      </c>
      <c r="N30" s="28">
        <v>-1.4772879466</v>
      </c>
      <c r="O30" s="28">
        <v>-2.4977852265333329</v>
      </c>
      <c r="P30" s="28">
        <v>-2.6506678932000001</v>
      </c>
      <c r="Q30" s="28">
        <v>-1.3173439466000001</v>
      </c>
      <c r="R30" s="28">
        <v>-1.100411099916667</v>
      </c>
      <c r="S30" s="28">
        <v>-2.22372940655</v>
      </c>
      <c r="T30" s="28">
        <v>-2.9273105598666671</v>
      </c>
      <c r="U30" s="28">
        <v>-2.4457927398833328</v>
      </c>
      <c r="V30" s="28">
        <v>-0.69297212661666707</v>
      </c>
      <c r="W30" s="28">
        <v>-2.9404798932</v>
      </c>
      <c r="X30" s="28">
        <v>-2.0935158265333329</v>
      </c>
      <c r="Y30" s="28">
        <v>-2.9187812265333331</v>
      </c>
      <c r="Z30" s="28">
        <v>-2.842099559866667</v>
      </c>
      <c r="AA30" s="28">
        <v>-1.6380287665833331</v>
      </c>
      <c r="AB30" s="28">
        <v>-2.8569932265333331</v>
      </c>
      <c r="AC30" s="28">
        <v>-2.4929144065500002</v>
      </c>
      <c r="AD30" s="28">
        <v>-2.8578945598666672</v>
      </c>
      <c r="AE30" s="28">
        <v>-2.0563829198999999</v>
      </c>
      <c r="AF30" s="28">
        <v>-3.0125078932</v>
      </c>
      <c r="AG30" s="28">
        <v>-2.1989613865666668</v>
      </c>
      <c r="AH30" s="28">
        <v>-2.7636442932</v>
      </c>
      <c r="AI30" s="28">
        <v>-2.5790440732166671</v>
      </c>
      <c r="AJ30" s="28">
        <v>-1.7895630665833331</v>
      </c>
      <c r="AK30" s="28">
        <v>-1.545598666600756E-4</v>
      </c>
      <c r="AL30" s="28">
        <v>-1.3965699465999999</v>
      </c>
      <c r="AM30" s="28">
        <v>-3.015345759866666</v>
      </c>
      <c r="AN30" s="28">
        <v>-2.8818378932000002</v>
      </c>
      <c r="AO30" s="28">
        <v>-2.9753382265333328</v>
      </c>
      <c r="AP30" s="28">
        <v>-3.0125078932</v>
      </c>
      <c r="AQ30" s="28">
        <v>-2.2491309198999998</v>
      </c>
      <c r="AR30" s="28">
        <v>-1.696727099916667</v>
      </c>
      <c r="AS30" s="28">
        <v>-2.57154940655</v>
      </c>
      <c r="AT30" s="28">
        <v>-1.7182259199000001</v>
      </c>
      <c r="AU30" s="28">
        <v>-2.40413840655</v>
      </c>
      <c r="AV30" s="28">
        <v>-2.5759947398833329</v>
      </c>
      <c r="AW30" s="28">
        <v>-1.3890769465999999</v>
      </c>
      <c r="AX30" s="28">
        <v>-1.0582123932833329</v>
      </c>
      <c r="AY30" s="28">
        <v>-1.4997539466000001</v>
      </c>
      <c r="AZ30" s="28">
        <v>-2.2640886492768701</v>
      </c>
      <c r="BA30" s="34">
        <v>-110.9403438145666</v>
      </c>
    </row>
    <row r="31" spans="1:53" x14ac:dyDescent="0.25">
      <c r="A31" s="24">
        <v>30</v>
      </c>
      <c r="B31" s="26">
        <v>14.5</v>
      </c>
      <c r="C31" s="28">
        <v>-2.6824988397333351</v>
      </c>
      <c r="D31" s="28">
        <v>-2.778682173066668</v>
      </c>
      <c r="E31" s="28">
        <v>-2.764566173066668</v>
      </c>
      <c r="F31" s="28">
        <v>-2.0231084964666679</v>
      </c>
      <c r="G31" s="28">
        <v>-2.7758818397333349</v>
      </c>
      <c r="H31" s="28">
        <v>-2.7360301730666681</v>
      </c>
      <c r="I31" s="28">
        <v>-0.87298262980000096</v>
      </c>
      <c r="J31" s="28">
        <v>-2.4603704014333352</v>
      </c>
      <c r="K31" s="28">
        <v>-2.7722026397333348</v>
      </c>
      <c r="L31" s="28">
        <v>-2.3597348397333349</v>
      </c>
      <c r="M31" s="28">
        <v>-1.371019086533334</v>
      </c>
      <c r="N31" s="28">
        <v>-1.1520490865333339</v>
      </c>
      <c r="O31" s="28">
        <v>-2.4896438397333349</v>
      </c>
      <c r="P31" s="28">
        <v>-2.1657495064000019</v>
      </c>
      <c r="Q31" s="28">
        <v>-1.3123190865333341</v>
      </c>
      <c r="R31" s="28">
        <v>-1.7438688581666679</v>
      </c>
      <c r="S31" s="28">
        <v>-2.2231330681000019</v>
      </c>
      <c r="T31" s="28">
        <v>-2.6582711730666682</v>
      </c>
      <c r="U31" s="28">
        <v>-2.1392134014333348</v>
      </c>
      <c r="V31" s="28">
        <v>-0.73017698156666699</v>
      </c>
      <c r="W31" s="28">
        <v>-2.6522671730666678</v>
      </c>
      <c r="X31" s="28">
        <v>-2.751704839733335</v>
      </c>
      <c r="Y31" s="28">
        <v>-2.568762506400001</v>
      </c>
      <c r="Z31" s="28">
        <v>-2.7061581730666679</v>
      </c>
      <c r="AA31" s="28">
        <v>-1.7162058581666679</v>
      </c>
      <c r="AB31" s="28">
        <v>-2.6054558397333349</v>
      </c>
      <c r="AC31" s="28">
        <v>-2.424591401433335</v>
      </c>
      <c r="AD31" s="28">
        <v>-2.638383906400001</v>
      </c>
      <c r="AE31" s="28">
        <v>-1.810182629800001</v>
      </c>
      <c r="AF31" s="28">
        <v>-2.8251901730666682</v>
      </c>
      <c r="AG31" s="28">
        <v>-1.9673576964666679</v>
      </c>
      <c r="AH31" s="28">
        <v>-1.671236773066668</v>
      </c>
      <c r="AI31" s="28">
        <v>-2.2333484014333349</v>
      </c>
      <c r="AJ31" s="28">
        <v>-1.5362285248333341</v>
      </c>
      <c r="AK31" s="28">
        <v>-0.61184017306666827</v>
      </c>
      <c r="AL31" s="28">
        <v>-1.397095086533334</v>
      </c>
      <c r="AM31" s="28">
        <v>-2.8071071730666679</v>
      </c>
      <c r="AN31" s="28">
        <v>-2.5588568397333349</v>
      </c>
      <c r="AO31" s="28">
        <v>-2.5640668397333339</v>
      </c>
      <c r="AP31" s="28">
        <v>-2.8251901730666682</v>
      </c>
      <c r="AQ31" s="28">
        <v>-2.1086426298000012</v>
      </c>
      <c r="AR31" s="28">
        <v>-1.5674388581666681</v>
      </c>
      <c r="AS31" s="28">
        <v>-2.3415117347666681</v>
      </c>
      <c r="AT31" s="28">
        <v>-1.9241022964666681</v>
      </c>
      <c r="AU31" s="28">
        <v>-2.4360154014333348</v>
      </c>
      <c r="AV31" s="28">
        <v>-2.468416401433335</v>
      </c>
      <c r="AW31" s="28">
        <v>-4.1075320000397148E-4</v>
      </c>
      <c r="AX31" s="28">
        <v>-0.2154707815666661</v>
      </c>
      <c r="AY31" s="28">
        <v>-1.3511777532000011</v>
      </c>
      <c r="AZ31" s="28">
        <v>-2.071345287465308</v>
      </c>
      <c r="BA31" s="34">
        <v>-101.4959190858001</v>
      </c>
    </row>
    <row r="32" spans="1:53" x14ac:dyDescent="0.25">
      <c r="A32" s="24">
        <v>31</v>
      </c>
      <c r="B32" s="26">
        <v>15</v>
      </c>
      <c r="C32" s="28">
        <v>-2.279067828133333</v>
      </c>
      <c r="D32" s="28">
        <v>-2.6331284948000002</v>
      </c>
      <c r="E32" s="28">
        <v>-2.6331284948000002</v>
      </c>
      <c r="F32" s="28">
        <v>-1.8459634377666669</v>
      </c>
      <c r="G32" s="28">
        <v>-2.3497718281333331</v>
      </c>
      <c r="H32" s="28">
        <v>-2.6261284948000001</v>
      </c>
      <c r="I32" s="28">
        <v>-1.7344640377666669</v>
      </c>
      <c r="J32" s="28">
        <v>-2.29123743295</v>
      </c>
      <c r="K32" s="28">
        <v>-2.5220615614666668</v>
      </c>
      <c r="L32" s="28">
        <v>-2.0529938281333329</v>
      </c>
      <c r="M32" s="28">
        <v>-1.2222222474</v>
      </c>
      <c r="N32" s="28">
        <v>-1.2306766473999999</v>
      </c>
      <c r="O32" s="28">
        <v>-4.364948000001867E-4</v>
      </c>
      <c r="P32" s="28">
        <v>-2.5017424281333329</v>
      </c>
      <c r="Q32" s="28">
        <v>-1.2925642474000001</v>
      </c>
      <c r="R32" s="28">
        <v>-1.5545939759166669</v>
      </c>
      <c r="S32" s="28">
        <v>-2.0419087662833331</v>
      </c>
      <c r="T32" s="28">
        <v>-2.508178828133333</v>
      </c>
      <c r="U32" s="28">
        <v>-2.013987766283333</v>
      </c>
      <c r="V32" s="28">
        <v>-0.64239018554999994</v>
      </c>
      <c r="W32" s="28">
        <v>-2.3511612947999998</v>
      </c>
      <c r="X32" s="28">
        <v>-2.5312618281333328</v>
      </c>
      <c r="Y32" s="28">
        <v>-1.42016582813333</v>
      </c>
      <c r="Z32" s="28">
        <v>-2.6311284948</v>
      </c>
      <c r="AA32" s="28">
        <v>-1.54370230925</v>
      </c>
      <c r="AB32" s="28">
        <v>-2.5970701614666671</v>
      </c>
      <c r="AC32" s="28">
        <v>-2.2493587996166671</v>
      </c>
      <c r="AD32" s="28">
        <v>-2.5533884948000001</v>
      </c>
      <c r="AE32" s="28">
        <v>-1.7447723711000001</v>
      </c>
      <c r="AF32" s="28">
        <v>-2.6261284948000001</v>
      </c>
      <c r="AG32" s="28">
        <v>-1.503031037766666</v>
      </c>
      <c r="AH32" s="28">
        <v>-2.5882572948</v>
      </c>
      <c r="AI32" s="28">
        <v>-2.1420927662833331</v>
      </c>
      <c r="AJ32" s="28">
        <v>-1.4709909759166671</v>
      </c>
      <c r="AK32" s="28">
        <v>-2.6027018281333332</v>
      </c>
      <c r="AL32" s="28">
        <v>-2.9091406667003378E-4</v>
      </c>
      <c r="AM32" s="28">
        <v>-2.4343503614666671</v>
      </c>
      <c r="AN32" s="28">
        <v>-2.4025724947999998</v>
      </c>
      <c r="AO32" s="28">
        <v>-2.5927191614666669</v>
      </c>
      <c r="AP32" s="28">
        <v>-2.6261284948000001</v>
      </c>
      <c r="AQ32" s="28">
        <v>-1.9593463711000001</v>
      </c>
      <c r="AR32" s="28">
        <v>-1.5409786425833329</v>
      </c>
      <c r="AS32" s="28">
        <v>-2.3102374329500002</v>
      </c>
      <c r="AT32" s="28">
        <v>-1.5053933711</v>
      </c>
      <c r="AU32" s="28">
        <v>-0.77903676628332996</v>
      </c>
      <c r="AV32" s="28">
        <v>-2.1099007662833329</v>
      </c>
      <c r="AW32" s="28">
        <v>4.1575259999948599E-4</v>
      </c>
      <c r="AX32" s="28">
        <v>-0.51068151888333291</v>
      </c>
      <c r="AY32" s="28">
        <v>-0.96055891406666705</v>
      </c>
      <c r="AZ32" s="28">
        <v>-1.882931397206121</v>
      </c>
      <c r="BA32" s="34">
        <v>-92.263638463099952</v>
      </c>
    </row>
    <row r="33" spans="1:53" x14ac:dyDescent="0.25">
      <c r="A33" s="24">
        <v>32</v>
      </c>
      <c r="B33" s="26">
        <v>15.5</v>
      </c>
      <c r="C33" s="28">
        <v>-2.155797187200001</v>
      </c>
      <c r="D33" s="28">
        <v>-2.3140298538666682</v>
      </c>
      <c r="E33" s="28">
        <v>-2.1461225205333352</v>
      </c>
      <c r="F33" s="28">
        <v>-1.434025223733334</v>
      </c>
      <c r="G33" s="28">
        <v>-2.2048011872000011</v>
      </c>
      <c r="H33" s="28">
        <v>-2.1738058538666678</v>
      </c>
      <c r="I33" s="28">
        <v>-1.395776557066668</v>
      </c>
      <c r="J33" s="28">
        <v>-1.9996698721333339</v>
      </c>
      <c r="K33" s="28">
        <v>-2.3851751872000011</v>
      </c>
      <c r="L33" s="28">
        <v>-2.1249511872000011</v>
      </c>
      <c r="M33" s="28">
        <v>-1.100516593600001</v>
      </c>
      <c r="N33" s="28">
        <v>-1.041194393600001</v>
      </c>
      <c r="O33" s="28">
        <v>2.6281280000195467E-4</v>
      </c>
      <c r="P33" s="28">
        <v>-2.2726592538666681</v>
      </c>
      <c r="Q33" s="28">
        <v>-1.172791926933334</v>
      </c>
      <c r="R33" s="28">
        <v>1.3424666661987489E-5</v>
      </c>
      <c r="S33" s="28">
        <v>-1.6845795388000011</v>
      </c>
      <c r="T33" s="28">
        <v>-2.2602561872000009</v>
      </c>
      <c r="U33" s="28">
        <v>-2.0779818721333339</v>
      </c>
      <c r="V33" s="28">
        <v>-0.55584594520000041</v>
      </c>
      <c r="W33" s="28">
        <v>-2.2802529872000008</v>
      </c>
      <c r="X33" s="28">
        <v>-2.363527853866668</v>
      </c>
      <c r="Y33" s="28">
        <v>-2.2108945205333339</v>
      </c>
      <c r="Z33" s="28">
        <v>-2.2764138538666678</v>
      </c>
      <c r="AA33" s="28">
        <v>-1.2949162420000011</v>
      </c>
      <c r="AB33" s="28">
        <v>-2.331963853866668</v>
      </c>
      <c r="AC33" s="28">
        <v>-1.8327632054666669</v>
      </c>
      <c r="AD33" s="28">
        <v>-2.321005853866668</v>
      </c>
      <c r="AE33" s="28">
        <v>-1.4372575570666679</v>
      </c>
      <c r="AF33" s="28">
        <v>-2.3865838538666679</v>
      </c>
      <c r="AG33" s="28">
        <v>-1.0810182237333339</v>
      </c>
      <c r="AH33" s="28">
        <v>-2.3134147538666681</v>
      </c>
      <c r="AI33" s="28">
        <v>-2.0623512054666668</v>
      </c>
      <c r="AJ33" s="28">
        <v>-1.394095208666668</v>
      </c>
      <c r="AK33" s="28">
        <v>-2.3910758538666679</v>
      </c>
      <c r="AL33" s="28">
        <v>-0.74174192693333407</v>
      </c>
      <c r="AM33" s="28">
        <v>-2.383969053866668</v>
      </c>
      <c r="AN33" s="28">
        <v>-1.9715321872000009</v>
      </c>
      <c r="AO33" s="28">
        <v>-2.3825838538666679</v>
      </c>
      <c r="AP33" s="28">
        <v>-2.3865838538666679</v>
      </c>
      <c r="AQ33" s="28">
        <v>-1.777478890400001</v>
      </c>
      <c r="AR33" s="28">
        <v>-1.471739908666668</v>
      </c>
      <c r="AS33" s="28">
        <v>-2.0750458721333338</v>
      </c>
      <c r="AT33" s="28">
        <v>-1.2803588904000009</v>
      </c>
      <c r="AU33" s="28">
        <v>-1.8108098721333341</v>
      </c>
      <c r="AV33" s="28">
        <v>-2.084635872133334</v>
      </c>
      <c r="AW33" s="28">
        <v>-1.165936000036005E-4</v>
      </c>
      <c r="AX33" s="28">
        <v>-0.67761334520000038</v>
      </c>
      <c r="AY33" s="28">
        <v>-1.1583532602666671</v>
      </c>
      <c r="AZ33" s="28">
        <v>-1.7281592349333339</v>
      </c>
      <c r="BA33" s="34">
        <v>-84.679802511733357</v>
      </c>
    </row>
    <row r="34" spans="1:53" x14ac:dyDescent="0.25">
      <c r="A34" s="24">
        <v>33</v>
      </c>
      <c r="B34" s="26">
        <v>16</v>
      </c>
      <c r="C34" s="28">
        <v>-2.007325390666665</v>
      </c>
      <c r="D34" s="28">
        <v>-2.0885433906666648</v>
      </c>
      <c r="E34" s="28">
        <v>-2.0146517239999988</v>
      </c>
      <c r="F34" s="28">
        <v>-1.5452727096666661</v>
      </c>
      <c r="G34" s="28">
        <v>-1.7970873906666649</v>
      </c>
      <c r="H34" s="28">
        <v>-2.1168000573333319</v>
      </c>
      <c r="I34" s="28">
        <v>-0.56766770966666891</v>
      </c>
      <c r="J34" s="28">
        <v>-1.6571450501666649</v>
      </c>
      <c r="K34" s="28">
        <v>-1.958497057333332</v>
      </c>
      <c r="L34" s="28">
        <v>-1.8901880573333321</v>
      </c>
      <c r="M34" s="28">
        <v>-0.84519436199999887</v>
      </c>
      <c r="N34" s="28">
        <v>-0.56091736199999886</v>
      </c>
      <c r="O34" s="28">
        <v>2.4727600000118422E-4</v>
      </c>
      <c r="P34" s="28">
        <v>-1.5398105239999991</v>
      </c>
      <c r="Q34" s="28">
        <v>-0.81187402866666591</v>
      </c>
      <c r="R34" s="28">
        <v>-0.70128470249999908</v>
      </c>
      <c r="S34" s="28">
        <v>-1.6783650501666649</v>
      </c>
      <c r="T34" s="28">
        <v>-1.799293390666665</v>
      </c>
      <c r="U34" s="28">
        <v>-1.560022383499998</v>
      </c>
      <c r="V34" s="28">
        <v>-0.37999102149999953</v>
      </c>
      <c r="W34" s="28">
        <v>-1.959112723999999</v>
      </c>
      <c r="X34" s="28">
        <v>-2.0322613906666649</v>
      </c>
      <c r="Y34" s="28">
        <v>-2.071436723999998</v>
      </c>
      <c r="Z34" s="28">
        <v>-2.0501180573333322</v>
      </c>
      <c r="AA34" s="28">
        <v>-1.3071250358333319</v>
      </c>
      <c r="AB34" s="28">
        <v>-2.0486833906666648</v>
      </c>
      <c r="AC34" s="28">
        <v>-1.751545050166665</v>
      </c>
      <c r="AD34" s="28">
        <v>-1.9790387239999989</v>
      </c>
      <c r="AE34" s="28">
        <v>-1.2090323763333319</v>
      </c>
      <c r="AF34" s="28">
        <v>-2.1168000573333319</v>
      </c>
      <c r="AG34" s="28">
        <v>-0.94004104299999902</v>
      </c>
      <c r="AH34" s="28">
        <v>-2.0268379573333322</v>
      </c>
      <c r="AI34" s="28">
        <v>-1.495056716833332</v>
      </c>
      <c r="AJ34" s="28">
        <v>-1.2586694691666649</v>
      </c>
      <c r="AK34" s="28">
        <v>-1.9593970573333319</v>
      </c>
      <c r="AL34" s="28">
        <v>-0.94758569533333292</v>
      </c>
      <c r="AM34" s="28">
        <v>-1.8772080573333321</v>
      </c>
      <c r="AN34" s="28">
        <v>-1.8744917239999981</v>
      </c>
      <c r="AO34" s="28">
        <v>1.5460933333799609E-4</v>
      </c>
      <c r="AP34" s="28">
        <v>-2.1168000573333319</v>
      </c>
      <c r="AQ34" s="28">
        <v>-1.2974347096666661</v>
      </c>
      <c r="AR34" s="28">
        <v>-1.3031250358333319</v>
      </c>
      <c r="AS34" s="28">
        <v>-1.6769860501666649</v>
      </c>
      <c r="AT34" s="28">
        <v>-1.3603873763333321</v>
      </c>
      <c r="AU34" s="28">
        <v>-1.1003050501666649</v>
      </c>
      <c r="AV34" s="28">
        <v>-1.742226383499998</v>
      </c>
      <c r="AW34" s="28">
        <v>-3.5089533333187978E-4</v>
      </c>
      <c r="AX34" s="28">
        <v>-0.4937832881666665</v>
      </c>
      <c r="AY34" s="28">
        <v>-0.85621669533333289</v>
      </c>
      <c r="AZ34" s="28">
        <v>-1.43615482182993</v>
      </c>
      <c r="BA34" s="34">
        <v>-70.371586269666594</v>
      </c>
    </row>
    <row r="35" spans="1:53" x14ac:dyDescent="0.25">
      <c r="A35" s="24">
        <v>34</v>
      </c>
      <c r="B35" s="26">
        <v>16.5</v>
      </c>
      <c r="C35" s="28">
        <v>-1.5459772729333321</v>
      </c>
      <c r="D35" s="28">
        <v>-0.70996860626666192</v>
      </c>
      <c r="E35" s="28">
        <v>-1.7698946062666649</v>
      </c>
      <c r="F35" s="28">
        <v>-1.281935454699999</v>
      </c>
      <c r="G35" s="28">
        <v>-1.6057949395999991</v>
      </c>
      <c r="H35" s="28">
        <v>-1.7067862729333321</v>
      </c>
      <c r="I35" s="28">
        <v>-0.53059345469999908</v>
      </c>
      <c r="J35" s="28">
        <v>-1.5445903638166649</v>
      </c>
      <c r="K35" s="28">
        <v>-1.6791012729333319</v>
      </c>
      <c r="L35" s="28">
        <v>-1.501392939599999</v>
      </c>
      <c r="M35" s="28">
        <v>-3.496364666657481E-4</v>
      </c>
      <c r="N35" s="28">
        <v>-0.79552630313333295</v>
      </c>
      <c r="O35" s="28">
        <v>-1.1186632729333319</v>
      </c>
      <c r="P35" s="28">
        <v>-1.680892672933332</v>
      </c>
      <c r="Q35" s="28">
        <v>-0.85287563646666598</v>
      </c>
      <c r="R35" s="28">
        <v>-0.42508741225000002</v>
      </c>
      <c r="S35" s="28">
        <v>-1.2580053638166651</v>
      </c>
      <c r="T35" s="28">
        <v>-1.703081272933332</v>
      </c>
      <c r="U35" s="28">
        <v>-1.4120603638166651</v>
      </c>
      <c r="V35" s="28">
        <v>-0.50371006068333246</v>
      </c>
      <c r="W35" s="28">
        <v>-1.5695083395999989</v>
      </c>
      <c r="X35" s="28">
        <v>-1.791071272933332</v>
      </c>
      <c r="Y35" s="28">
        <v>-1.6763536062666651</v>
      </c>
      <c r="Z35" s="28">
        <v>-1.6913712729333319</v>
      </c>
      <c r="AA35" s="28">
        <v>-1.103544545583333</v>
      </c>
      <c r="AB35" s="28">
        <v>-1.7073312729333321</v>
      </c>
      <c r="AC35" s="28">
        <v>-1.3155243638166649</v>
      </c>
      <c r="AD35" s="28">
        <v>-1.666065939599999</v>
      </c>
      <c r="AE35" s="28">
        <v>-1.164947121366666</v>
      </c>
      <c r="AF35" s="28">
        <v>-1.791071272933332</v>
      </c>
      <c r="AG35" s="28">
        <v>-0.56422545469999907</v>
      </c>
      <c r="AH35" s="28">
        <v>-1.781328806266665</v>
      </c>
      <c r="AI35" s="28">
        <v>-1.5441483638166651</v>
      </c>
      <c r="AJ35" s="28">
        <v>-0.91845554558333298</v>
      </c>
      <c r="AK35" s="28">
        <v>-1.704771272933332</v>
      </c>
      <c r="AL35" s="28">
        <v>-0.60914986979999897</v>
      </c>
      <c r="AM35" s="28">
        <v>-1.4593842729333319</v>
      </c>
      <c r="AN35" s="28">
        <v>-0.78008493960000203</v>
      </c>
      <c r="AO35" s="28">
        <v>1.153937333380206E-4</v>
      </c>
      <c r="AP35" s="28">
        <v>-1.791071272933332</v>
      </c>
      <c r="AQ35" s="28">
        <v>-1.1464654546999991</v>
      </c>
      <c r="AR35" s="28">
        <v>-1.099544545583333</v>
      </c>
      <c r="AS35" s="28">
        <v>-1.573066697149998</v>
      </c>
      <c r="AT35" s="28">
        <v>-1.149311454699999</v>
      </c>
      <c r="AU35" s="28">
        <v>-0.89958303048333199</v>
      </c>
      <c r="AV35" s="28">
        <v>-1.5635623638166649</v>
      </c>
      <c r="AW35" s="28">
        <v>-1.7763646666590921E-4</v>
      </c>
      <c r="AX35" s="28">
        <v>-0.6420760940166661</v>
      </c>
      <c r="AY35" s="28">
        <v>-0.41055230313333302</v>
      </c>
      <c r="AZ35" s="28">
        <v>-1.198773881061904</v>
      </c>
      <c r="BA35" s="34">
        <v>-58.739920172033287</v>
      </c>
    </row>
    <row r="36" spans="1:53" x14ac:dyDescent="0.25">
      <c r="A36" s="24">
        <v>35</v>
      </c>
      <c r="B36" s="26">
        <v>17</v>
      </c>
      <c r="C36" s="28">
        <v>-1.312624060666665</v>
      </c>
      <c r="D36" s="28">
        <v>-4.5060666661989053E-5</v>
      </c>
      <c r="E36" s="28">
        <v>-1.3080530606666649</v>
      </c>
      <c r="F36" s="28">
        <v>-1.0414867954999989</v>
      </c>
      <c r="G36" s="28">
        <v>-1.4460904606666649</v>
      </c>
      <c r="H36" s="28">
        <v>-1.3676253939999989</v>
      </c>
      <c r="I36" s="28">
        <v>-0.69472746216666614</v>
      </c>
      <c r="J36" s="28">
        <v>-1.257908261416665</v>
      </c>
      <c r="K36" s="28">
        <v>-1.411849393999999</v>
      </c>
      <c r="L36" s="28">
        <v>-1.100236060666665</v>
      </c>
      <c r="M36" s="28">
        <v>4.2013633333404238E-4</v>
      </c>
      <c r="N36" s="28">
        <v>-0.58294786366666596</v>
      </c>
      <c r="O36" s="28">
        <v>-0.2261280606666618</v>
      </c>
      <c r="P36" s="28">
        <v>-1.203724193999999</v>
      </c>
      <c r="Q36" s="28">
        <v>-0.57997986366666598</v>
      </c>
      <c r="R36" s="28">
        <v>-0.68553342958333241</v>
      </c>
      <c r="S36" s="28">
        <v>-3.9282614166651353E-3</v>
      </c>
      <c r="T36" s="28">
        <v>-1.1255420606666651</v>
      </c>
      <c r="U36" s="28">
        <v>-1.0897249280833321</v>
      </c>
      <c r="V36" s="28">
        <v>-2.4639774999940522E-4</v>
      </c>
      <c r="W36" s="28">
        <v>-1.380352593999999</v>
      </c>
      <c r="X36" s="28">
        <v>-1.486211727333332</v>
      </c>
      <c r="Y36" s="28">
        <v>-1.290576727333332</v>
      </c>
      <c r="Z36" s="28">
        <v>-1.2096727273333321</v>
      </c>
      <c r="AA36" s="28">
        <v>-0.83125432958333245</v>
      </c>
      <c r="AB36" s="28">
        <v>-1.4315917273333321</v>
      </c>
      <c r="AC36" s="28">
        <v>-1.2063862614166649</v>
      </c>
      <c r="AD36" s="28">
        <v>-1.3618597273333319</v>
      </c>
      <c r="AE36" s="28">
        <v>-0.87559612883333204</v>
      </c>
      <c r="AF36" s="28">
        <v>-1.486211727333332</v>
      </c>
      <c r="AG36" s="28">
        <v>-0.81733912883333315</v>
      </c>
      <c r="AH36" s="28">
        <v>-1.300913427333332</v>
      </c>
      <c r="AI36" s="28">
        <v>-1.1060489280833321</v>
      </c>
      <c r="AJ36" s="28">
        <v>-0.81788566291666542</v>
      </c>
      <c r="AK36" s="28">
        <v>-1.328349727333332</v>
      </c>
      <c r="AL36" s="28">
        <v>-0.36126476366666588</v>
      </c>
      <c r="AM36" s="28">
        <v>-1.173635060666665</v>
      </c>
      <c r="AN36" s="28">
        <v>-1.1954537273333321</v>
      </c>
      <c r="AO36" s="28">
        <v>-2.817273333328707E-4</v>
      </c>
      <c r="AP36" s="28">
        <v>-1.486211727333332</v>
      </c>
      <c r="AQ36" s="28">
        <v>-0.80884602883333301</v>
      </c>
      <c r="AR36" s="28">
        <v>-0.90900732958333241</v>
      </c>
      <c r="AS36" s="28">
        <v>-1.2701602614166649</v>
      </c>
      <c r="AT36" s="28">
        <v>-1.023836795499999</v>
      </c>
      <c r="AU36" s="28">
        <v>-1.0002152614166651</v>
      </c>
      <c r="AV36" s="28">
        <v>-1.203572928083332</v>
      </c>
      <c r="AW36" s="28">
        <v>2.856696666670433E-4</v>
      </c>
      <c r="AX36" s="28">
        <v>-0.44044039774999938</v>
      </c>
      <c r="AY36" s="28">
        <v>-0.50102319699999898</v>
      </c>
      <c r="AZ36" s="28">
        <v>-0.93350806167686917</v>
      </c>
      <c r="BA36" s="34">
        <v>-45.741895022166588</v>
      </c>
    </row>
    <row r="37" spans="1:53" x14ac:dyDescent="0.25">
      <c r="A37" s="24">
        <v>36</v>
      </c>
      <c r="B37" s="26">
        <v>17.5</v>
      </c>
      <c r="C37" s="28">
        <v>-0.86876428786666704</v>
      </c>
      <c r="D37" s="28">
        <v>-1.8195453333025299E-4</v>
      </c>
      <c r="E37" s="28">
        <v>-1.1182156212000001</v>
      </c>
      <c r="F37" s="28">
        <v>-0.62591221590000012</v>
      </c>
      <c r="G37" s="28">
        <v>-0.90636695453333305</v>
      </c>
      <c r="H37" s="28">
        <v>-0.97740162120000007</v>
      </c>
      <c r="I37" s="28">
        <v>-0.41622421590000008</v>
      </c>
      <c r="J37" s="28">
        <v>-1.0397059185499999</v>
      </c>
      <c r="K37" s="28">
        <v>-1.0204896212000001</v>
      </c>
      <c r="L37" s="28">
        <v>-0.31846395453333309</v>
      </c>
      <c r="M37" s="28">
        <v>-1.6281060000000741E-4</v>
      </c>
      <c r="N37" s="28">
        <v>-0.47367081059999999</v>
      </c>
      <c r="O37" s="28">
        <v>-0.60835462120000006</v>
      </c>
      <c r="P37" s="28">
        <v>-0.67036595453333303</v>
      </c>
      <c r="Q37" s="28">
        <v>-0.4604148106</v>
      </c>
      <c r="R37" s="28">
        <v>-0.54095751324999997</v>
      </c>
      <c r="S37" s="28">
        <v>-0.9191772518833331</v>
      </c>
      <c r="T37" s="28">
        <v>-0.80542628786666703</v>
      </c>
      <c r="U37" s="28">
        <v>-0.88791591855000007</v>
      </c>
      <c r="V37" s="28">
        <v>1.302253833299627E-4</v>
      </c>
      <c r="W37" s="28">
        <v>-1.0894380212000001</v>
      </c>
      <c r="X37" s="28">
        <v>-1.038009954533333</v>
      </c>
      <c r="Y37" s="28">
        <v>-1.060368954533333</v>
      </c>
      <c r="Z37" s="28">
        <v>-0.99208595453333304</v>
      </c>
      <c r="AA37" s="28">
        <v>-0.53639484658333303</v>
      </c>
      <c r="AB37" s="28">
        <v>-1.0110929545333329</v>
      </c>
      <c r="AC37" s="28">
        <v>-0.93567541855000003</v>
      </c>
      <c r="AD37" s="28">
        <v>-0.9296356212000001</v>
      </c>
      <c r="AE37" s="28">
        <v>-0.52934288256666617</v>
      </c>
      <c r="AF37" s="28">
        <v>-1.1729496211999999</v>
      </c>
      <c r="AG37" s="28">
        <v>-0.61073221590000015</v>
      </c>
      <c r="AH37" s="28">
        <v>-1.1644227212</v>
      </c>
      <c r="AI37" s="28">
        <v>-0.82625225188333307</v>
      </c>
      <c r="AJ37" s="28">
        <v>-0.56969251325000003</v>
      </c>
      <c r="AK37" s="28">
        <v>-0.48434562120000002</v>
      </c>
      <c r="AL37" s="28">
        <v>-0.23170194393333299</v>
      </c>
      <c r="AM37" s="28">
        <v>-0.82706962120000005</v>
      </c>
      <c r="AN37" s="28">
        <v>-0.95026395453333312</v>
      </c>
      <c r="AO37" s="28">
        <v>-0.44591098786666711</v>
      </c>
      <c r="AP37" s="28">
        <v>-1.1729496211999999</v>
      </c>
      <c r="AQ37" s="28">
        <v>-0.85788921590000011</v>
      </c>
      <c r="AR37" s="28">
        <v>-0.71321851324999996</v>
      </c>
      <c r="AS37" s="28">
        <v>-0.86168125188333311</v>
      </c>
      <c r="AT37" s="28">
        <v>-0.80980221590000012</v>
      </c>
      <c r="AU37" s="28">
        <v>-0.6793095185500001</v>
      </c>
      <c r="AV37" s="28">
        <v>-0.93160658521666706</v>
      </c>
      <c r="AW37" s="28">
        <v>-1.096439333330701E-4</v>
      </c>
      <c r="AX37" s="28">
        <v>-0.17212910795000011</v>
      </c>
      <c r="AY37" s="28">
        <v>-0.32766081060000002</v>
      </c>
      <c r="AZ37" s="28">
        <v>-0.70591397273265322</v>
      </c>
      <c r="BA37" s="34">
        <v>-34.589784663900012</v>
      </c>
    </row>
    <row r="38" spans="1:53" x14ac:dyDescent="0.25">
      <c r="A38" s="24">
        <v>37</v>
      </c>
      <c r="B38" s="26">
        <v>18</v>
      </c>
      <c r="C38" s="28">
        <v>-0.65344093466666808</v>
      </c>
      <c r="D38" s="28">
        <v>3.1065333331969918E-5</v>
      </c>
      <c r="E38" s="28">
        <v>-0.76421026800000103</v>
      </c>
      <c r="F38" s="28">
        <v>3.3229899999875911E-4</v>
      </c>
      <c r="G38" s="28">
        <v>-0.55126926800000109</v>
      </c>
      <c r="H38" s="28">
        <v>-0.50709160133333508</v>
      </c>
      <c r="I38" s="28">
        <v>-0.39044023433333402</v>
      </c>
      <c r="J38" s="28">
        <v>-0.77455231783333445</v>
      </c>
      <c r="K38" s="28">
        <v>-0.84758360133333477</v>
      </c>
      <c r="L38" s="28">
        <v>-0.39042260133333512</v>
      </c>
      <c r="M38" s="28">
        <v>-8.0467333334000024E-5</v>
      </c>
      <c r="N38" s="28">
        <v>-0.35593180066666702</v>
      </c>
      <c r="O38" s="28">
        <v>-0.82191626800000106</v>
      </c>
      <c r="P38" s="28">
        <v>-0.79891693466666802</v>
      </c>
      <c r="Q38" s="28">
        <v>-0.41445846733333402</v>
      </c>
      <c r="R38" s="28">
        <v>-0.50513875083333426</v>
      </c>
      <c r="S38" s="28">
        <v>-0.60083298450000144</v>
      </c>
      <c r="T38" s="28">
        <v>-0.48783460133333501</v>
      </c>
      <c r="U38" s="28">
        <v>-0.44230565116666748</v>
      </c>
      <c r="V38" s="28">
        <v>3.2981616666548358E-4</v>
      </c>
      <c r="W38" s="28">
        <v>-0.73256960133333504</v>
      </c>
      <c r="X38" s="28">
        <v>-0.57300046800000104</v>
      </c>
      <c r="Y38" s="28">
        <v>-0.68477193466666808</v>
      </c>
      <c r="Z38" s="28">
        <v>-0.468693268000001</v>
      </c>
      <c r="AA38" s="28">
        <v>-0.42472375083333452</v>
      </c>
      <c r="AB38" s="28">
        <v>-0.86555693466666805</v>
      </c>
      <c r="AC38" s="28">
        <v>-0.51217345116666746</v>
      </c>
      <c r="AD38" s="28">
        <v>-0.57139193466666804</v>
      </c>
      <c r="AE38" s="28">
        <v>2.6363233332893371E-4</v>
      </c>
      <c r="AF38" s="28">
        <v>-0.82910573466666804</v>
      </c>
      <c r="AG38" s="28">
        <v>-0.23336536766666799</v>
      </c>
      <c r="AH38" s="28">
        <v>-0.88291693466666799</v>
      </c>
      <c r="AI38" s="28">
        <v>-0.71653311783333451</v>
      </c>
      <c r="AJ38" s="28">
        <v>-0.27724008416666751</v>
      </c>
      <c r="AK38" s="28">
        <v>3.4279866666220288E-4</v>
      </c>
      <c r="AL38" s="28">
        <v>-2.9222934000001029E-2</v>
      </c>
      <c r="AM38" s="28">
        <v>-0.49167793466666798</v>
      </c>
      <c r="AN38" s="28">
        <v>-0.56843993466666798</v>
      </c>
      <c r="AO38" s="28">
        <v>-0.85589393466666808</v>
      </c>
      <c r="AP38" s="28">
        <v>-0.86991693466666797</v>
      </c>
      <c r="AQ38" s="28">
        <v>-0.64025886766666762</v>
      </c>
      <c r="AR38" s="28">
        <v>-0.52382308416666745</v>
      </c>
      <c r="AS38" s="28">
        <v>-0.77355231783333445</v>
      </c>
      <c r="AT38" s="28">
        <v>-0.37892903433333402</v>
      </c>
      <c r="AU38" s="28">
        <v>-0.29130665116666737</v>
      </c>
      <c r="AV38" s="28">
        <v>-0.75755231783333443</v>
      </c>
      <c r="AW38" s="28">
        <v>-3.1713399999999577E-4</v>
      </c>
      <c r="AX38" s="28">
        <v>-0.18803885050000049</v>
      </c>
      <c r="AY38" s="28">
        <v>-0.36283180066666743</v>
      </c>
      <c r="AZ38" s="28">
        <v>-0.48589656029251832</v>
      </c>
      <c r="BA38" s="34">
        <v>-23.808931454333401</v>
      </c>
    </row>
    <row r="39" spans="1:53" x14ac:dyDescent="0.25">
      <c r="A39" s="24">
        <v>38</v>
      </c>
      <c r="B39" s="26">
        <v>18.5</v>
      </c>
      <c r="C39" s="28">
        <v>-0.21370039266666699</v>
      </c>
      <c r="D39" s="28">
        <v>-2.6339266666708378E-4</v>
      </c>
      <c r="E39" s="28">
        <v>-0.48536805933333299</v>
      </c>
      <c r="F39" s="28">
        <v>-7.9711166669937938E-5</v>
      </c>
      <c r="G39" s="28">
        <v>-0.18055472600000011</v>
      </c>
      <c r="H39" s="28">
        <v>-0.25550405933333398</v>
      </c>
      <c r="I39" s="28">
        <v>-0.34446944449999989</v>
      </c>
      <c r="J39" s="28">
        <v>-0.44217421858333289</v>
      </c>
      <c r="K39" s="28">
        <v>-0.43831772600000007</v>
      </c>
      <c r="L39" s="28">
        <v>-6.0268059333333013E-2</v>
      </c>
      <c r="M39" s="28">
        <v>1.9397033333298089E-4</v>
      </c>
      <c r="N39" s="28">
        <v>-0.14407136300000001</v>
      </c>
      <c r="O39" s="28">
        <v>-0.42452805933333299</v>
      </c>
      <c r="P39" s="28">
        <v>-0.37123105933333311</v>
      </c>
      <c r="Q39" s="28">
        <v>-0.18859936299999999</v>
      </c>
      <c r="R39" s="28">
        <v>4.6912958333296401E-4</v>
      </c>
      <c r="S39" s="28">
        <v>-0.45508371858333341</v>
      </c>
      <c r="T39" s="28">
        <v>-0.23194972599999999</v>
      </c>
      <c r="U39" s="28">
        <v>-0.31027755191666689</v>
      </c>
      <c r="V39" s="28">
        <v>-4.2585558333299751E-4</v>
      </c>
      <c r="W39" s="28">
        <v>-0.35585815933333298</v>
      </c>
      <c r="X39" s="28">
        <v>3.1940666670060569E-5</v>
      </c>
      <c r="Y39" s="28">
        <v>-0.48198072600000003</v>
      </c>
      <c r="Z39" s="28">
        <v>-0.122725392666666</v>
      </c>
      <c r="AA39" s="28">
        <v>-0.185205870416667</v>
      </c>
      <c r="AB39" s="28">
        <v>-0.36563405933333298</v>
      </c>
      <c r="AC39" s="28">
        <v>-0.43589358524999999</v>
      </c>
      <c r="AD39" s="28">
        <v>-0.42980505933333302</v>
      </c>
      <c r="AE39" s="28">
        <v>3.9128883333017228E-4</v>
      </c>
      <c r="AF39" s="28">
        <v>-0.50327165933333307</v>
      </c>
      <c r="AG39" s="28">
        <v>-4.3471116667004322E-4</v>
      </c>
      <c r="AH39" s="28">
        <v>-0.48531472599999997</v>
      </c>
      <c r="AI39" s="28">
        <v>-0.20912255191666701</v>
      </c>
      <c r="AJ39" s="28">
        <v>2.7079624999998281E-4</v>
      </c>
      <c r="AK39" s="28">
        <v>-1.2965933333403121E-4</v>
      </c>
      <c r="AL39" s="28">
        <v>-3.4749633333008839E-4</v>
      </c>
      <c r="AM39" s="28">
        <v>-0.35167539266666697</v>
      </c>
      <c r="AN39" s="28">
        <v>-0.39855989266666703</v>
      </c>
      <c r="AO39" s="28">
        <v>-0.56807102600000003</v>
      </c>
      <c r="AP39" s="28">
        <v>-0.57775072599999999</v>
      </c>
      <c r="AQ39" s="28">
        <v>-0.42306304449999999</v>
      </c>
      <c r="AR39" s="28">
        <v>-0.34121920374999998</v>
      </c>
      <c r="AS39" s="28">
        <v>-0.32421488524999997</v>
      </c>
      <c r="AT39" s="28">
        <v>-0.35998197783333302</v>
      </c>
      <c r="AU39" s="28">
        <v>-0.35639655191666703</v>
      </c>
      <c r="AV39" s="28">
        <v>-0.34789888525000001</v>
      </c>
      <c r="AW39" s="28">
        <v>2.903036666669565E-4</v>
      </c>
      <c r="AX39" s="28">
        <v>-8.1522249999910201E-5</v>
      </c>
      <c r="AY39" s="28">
        <v>-0.25384202966666669</v>
      </c>
      <c r="AZ39" s="28">
        <v>-0.25354485410544231</v>
      </c>
      <c r="BA39" s="34">
        <v>-12.42369785116667</v>
      </c>
    </row>
    <row r="40" spans="1:53" x14ac:dyDescent="0.25">
      <c r="A40" s="24">
        <v>39</v>
      </c>
      <c r="B40" s="26">
        <v>19</v>
      </c>
      <c r="C40" s="28">
        <v>-1.259408106666615E-2</v>
      </c>
      <c r="D40" s="28">
        <v>4.1725226666683429E-4</v>
      </c>
      <c r="E40" s="28">
        <v>-4.8344747733333193E-2</v>
      </c>
      <c r="F40" s="28">
        <v>-4.5607999999142113E-6</v>
      </c>
      <c r="G40" s="28">
        <v>3.6691893333387632E-4</v>
      </c>
      <c r="H40" s="28">
        <v>-1.2450081066666171E-2</v>
      </c>
      <c r="I40" s="28">
        <v>-4.4941560799999919E-2</v>
      </c>
      <c r="J40" s="28">
        <v>-0.24081798759999989</v>
      </c>
      <c r="K40" s="28">
        <v>-0.29367808106666649</v>
      </c>
      <c r="L40" s="28">
        <v>-0.18449174773333321</v>
      </c>
      <c r="M40" s="28">
        <v>-4.2770719999962742E-4</v>
      </c>
      <c r="N40" s="28">
        <v>-2.4204053333358799E-4</v>
      </c>
      <c r="O40" s="28">
        <v>-0.2675956810666662</v>
      </c>
      <c r="P40" s="28">
        <v>-8.3390414400000168E-2</v>
      </c>
      <c r="Q40" s="28">
        <v>-1.46803738666666E-2</v>
      </c>
      <c r="R40" s="28">
        <v>-3.1340000002377799E-6</v>
      </c>
      <c r="S40" s="28">
        <v>-0.11379438759999951</v>
      </c>
      <c r="T40" s="28">
        <v>2.8591893333385082E-4</v>
      </c>
      <c r="U40" s="28">
        <v>-0.17020098759999949</v>
      </c>
      <c r="V40" s="28">
        <v>-9.494706666979269E-5</v>
      </c>
      <c r="W40" s="28">
        <v>-0.13761074773333321</v>
      </c>
      <c r="X40" s="28">
        <v>-2.1808106666618141E-4</v>
      </c>
      <c r="Y40" s="28">
        <v>-0.2063507477333332</v>
      </c>
      <c r="Z40" s="28">
        <v>-2.7550414400000171E-2</v>
      </c>
      <c r="AA40" s="28">
        <v>-0.16519913399999989</v>
      </c>
      <c r="AB40" s="28">
        <v>-0.26677408106666622</v>
      </c>
      <c r="AC40" s="28">
        <v>2.006790666665009E-4</v>
      </c>
      <c r="AD40" s="28">
        <v>7.8585599999791977E-5</v>
      </c>
      <c r="AE40" s="28">
        <v>-1.9922746666695129E-4</v>
      </c>
      <c r="AF40" s="28">
        <v>-0.25681561440000023</v>
      </c>
      <c r="AG40" s="28">
        <v>4.4010586666709539E-4</v>
      </c>
      <c r="AH40" s="28">
        <v>-0.12817178106666621</v>
      </c>
      <c r="AI40" s="28">
        <v>1.7534573333344289E-4</v>
      </c>
      <c r="AJ40" s="28">
        <v>-2.5313400000019642E-4</v>
      </c>
      <c r="AK40" s="28">
        <v>2.7252266666805139E-5</v>
      </c>
      <c r="AL40" s="28">
        <v>4.5629280000039982E-4</v>
      </c>
      <c r="AM40" s="28">
        <v>-0.12628774773333321</v>
      </c>
      <c r="AN40" s="28">
        <v>-0.2103000810666662</v>
      </c>
      <c r="AO40" s="28">
        <v>-7.719628106666615E-2</v>
      </c>
      <c r="AP40" s="28">
        <v>-0.31532074773333318</v>
      </c>
      <c r="AQ40" s="28">
        <v>-0.22624056079999991</v>
      </c>
      <c r="AR40" s="28">
        <v>4.3653266666683621E-4</v>
      </c>
      <c r="AS40" s="28">
        <v>-0.26229798759999978</v>
      </c>
      <c r="AT40" s="28">
        <v>-0.17903656079999991</v>
      </c>
      <c r="AU40" s="28">
        <v>-3.9532093333352961E-4</v>
      </c>
      <c r="AV40" s="28">
        <v>-0.24195198759999981</v>
      </c>
      <c r="AW40" s="28">
        <v>-7.2007199999599147E-5</v>
      </c>
      <c r="AX40" s="28">
        <v>2.305293333304537E-5</v>
      </c>
      <c r="AY40" s="28">
        <v>-2.6370720000062908E-4</v>
      </c>
      <c r="AZ40" s="28">
        <v>-8.8027561975510121E-2</v>
      </c>
      <c r="BA40" s="34">
        <v>-4.3133505367999962</v>
      </c>
    </row>
    <row r="41" spans="1:53" x14ac:dyDescent="0.25">
      <c r="A41" s="24">
        <v>40</v>
      </c>
      <c r="B41" s="26">
        <v>19.5</v>
      </c>
      <c r="C41" s="28">
        <v>9.2051600000031542E-5</v>
      </c>
      <c r="D41" s="28">
        <v>4.971826666699819E-5</v>
      </c>
      <c r="E41" s="28">
        <v>1.3838493333301341E-4</v>
      </c>
      <c r="F41" s="28">
        <v>4.3403870000000011E-4</v>
      </c>
      <c r="G41" s="28">
        <v>4.1771826666703321E-4</v>
      </c>
      <c r="H41" s="28">
        <v>1.1718266667015699E-5</v>
      </c>
      <c r="I41" s="28">
        <v>4.7037203333299971E-4</v>
      </c>
      <c r="J41" s="28">
        <v>-5.1764954850000003E-2</v>
      </c>
      <c r="K41" s="28">
        <v>2.117182666670214E-4</v>
      </c>
      <c r="L41" s="28">
        <v>4.0005159999995099E-4</v>
      </c>
      <c r="M41" s="28">
        <v>-2.926408666670266E-4</v>
      </c>
      <c r="N41" s="28">
        <v>-3.4030753332991992E-4</v>
      </c>
      <c r="O41" s="28">
        <v>4.64051600000015E-4</v>
      </c>
      <c r="P41" s="28">
        <v>-1.0161506666700459E-4</v>
      </c>
      <c r="Q41" s="28">
        <v>4.6255913333301257E-4</v>
      </c>
      <c r="R41" s="28">
        <v>-3.4296775000008939E-4</v>
      </c>
      <c r="S41" s="28">
        <v>-2.628818333300087E-5</v>
      </c>
      <c r="T41" s="28">
        <v>-1.5794839999999641E-4</v>
      </c>
      <c r="U41" s="28">
        <v>2.370451500000037E-4</v>
      </c>
      <c r="V41" s="28">
        <v>-3.6664731666691258E-4</v>
      </c>
      <c r="W41" s="28">
        <v>-3.9948399999989448E-5</v>
      </c>
      <c r="X41" s="28">
        <v>5.1599999995044499E-8</v>
      </c>
      <c r="Y41" s="28">
        <v>2.160516000000445E-4</v>
      </c>
      <c r="Z41" s="28">
        <v>3.2338493333300411E-4</v>
      </c>
      <c r="AA41" s="28">
        <v>-3.5430108333330679E-4</v>
      </c>
      <c r="AB41" s="28">
        <v>-1.8281733332986549E-5</v>
      </c>
      <c r="AC41" s="28">
        <v>-2.332881833330136E-4</v>
      </c>
      <c r="AD41" s="28">
        <v>-4.4761506666701761E-4</v>
      </c>
      <c r="AE41" s="28">
        <v>1.973720333329487E-4</v>
      </c>
      <c r="AF41" s="28">
        <v>4.667182666670544E-4</v>
      </c>
      <c r="AG41" s="28">
        <v>3.5137203333301947E-4</v>
      </c>
      <c r="AH41" s="28">
        <v>-1.7794839999998871E-4</v>
      </c>
      <c r="AI41" s="28">
        <v>-3.3362151666604939E-4</v>
      </c>
      <c r="AJ41" s="28">
        <v>3.063655833329681E-4</v>
      </c>
      <c r="AK41" s="28">
        <v>1.600515999999885E-4</v>
      </c>
      <c r="AL41" s="28">
        <v>-1.6330753333329559E-4</v>
      </c>
      <c r="AM41" s="28">
        <v>2.8105159999980422E-4</v>
      </c>
      <c r="AN41" s="28">
        <v>-3.8281733332978802E-5</v>
      </c>
      <c r="AO41" s="28">
        <v>-3.7528173333301051E-4</v>
      </c>
      <c r="AP41" s="28">
        <v>-5.4159948399999998E-2</v>
      </c>
      <c r="AQ41" s="28">
        <v>-3.0369961300000001E-2</v>
      </c>
      <c r="AR41" s="28">
        <v>-2.7030108333303549E-4</v>
      </c>
      <c r="AS41" s="28">
        <v>-2.089288183333302E-3</v>
      </c>
      <c r="AT41" s="28">
        <v>-3.3626130000002918E-4</v>
      </c>
      <c r="AU41" s="28">
        <v>1.097118166669686E-4</v>
      </c>
      <c r="AV41" s="28">
        <v>-4.7709548499999949E-3</v>
      </c>
      <c r="AW41" s="28">
        <v>4.9669246666694811E-4</v>
      </c>
      <c r="AX41" s="28">
        <v>-3.4831398333298741E-4</v>
      </c>
      <c r="AY41" s="28">
        <v>-4.5497420000018002E-4</v>
      </c>
      <c r="AZ41" s="28">
        <v>-2.8995305571427599E-3</v>
      </c>
      <c r="BA41" s="34">
        <v>-0.14207699729999529</v>
      </c>
    </row>
    <row r="42" spans="1:53" x14ac:dyDescent="0.25">
      <c r="A42" s="24">
        <v>41</v>
      </c>
      <c r="B42" s="26">
        <v>20</v>
      </c>
      <c r="C42" s="28">
        <v>8.689039999931758E-5</v>
      </c>
      <c r="D42" s="28">
        <v>3.9622373333331179E-4</v>
      </c>
      <c r="E42" s="28">
        <v>2.228904000003418E-4</v>
      </c>
      <c r="F42" s="28">
        <v>1.771677999999888E-4</v>
      </c>
      <c r="G42" s="28">
        <v>-6.3776266666676351E-5</v>
      </c>
      <c r="H42" s="28">
        <v>-4.8777626666673962E-4</v>
      </c>
      <c r="I42" s="28">
        <v>-5.7498866666949588E-5</v>
      </c>
      <c r="J42" s="28">
        <v>-1.643042333333497E-4</v>
      </c>
      <c r="K42" s="28">
        <v>4.5509040000031592E-4</v>
      </c>
      <c r="L42" s="28">
        <v>-3.0377626666666663E-4</v>
      </c>
      <c r="M42" s="28">
        <v>-2.2055480000038319E-4</v>
      </c>
      <c r="N42" s="28">
        <v>2.174451999996663E-4</v>
      </c>
      <c r="O42" s="28">
        <v>4.0289040000029969E-4</v>
      </c>
      <c r="P42" s="28">
        <v>2.93890400000274E-4</v>
      </c>
      <c r="Q42" s="28">
        <v>-3.2395480000034499E-4</v>
      </c>
      <c r="R42" s="28">
        <v>4.4563983333334439E-4</v>
      </c>
      <c r="S42" s="28">
        <v>3.2336243333364051E-4</v>
      </c>
      <c r="T42" s="28">
        <v>3.6122373333324909E-4</v>
      </c>
      <c r="U42" s="28">
        <v>-3.8063756666634202E-4</v>
      </c>
      <c r="V42" s="28">
        <v>4.6825056666699449E-4</v>
      </c>
      <c r="W42" s="28">
        <v>1.75557066666332E-4</v>
      </c>
      <c r="X42" s="28">
        <v>2.3622373333331839E-4</v>
      </c>
      <c r="Y42" s="28">
        <v>3.9522373333311661E-4</v>
      </c>
      <c r="Z42" s="28">
        <v>-2.4044293333380651E-4</v>
      </c>
      <c r="AA42" s="28">
        <v>-3.9636016666672052E-4</v>
      </c>
      <c r="AB42" s="28">
        <v>1.6989040000026101E-4</v>
      </c>
      <c r="AC42" s="28">
        <v>-2.9697090000035947E-4</v>
      </c>
      <c r="AD42" s="28">
        <v>-4.2677626666676177E-4</v>
      </c>
      <c r="AE42" s="28">
        <v>4.2834466666974442E-5</v>
      </c>
      <c r="AF42" s="28">
        <v>1.362237333333294E-4</v>
      </c>
      <c r="AG42" s="28">
        <v>2.218344666700123E-4</v>
      </c>
      <c r="AH42" s="28">
        <v>-1.7762666666976119E-6</v>
      </c>
      <c r="AI42" s="28">
        <v>2.100290999996757E-4</v>
      </c>
      <c r="AJ42" s="28">
        <v>-3.5236016666666947E-4</v>
      </c>
      <c r="AK42" s="28">
        <v>-1.137762666666708E-4</v>
      </c>
      <c r="AL42" s="28">
        <v>-2.8975480000034692E-4</v>
      </c>
      <c r="AM42" s="28">
        <v>-2.5977626666673359E-4</v>
      </c>
      <c r="AN42" s="28">
        <v>2.3355706666627901E-4</v>
      </c>
      <c r="AO42" s="28">
        <v>-6.4109600000639144E-5</v>
      </c>
      <c r="AP42" s="28">
        <v>2.3622373333331839E-4</v>
      </c>
      <c r="AQ42" s="28">
        <v>1.7716779999999571E-4</v>
      </c>
      <c r="AR42" s="28">
        <v>-2.3702683333370891E-4</v>
      </c>
      <c r="AS42" s="28">
        <v>-2.9430423333332012E-4</v>
      </c>
      <c r="AT42" s="28">
        <v>-4.4616553333304282E-4</v>
      </c>
      <c r="AU42" s="28">
        <v>2.683624333336132E-4</v>
      </c>
      <c r="AV42" s="28">
        <v>4.936243333367174E-5</v>
      </c>
      <c r="AW42" s="28">
        <v>-2.0055480000036319E-4</v>
      </c>
      <c r="AX42" s="28">
        <v>-1.3141610000000359E-4</v>
      </c>
      <c r="AY42" s="28">
        <v>3.6711186666660289E-4</v>
      </c>
      <c r="AZ42" s="28">
        <v>2.0749329251713229E-5</v>
      </c>
      <c r="BA42" s="34">
        <v>1.0167171333339479E-3</v>
      </c>
    </row>
    <row r="43" spans="1:53" x14ac:dyDescent="0.25">
      <c r="A43" s="24">
        <v>42</v>
      </c>
      <c r="B43" s="26">
        <v>20.5</v>
      </c>
      <c r="C43" s="28">
        <v>-2.1899999999996919E-4</v>
      </c>
      <c r="D43" s="28">
        <v>-1.159999999999495E-4</v>
      </c>
      <c r="E43" s="28">
        <v>1.016666666669996E-4</v>
      </c>
      <c r="F43" s="28">
        <v>3.5633333333301431E-4</v>
      </c>
      <c r="G43" s="28">
        <v>2.5999999999970491E-5</v>
      </c>
      <c r="H43" s="28">
        <v>2.4033333333406401E-4</v>
      </c>
      <c r="I43" s="28">
        <v>-1.0033333333303581E-4</v>
      </c>
      <c r="J43" s="28">
        <v>-1.19000000000008E-4</v>
      </c>
      <c r="K43" s="28">
        <v>4.236666666669886E-4</v>
      </c>
      <c r="L43" s="28">
        <v>1.9500000000005621E-4</v>
      </c>
      <c r="M43" s="28">
        <v>-5.0000000000005596E-4</v>
      </c>
      <c r="N43" s="28">
        <v>-2.9966666666703112E-4</v>
      </c>
      <c r="O43" s="28">
        <v>-7.8333333333013844E-5</v>
      </c>
      <c r="P43" s="28">
        <v>-4.8333333332983841E-5</v>
      </c>
      <c r="Q43" s="28">
        <v>3.9833333333294529E-4</v>
      </c>
      <c r="R43" s="28">
        <v>2.426666666694999E-4</v>
      </c>
      <c r="S43" s="28">
        <v>3.633333333297184E-5</v>
      </c>
      <c r="T43" s="28">
        <v>-4.9933333333307406E-4</v>
      </c>
      <c r="U43" s="28">
        <v>0</v>
      </c>
      <c r="V43" s="28">
        <v>-2.07999999999986E-4</v>
      </c>
      <c r="W43" s="28">
        <v>-3.99333333332974E-4</v>
      </c>
      <c r="X43" s="28">
        <v>0</v>
      </c>
      <c r="Y43" s="28">
        <v>3.5333333333301131E-4</v>
      </c>
      <c r="Z43" s="28">
        <v>3.66666666670179E-5</v>
      </c>
      <c r="AA43" s="28">
        <v>0</v>
      </c>
      <c r="AB43" s="28">
        <v>-1.3000000000001899E-4</v>
      </c>
      <c r="AC43" s="28">
        <v>3.9499999999992319E-4</v>
      </c>
      <c r="AD43" s="28">
        <v>2.3133333332991951E-4</v>
      </c>
      <c r="AE43" s="28">
        <v>-3.5999999999980492E-5</v>
      </c>
      <c r="AF43" s="28">
        <v>1.2666666666699691E-4</v>
      </c>
      <c r="AG43" s="28">
        <v>4.1799999999991838E-4</v>
      </c>
      <c r="AH43" s="28">
        <v>4.0999999999957737E-5</v>
      </c>
      <c r="AI43" s="28">
        <v>-1.809999999999867E-4</v>
      </c>
      <c r="AJ43" s="28">
        <v>-2.8000000000000252E-4</v>
      </c>
      <c r="AK43" s="28">
        <v>-3.5799999999996951E-4</v>
      </c>
      <c r="AL43" s="28">
        <v>-3.1466666666690729E-4</v>
      </c>
      <c r="AM43" s="28">
        <v>-1.3333333333298561E-4</v>
      </c>
      <c r="AN43" s="28">
        <v>3.1333333333405378E-4</v>
      </c>
      <c r="AO43" s="28">
        <v>-2.766666666698114E-5</v>
      </c>
      <c r="AP43" s="28">
        <v>0</v>
      </c>
      <c r="AQ43" s="28">
        <v>2.7733333333301863E-4</v>
      </c>
      <c r="AR43" s="28">
        <v>-4.093333333329841E-4</v>
      </c>
      <c r="AS43" s="28">
        <v>1.199999999999951E-4</v>
      </c>
      <c r="AT43" s="28">
        <v>-3.5433333333301231E-4</v>
      </c>
      <c r="AU43" s="28">
        <v>-4.250000000000087E-4</v>
      </c>
      <c r="AV43" s="28">
        <v>0</v>
      </c>
      <c r="AW43" s="28">
        <v>-3.8500000000002421E-4</v>
      </c>
      <c r="AX43" s="28">
        <v>4.2199999999997789E-4</v>
      </c>
      <c r="AY43" s="28">
        <v>-2.1499999999996519E-4</v>
      </c>
      <c r="AZ43" s="28">
        <v>-2.2074829931930762E-5</v>
      </c>
      <c r="BA43" s="34">
        <v>-1.081666666664607E-3</v>
      </c>
    </row>
    <row r="44" spans="1:53" x14ac:dyDescent="0.25">
      <c r="A44" s="24">
        <v>43</v>
      </c>
      <c r="B44" s="26">
        <v>21</v>
      </c>
      <c r="C44" s="28">
        <v>2.600000000008151E-5</v>
      </c>
      <c r="D44" s="28">
        <v>1.793333333340863E-4</v>
      </c>
      <c r="E44" s="28">
        <v>-2.6266666666707739E-4</v>
      </c>
      <c r="F44" s="28">
        <v>-1.206666666669909E-4</v>
      </c>
      <c r="G44" s="28">
        <v>9.9000000000071253E-5</v>
      </c>
      <c r="H44" s="28">
        <v>3.66666666670179E-5</v>
      </c>
      <c r="I44" s="28">
        <v>-2.5700000000006268E-4</v>
      </c>
      <c r="J44" s="28">
        <v>0</v>
      </c>
      <c r="K44" s="28">
        <v>1.5566666666699811E-4</v>
      </c>
      <c r="L44" s="28">
        <v>-1.233333333305886E-5</v>
      </c>
      <c r="M44" s="28">
        <v>2.8799999999984388E-4</v>
      </c>
      <c r="N44" s="28">
        <v>-4.9933333333296304E-4</v>
      </c>
      <c r="O44" s="28">
        <v>-4.740000000000022E-4</v>
      </c>
      <c r="P44" s="28">
        <v>-4.1099999999993919E-4</v>
      </c>
      <c r="Q44" s="28">
        <v>-2.6333333333300463E-4</v>
      </c>
      <c r="R44" s="28">
        <v>-1.0133333333017799E-4</v>
      </c>
      <c r="S44" s="28">
        <v>-4.323333333329793E-4</v>
      </c>
      <c r="T44" s="28">
        <v>2.9266666666705188E-4</v>
      </c>
      <c r="U44" s="28">
        <v>-3.0800000000003053E-4</v>
      </c>
      <c r="V44" s="28">
        <v>4.5600000000001201E-4</v>
      </c>
      <c r="W44" s="28">
        <v>1.7666666666699141E-4</v>
      </c>
      <c r="X44" s="28">
        <v>-4.0533333333300781E-4</v>
      </c>
      <c r="Y44" s="28">
        <v>-4.1800000000002951E-4</v>
      </c>
      <c r="Z44" s="28">
        <v>-2.40000000000018E-4</v>
      </c>
      <c r="AA44" s="28">
        <v>-4.2333333333299811E-4</v>
      </c>
      <c r="AB44" s="28">
        <v>-4.503333333329973E-4</v>
      </c>
      <c r="AC44" s="28">
        <v>-4.0366666666702411E-4</v>
      </c>
      <c r="AD44" s="28">
        <v>3.6700000000011718E-4</v>
      </c>
      <c r="AE44" s="28">
        <v>5.266666666697839E-5</v>
      </c>
      <c r="AF44" s="28">
        <v>0</v>
      </c>
      <c r="AG44" s="28">
        <v>-1.5733333333300961E-4</v>
      </c>
      <c r="AH44" s="28">
        <v>4.1233333333301481E-4</v>
      </c>
      <c r="AI44" s="28">
        <v>-4.8833333333409001E-4</v>
      </c>
      <c r="AJ44" s="28">
        <v>-3.523333333329548E-4</v>
      </c>
      <c r="AK44" s="28">
        <v>4.916666666670011E-4</v>
      </c>
      <c r="AL44" s="28">
        <v>2.5800000000003598E-4</v>
      </c>
      <c r="AM44" s="28">
        <v>2.170000000000227E-4</v>
      </c>
      <c r="AN44" s="28">
        <v>-1.793333333329761E-4</v>
      </c>
      <c r="AO44" s="28">
        <v>-9.0666666667016393E-5</v>
      </c>
      <c r="AP44" s="28">
        <v>0</v>
      </c>
      <c r="AQ44" s="28">
        <v>-5.8000000000002487E-5</v>
      </c>
      <c r="AR44" s="28">
        <v>-3.763333333329788E-4</v>
      </c>
      <c r="AS44" s="28">
        <v>3.0100000000005123E-4</v>
      </c>
      <c r="AT44" s="28">
        <v>3.656666666669306E-4</v>
      </c>
      <c r="AU44" s="28">
        <v>2.8966666666702112E-4</v>
      </c>
      <c r="AV44" s="28">
        <v>0</v>
      </c>
      <c r="AW44" s="28">
        <v>-3.416666666669621E-4</v>
      </c>
      <c r="AX44" s="28">
        <v>-4.1000000000002151E-4</v>
      </c>
      <c r="AY44" s="28">
        <v>2.20999999999999E-4</v>
      </c>
      <c r="AZ44" s="28">
        <v>-6.6340136054266261E-5</v>
      </c>
      <c r="BA44" s="34">
        <v>-3.2506666666590471E-3</v>
      </c>
    </row>
    <row r="45" spans="1:53" x14ac:dyDescent="0.25">
      <c r="A45" s="24">
        <v>44</v>
      </c>
      <c r="B45" s="26">
        <v>21.5</v>
      </c>
      <c r="C45" s="28">
        <v>4.2666666667079411E-5</v>
      </c>
      <c r="D45" s="28">
        <v>4.7600000000003201E-4</v>
      </c>
      <c r="E45" s="28">
        <v>1.1466666666604119E-4</v>
      </c>
      <c r="F45" s="28">
        <v>1.646666666669794E-4</v>
      </c>
      <c r="G45" s="28">
        <v>5.6999999999973738E-5</v>
      </c>
      <c r="H45" s="28">
        <v>-2.116666666698297E-4</v>
      </c>
      <c r="I45" s="28">
        <v>-3.5533333333404032E-4</v>
      </c>
      <c r="J45" s="28">
        <v>-1.400000000000012E-5</v>
      </c>
      <c r="K45" s="28">
        <v>2.8499999999997971E-4</v>
      </c>
      <c r="L45" s="28">
        <v>3.3466666666703842E-4</v>
      </c>
      <c r="M45" s="28">
        <v>-3.3733333333302312E-4</v>
      </c>
      <c r="N45" s="28">
        <v>3.2299999999996221E-4</v>
      </c>
      <c r="O45" s="28">
        <v>-4.270000000000107E-4</v>
      </c>
      <c r="P45" s="28">
        <v>7.3333333330261041E-6</v>
      </c>
      <c r="Q45" s="28">
        <v>5.6999999999973738E-5</v>
      </c>
      <c r="R45" s="28">
        <v>0.83125900000000008</v>
      </c>
      <c r="S45" s="28">
        <v>3.7166666666699211E-4</v>
      </c>
      <c r="T45" s="28">
        <v>-4.7166666666698109E-4</v>
      </c>
      <c r="U45" s="28">
        <v>0</v>
      </c>
      <c r="V45" s="28">
        <v>2.3866666666694239E-4</v>
      </c>
      <c r="W45" s="28">
        <v>4.4700000000003071E-4</v>
      </c>
      <c r="X45" s="28">
        <v>0</v>
      </c>
      <c r="Y45" s="28">
        <v>-5.1999999999996487E-5</v>
      </c>
      <c r="Z45" s="28">
        <v>-1.236666666665914E-4</v>
      </c>
      <c r="AA45" s="28">
        <v>0</v>
      </c>
      <c r="AB45" s="28">
        <v>-2.9299999999998771E-4</v>
      </c>
      <c r="AC45" s="28">
        <v>-2.6266666666707739E-4</v>
      </c>
      <c r="AD45" s="28">
        <v>-3.7500000000001421E-4</v>
      </c>
      <c r="AE45" s="28">
        <v>4.1766666666703811E-4</v>
      </c>
      <c r="AF45" s="28">
        <v>0</v>
      </c>
      <c r="AG45" s="28">
        <v>-4.7966666666587893E-4</v>
      </c>
      <c r="AH45" s="28">
        <v>1.8700000000004821E-4</v>
      </c>
      <c r="AI45" s="28">
        <v>-3.356666666669561E-4</v>
      </c>
      <c r="AJ45" s="28">
        <v>2.9866666666694691E-4</v>
      </c>
      <c r="AK45" s="28">
        <v>-4.9499999999996769E-4</v>
      </c>
      <c r="AL45" s="28">
        <v>-2.9733333333403777E-4</v>
      </c>
      <c r="AM45" s="28">
        <v>-1.7000000000000351E-4</v>
      </c>
      <c r="AN45" s="28">
        <v>-4.283333333329753E-4</v>
      </c>
      <c r="AO45" s="28">
        <v>-2.206666666668688E-4</v>
      </c>
      <c r="AP45" s="28">
        <v>0</v>
      </c>
      <c r="AQ45" s="28">
        <v>-3.956666666669606E-4</v>
      </c>
      <c r="AR45" s="28">
        <v>-3.7666666666991138E-5</v>
      </c>
      <c r="AS45" s="28">
        <v>4.870000000000152E-4</v>
      </c>
      <c r="AT45" s="28">
        <v>3.1333333333294361E-4</v>
      </c>
      <c r="AU45" s="28">
        <v>-2.7433333333304327E-4</v>
      </c>
      <c r="AV45" s="28">
        <v>-3.66666666670179E-5</v>
      </c>
      <c r="AW45" s="28">
        <v>-8.33333333330466E-5</v>
      </c>
      <c r="AX45" s="28">
        <v>4.1666666666939627E-5</v>
      </c>
      <c r="AY45" s="28">
        <v>2.6866666666697242E-4</v>
      </c>
      <c r="AZ45" s="28">
        <v>1.693907482993191E-2</v>
      </c>
      <c r="BA45" s="34">
        <v>0.83001466666666368</v>
      </c>
    </row>
    <row r="46" spans="1:53" x14ac:dyDescent="0.25">
      <c r="A46" s="24">
        <v>45</v>
      </c>
      <c r="B46" s="26">
        <v>22</v>
      </c>
      <c r="C46" s="28">
        <v>3.9266666667003852E-4</v>
      </c>
      <c r="D46" s="28">
        <v>2.7599999999999852E-4</v>
      </c>
      <c r="E46" s="28">
        <v>-1.333333333297659E-5</v>
      </c>
      <c r="F46" s="28">
        <v>1.2300000000003969E-4</v>
      </c>
      <c r="G46" s="28">
        <v>2.206666666669799E-4</v>
      </c>
      <c r="H46" s="28">
        <v>2.7166666667022282E-4</v>
      </c>
      <c r="I46" s="28">
        <v>-2.7766666666706458E-4</v>
      </c>
      <c r="J46" s="28">
        <v>-1.12000000000001E-4</v>
      </c>
      <c r="K46" s="28">
        <v>3.9266666666698541E-4</v>
      </c>
      <c r="L46" s="28">
        <v>-1.3033333333301031E-4</v>
      </c>
      <c r="M46" s="28">
        <v>-3.3533333333302112E-4</v>
      </c>
      <c r="N46" s="28">
        <v>-1.933333333329901E-4</v>
      </c>
      <c r="O46" s="28">
        <v>7.6666666666946881E-5</v>
      </c>
      <c r="P46" s="28">
        <v>1.086666666669789E-4</v>
      </c>
      <c r="Q46" s="28">
        <v>2.000000000000057E-4</v>
      </c>
      <c r="R46" s="28">
        <v>0.956094</v>
      </c>
      <c r="S46" s="28">
        <v>-2.9133333333009048E-4</v>
      </c>
      <c r="T46" s="28">
        <v>5.6333333333991042E-5</v>
      </c>
      <c r="U46" s="28">
        <v>-4.0300000000000058E-4</v>
      </c>
      <c r="V46" s="28">
        <v>0.36727666666666597</v>
      </c>
      <c r="W46" s="28">
        <v>1.833333333329801E-4</v>
      </c>
      <c r="X46" s="28">
        <v>-4.0533333333300781E-4</v>
      </c>
      <c r="Y46" s="28">
        <v>1.2666666666699691E-4</v>
      </c>
      <c r="Z46" s="28">
        <v>4.7566666666704061E-4</v>
      </c>
      <c r="AA46" s="28">
        <v>1.066666666701965E-5</v>
      </c>
      <c r="AB46" s="28">
        <v>9.6666666665967682E-5</v>
      </c>
      <c r="AC46" s="28">
        <v>-1.2000000000012E-4</v>
      </c>
      <c r="AD46" s="28">
        <v>-6.0000000000171028E-5</v>
      </c>
      <c r="AE46" s="28">
        <v>-3.8066666666700111E-4</v>
      </c>
      <c r="AF46" s="28">
        <v>-2.5466666666701387E-4</v>
      </c>
      <c r="AG46" s="28">
        <v>0.24400866666667009</v>
      </c>
      <c r="AH46" s="28">
        <v>2.8900000000003923E-4</v>
      </c>
      <c r="AI46" s="28">
        <v>3.4033333333405302E-4</v>
      </c>
      <c r="AJ46" s="28">
        <v>4.9266666666702985E-4</v>
      </c>
      <c r="AK46" s="28">
        <v>3.2333333333300912E-4</v>
      </c>
      <c r="AL46" s="28">
        <v>-3.9199999999994789E-4</v>
      </c>
      <c r="AM46" s="28">
        <v>7.4333333333009843E-5</v>
      </c>
      <c r="AN46" s="28">
        <v>2.1933333333301611E-4</v>
      </c>
      <c r="AO46" s="28">
        <v>3.3933333333302512E-4</v>
      </c>
      <c r="AP46" s="28">
        <v>0</v>
      </c>
      <c r="AQ46" s="28">
        <v>0</v>
      </c>
      <c r="AR46" s="28">
        <v>-8.3333333329993486E-6</v>
      </c>
      <c r="AS46" s="28">
        <v>-1.09999999999999E-4</v>
      </c>
      <c r="AT46" s="28">
        <v>-2.399999999991298E-5</v>
      </c>
      <c r="AU46" s="28">
        <v>-1.6000000000238049E-5</v>
      </c>
      <c r="AV46" s="28">
        <v>-9.0000000000006741E-5</v>
      </c>
      <c r="AW46" s="28">
        <v>2.9266666666599722E-4</v>
      </c>
      <c r="AX46" s="28">
        <v>3.7366666666982518E-4</v>
      </c>
      <c r="AY46" s="28">
        <v>1.5333333333306109E-4</v>
      </c>
      <c r="AZ46" s="28">
        <v>3.2034108843537773E-2</v>
      </c>
      <c r="BA46" s="34">
        <v>1.569671333333351</v>
      </c>
    </row>
    <row r="47" spans="1:53" x14ac:dyDescent="0.25">
      <c r="A47" s="24">
        <v>46</v>
      </c>
      <c r="B47" s="26">
        <v>22.5</v>
      </c>
      <c r="C47" s="28">
        <v>2.1633333333404001E-4</v>
      </c>
      <c r="D47" s="28">
        <v>3.0633333333396351E-4</v>
      </c>
      <c r="E47" s="28">
        <v>1.7666666666669989E-4</v>
      </c>
      <c r="F47" s="28">
        <v>-3.3466666666698291E-4</v>
      </c>
      <c r="G47" s="28">
        <v>-4.916666666670011E-4</v>
      </c>
      <c r="H47" s="28">
        <v>2.7233333333304127E-4</v>
      </c>
      <c r="I47" s="28">
        <v>4.1600000000008302E-4</v>
      </c>
      <c r="J47" s="28">
        <v>0</v>
      </c>
      <c r="K47" s="28">
        <v>-2.9299999999998771E-4</v>
      </c>
      <c r="L47" s="28">
        <v>9.8666666666968883E-5</v>
      </c>
      <c r="M47" s="28">
        <v>-3.5333333333298361E-4</v>
      </c>
      <c r="N47" s="28">
        <v>-4.2266666666695979E-4</v>
      </c>
      <c r="O47" s="28">
        <v>2.0000000000003351E-4</v>
      </c>
      <c r="P47" s="28">
        <v>3.7566666666699611E-4</v>
      </c>
      <c r="Q47" s="28">
        <v>-2.7233333333298582E-4</v>
      </c>
      <c r="R47" s="28">
        <v>1.03280533333333</v>
      </c>
      <c r="S47" s="28">
        <v>2.5200000000002998E-4</v>
      </c>
      <c r="T47" s="28">
        <v>-2.333333333329746E-4</v>
      </c>
      <c r="U47" s="28">
        <v>9.5000000000011742E-5</v>
      </c>
      <c r="V47" s="28">
        <v>0.89271033333333405</v>
      </c>
      <c r="W47" s="28">
        <v>-1.6599999999999951E-4</v>
      </c>
      <c r="X47" s="28">
        <v>0</v>
      </c>
      <c r="Y47" s="28">
        <v>-2.9566666666699942E-4</v>
      </c>
      <c r="Z47" s="28">
        <v>-1.3266666666700291E-4</v>
      </c>
      <c r="AA47" s="28">
        <v>4.0000000000040004E-6</v>
      </c>
      <c r="AB47" s="28">
        <v>2.3999999999996249E-4</v>
      </c>
      <c r="AC47" s="28">
        <v>4.6399999999996439E-4</v>
      </c>
      <c r="AD47" s="28">
        <v>0.46131300000000008</v>
      </c>
      <c r="AE47" s="28">
        <v>0</v>
      </c>
      <c r="AF47" s="28">
        <v>1.2500000000004169E-4</v>
      </c>
      <c r="AG47" s="28">
        <v>1.6348533333333299</v>
      </c>
      <c r="AH47" s="28">
        <v>7.8000000000022496E-5</v>
      </c>
      <c r="AI47" s="28">
        <v>-4.2666666666602021E-4</v>
      </c>
      <c r="AJ47" s="28">
        <v>3.5833333333301631E-4</v>
      </c>
      <c r="AK47" s="28">
        <v>2.1000000000000191E-4</v>
      </c>
      <c r="AL47" s="28">
        <v>-3.6733333333005552E-4</v>
      </c>
      <c r="AM47" s="28">
        <v>-4.3499999999996319E-4</v>
      </c>
      <c r="AN47" s="28">
        <v>-3.4199999999995351E-4</v>
      </c>
      <c r="AO47" s="28">
        <v>4.359999999999919E-4</v>
      </c>
      <c r="AP47" s="28">
        <v>0</v>
      </c>
      <c r="AQ47" s="28">
        <v>0</v>
      </c>
      <c r="AR47" s="28">
        <v>4.6333333333303811E-4</v>
      </c>
      <c r="AS47" s="28">
        <v>-1.5766666666694459E-4</v>
      </c>
      <c r="AT47" s="28">
        <v>2.2833333333294181E-4</v>
      </c>
      <c r="AU47" s="28">
        <v>-3.1700000000001172E-4</v>
      </c>
      <c r="AV47" s="28">
        <v>-3.3600000000000302E-4</v>
      </c>
      <c r="AW47" s="28">
        <v>-3.5600000000002302E-4</v>
      </c>
      <c r="AX47" s="28">
        <v>2.5300000000005868E-4</v>
      </c>
      <c r="AY47" s="28">
        <v>2.9366666666696961E-4</v>
      </c>
      <c r="AZ47" s="28">
        <v>8.2071666666666654E-2</v>
      </c>
      <c r="BA47" s="34">
        <v>4.0215116666666662</v>
      </c>
    </row>
    <row r="48" spans="1:53" x14ac:dyDescent="0.25">
      <c r="A48" s="24">
        <v>47</v>
      </c>
      <c r="B48" s="26">
        <v>23</v>
      </c>
      <c r="C48" s="28">
        <v>9.5666666666965883E-5</v>
      </c>
      <c r="D48" s="28">
        <v>0</v>
      </c>
      <c r="E48" s="28">
        <v>1.666666666669814E-4</v>
      </c>
      <c r="F48" s="28">
        <v>-2.30000000000008E-4</v>
      </c>
      <c r="G48" s="28">
        <v>0</v>
      </c>
      <c r="H48" s="28">
        <v>1.040000000000207E-4</v>
      </c>
      <c r="I48" s="28">
        <v>-1.6133333333290259E-4</v>
      </c>
      <c r="J48" s="28">
        <v>-1.2600000000001499E-4</v>
      </c>
      <c r="K48" s="28">
        <v>3.5966666667008868E-4</v>
      </c>
      <c r="L48" s="28">
        <v>-1.593333333330671E-4</v>
      </c>
      <c r="M48" s="28">
        <v>1.5199999999999941E-4</v>
      </c>
      <c r="N48" s="28">
        <v>-4.639999999999922E-4</v>
      </c>
      <c r="O48" s="28">
        <v>6.0666666666986391E-5</v>
      </c>
      <c r="P48" s="28">
        <v>3.0333333333298912E-4</v>
      </c>
      <c r="Q48" s="28">
        <v>2.4899999999994371E-4</v>
      </c>
      <c r="R48" s="28">
        <v>0.160399666666667</v>
      </c>
      <c r="S48" s="28">
        <v>-1.7466666666698941E-4</v>
      </c>
      <c r="T48" s="28">
        <v>-1.333333333297659E-5</v>
      </c>
      <c r="U48" s="28">
        <v>0</v>
      </c>
      <c r="V48" s="28">
        <v>0.98620533333333305</v>
      </c>
      <c r="W48" s="28">
        <v>-2.4266666666705741E-4</v>
      </c>
      <c r="X48" s="28">
        <v>-3.1466666666669918E-4</v>
      </c>
      <c r="Y48" s="28">
        <v>2.7499999999999752E-4</v>
      </c>
      <c r="Z48" s="28">
        <v>1.6466666666703489E-4</v>
      </c>
      <c r="AA48" s="28">
        <v>2.6666666666924628E-6</v>
      </c>
      <c r="AB48" s="28">
        <v>-1.649999999999707E-4</v>
      </c>
      <c r="AC48" s="28">
        <v>-4.283333333339745E-4</v>
      </c>
      <c r="AD48" s="28">
        <v>0.87497366666666698</v>
      </c>
      <c r="AE48" s="28">
        <v>-3.2000000000004247E-5</v>
      </c>
      <c r="AF48" s="28">
        <v>-3.8366666666700411E-4</v>
      </c>
      <c r="AG48" s="28">
        <v>0.76022833333333395</v>
      </c>
      <c r="AH48" s="28">
        <v>-3.3733333333296761E-4</v>
      </c>
      <c r="AI48" s="28">
        <v>-4.9666666667058663E-5</v>
      </c>
      <c r="AJ48" s="28">
        <v>-6.3333333333026598E-5</v>
      </c>
      <c r="AK48" s="28">
        <v>-6.9388939039072284E-18</v>
      </c>
      <c r="AL48" s="28">
        <v>-1.9066666666700541E-4</v>
      </c>
      <c r="AM48" s="28">
        <v>2.7333333333301463E-4</v>
      </c>
      <c r="AN48" s="28">
        <v>-2.096666666668856E-4</v>
      </c>
      <c r="AO48" s="28">
        <v>-3.4666666666960388E-5</v>
      </c>
      <c r="AP48" s="28">
        <v>0</v>
      </c>
      <c r="AQ48" s="28">
        <v>0</v>
      </c>
      <c r="AR48" s="28">
        <v>0</v>
      </c>
      <c r="AS48" s="28">
        <v>1.2666666666699691E-4</v>
      </c>
      <c r="AT48" s="28">
        <v>-1.4066666666701089E-4</v>
      </c>
      <c r="AU48" s="28">
        <v>-3.3733333333296761E-4</v>
      </c>
      <c r="AV48" s="28">
        <v>-1.163333333329963E-4</v>
      </c>
      <c r="AW48" s="28">
        <v>0</v>
      </c>
      <c r="AX48" s="28">
        <v>0</v>
      </c>
      <c r="AY48" s="28">
        <v>9.6666666666966883E-5</v>
      </c>
      <c r="AZ48" s="28">
        <v>5.6731884353741581E-2</v>
      </c>
      <c r="BA48" s="34">
        <v>2.779862333333337</v>
      </c>
    </row>
    <row r="49" spans="1:53" x14ac:dyDescent="0.25">
      <c r="A49" s="25">
        <v>48</v>
      </c>
      <c r="B49" s="27">
        <v>23.5</v>
      </c>
      <c r="C49" s="29">
        <v>-8.0666666667061904E-5</v>
      </c>
      <c r="D49" s="29">
        <v>-5.1999999999996487E-5</v>
      </c>
      <c r="E49" s="29">
        <v>-2.7399999999999652E-4</v>
      </c>
      <c r="F49" s="29">
        <v>0</v>
      </c>
      <c r="G49" s="29">
        <v>2.0666666666702141E-4</v>
      </c>
      <c r="H49" s="29">
        <v>-1.0000000000010001E-6</v>
      </c>
      <c r="I49" s="29">
        <v>-1.733333333329978E-4</v>
      </c>
      <c r="J49" s="29">
        <v>0</v>
      </c>
      <c r="K49" s="29">
        <v>1.02999999999992E-4</v>
      </c>
      <c r="L49" s="29">
        <v>1.2233333333300231E-4</v>
      </c>
      <c r="M49" s="29">
        <v>1.8999999999989861E-4</v>
      </c>
      <c r="N49" s="29">
        <v>-2.319999999999961E-4</v>
      </c>
      <c r="O49" s="29">
        <v>1.819999999999877E-4</v>
      </c>
      <c r="P49" s="29">
        <v>4.2233333333299711E-4</v>
      </c>
      <c r="Q49" s="29">
        <v>4.943333333300437E-4</v>
      </c>
      <c r="R49" s="29">
        <v>0.127969</v>
      </c>
      <c r="S49" s="29">
        <v>2.966666666698314E-5</v>
      </c>
      <c r="T49" s="29">
        <v>3.8266666666608717E-4</v>
      </c>
      <c r="U49" s="29">
        <v>3.6500000000000421E-4</v>
      </c>
      <c r="V49" s="29">
        <v>0.67667100000000002</v>
      </c>
      <c r="W49" s="29">
        <v>-8.2666666667008393E-5</v>
      </c>
      <c r="X49" s="29">
        <v>-9.0666666666988638E-5</v>
      </c>
      <c r="Y49" s="29">
        <v>3.5933333333293399E-4</v>
      </c>
      <c r="Z49" s="29">
        <v>3.3379999999999521E-4</v>
      </c>
      <c r="AA49" s="29">
        <v>1.1999999999984251E-5</v>
      </c>
      <c r="AB49" s="29">
        <v>3.3500000000002972E-4</v>
      </c>
      <c r="AC49" s="29">
        <v>-1.750000000001056E-4</v>
      </c>
      <c r="AD49" s="29">
        <v>0.52163599999999999</v>
      </c>
      <c r="AE49" s="29">
        <v>0</v>
      </c>
      <c r="AF49" s="29">
        <v>-1.3666666666700691E-4</v>
      </c>
      <c r="AG49" s="29">
        <v>7.2622666666666599E-2</v>
      </c>
      <c r="AH49" s="29">
        <v>-4.7666666667001152E-5</v>
      </c>
      <c r="AI49" s="29">
        <v>4.1333333333004603E-5</v>
      </c>
      <c r="AJ49" s="29">
        <v>-4.0000000000001151E-4</v>
      </c>
      <c r="AK49" s="29">
        <v>-6.9388939039072284E-18</v>
      </c>
      <c r="AL49" s="29">
        <v>-1.6666666666970139E-5</v>
      </c>
      <c r="AM49" s="29">
        <v>2.9166666666702312E-4</v>
      </c>
      <c r="AN49" s="29">
        <v>4.6999999999997039E-4</v>
      </c>
      <c r="AO49" s="29">
        <v>1.709999999999906E-4</v>
      </c>
      <c r="AP49" s="29">
        <v>0</v>
      </c>
      <c r="AQ49" s="29">
        <v>0</v>
      </c>
      <c r="AR49" s="29">
        <v>-3.2693333333330687E-4</v>
      </c>
      <c r="AS49" s="29">
        <v>-3.6600000000008848E-4</v>
      </c>
      <c r="AT49" s="29">
        <v>-3.1666666666596571E-4</v>
      </c>
      <c r="AU49" s="29">
        <v>2.5333333332988591E-5</v>
      </c>
      <c r="AV49" s="29">
        <v>2.8899999999998371E-4</v>
      </c>
      <c r="AW49" s="29">
        <v>0</v>
      </c>
      <c r="AX49" s="29">
        <v>2.7033333333329612E-4</v>
      </c>
      <c r="AY49" s="29">
        <v>-3.3333333329943482E-6</v>
      </c>
      <c r="AZ49" s="29">
        <v>2.8596330612244768E-2</v>
      </c>
      <c r="BA49" s="35">
        <v>1.401220199999994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0"/>
  <sheetViews>
    <sheetView showGridLines="0" workbookViewId="0"/>
  </sheetViews>
  <sheetFormatPr defaultRowHeight="15" x14ac:dyDescent="0.25"/>
  <cols>
    <col min="1" max="1" width="26" customWidth="1"/>
    <col min="2" max="2" width="16" customWidth="1"/>
    <col min="3" max="3" width="8" customWidth="1"/>
    <col min="4" max="11" width="13" customWidth="1"/>
  </cols>
  <sheetData>
    <row r="1" spans="1:11" ht="30" customHeight="1" x14ac:dyDescent="0.25">
      <c r="A1" s="8" t="s">
        <v>88</v>
      </c>
      <c r="B1" s="21" t="s">
        <v>89</v>
      </c>
      <c r="C1" s="21" t="s">
        <v>90</v>
      </c>
      <c r="D1" s="21" t="s">
        <v>91</v>
      </c>
      <c r="E1" s="21" t="s">
        <v>92</v>
      </c>
      <c r="F1" s="21" t="s">
        <v>93</v>
      </c>
      <c r="G1" s="21" t="s">
        <v>94</v>
      </c>
      <c r="H1" s="21" t="s">
        <v>95</v>
      </c>
      <c r="I1" s="21" t="s">
        <v>96</v>
      </c>
      <c r="J1" s="21" t="s">
        <v>97</v>
      </c>
      <c r="K1" s="9" t="s">
        <v>98</v>
      </c>
    </row>
    <row r="2" spans="1:11" x14ac:dyDescent="0.25">
      <c r="A2" s="10" t="s">
        <v>37</v>
      </c>
      <c r="B2" s="22" t="s">
        <v>99</v>
      </c>
      <c r="C2" s="36">
        <v>3</v>
      </c>
      <c r="D2" s="28">
        <v>3.6</v>
      </c>
      <c r="E2" s="28">
        <v>4.2</v>
      </c>
      <c r="F2" s="28">
        <v>32.31</v>
      </c>
      <c r="G2" s="28">
        <v>12.22</v>
      </c>
      <c r="H2" s="28">
        <v>20.7</v>
      </c>
      <c r="I2" s="28">
        <v>2E-3</v>
      </c>
      <c r="J2" s="26">
        <v>35.9</v>
      </c>
      <c r="K2" s="17">
        <v>100</v>
      </c>
    </row>
    <row r="3" spans="1:11" x14ac:dyDescent="0.25">
      <c r="A3" s="10" t="s">
        <v>38</v>
      </c>
      <c r="B3" s="22" t="s">
        <v>100</v>
      </c>
      <c r="C3" s="36">
        <v>1</v>
      </c>
      <c r="D3" s="28">
        <v>3.6</v>
      </c>
      <c r="E3" s="28">
        <v>4.2</v>
      </c>
      <c r="F3" s="28">
        <v>32.31</v>
      </c>
      <c r="G3" s="28">
        <v>8.02</v>
      </c>
      <c r="H3" s="28">
        <v>23.5</v>
      </c>
      <c r="I3" s="28">
        <v>2E-3</v>
      </c>
      <c r="J3" s="26">
        <v>27.3</v>
      </c>
      <c r="K3" s="17">
        <v>100</v>
      </c>
    </row>
    <row r="4" spans="1:11" x14ac:dyDescent="0.25">
      <c r="A4" s="10" t="s">
        <v>39</v>
      </c>
      <c r="B4" s="22" t="s">
        <v>101</v>
      </c>
      <c r="C4" s="36">
        <v>2</v>
      </c>
      <c r="D4" s="28">
        <v>3.6</v>
      </c>
      <c r="E4" s="28">
        <v>4.2</v>
      </c>
      <c r="F4" s="28">
        <v>32.31</v>
      </c>
      <c r="G4" s="28">
        <v>5.52</v>
      </c>
      <c r="H4" s="28">
        <v>25.45</v>
      </c>
      <c r="I4" s="28">
        <v>2E-3</v>
      </c>
      <c r="J4" s="26">
        <v>21.2</v>
      </c>
      <c r="K4" s="17">
        <v>100</v>
      </c>
    </row>
    <row r="5" spans="1:11" x14ac:dyDescent="0.25">
      <c r="A5" s="10" t="s">
        <v>40</v>
      </c>
      <c r="B5" s="22" t="s">
        <v>102</v>
      </c>
      <c r="C5" s="36">
        <v>3</v>
      </c>
      <c r="D5" s="28">
        <v>3.6</v>
      </c>
      <c r="E5" s="28">
        <v>4.2</v>
      </c>
      <c r="F5" s="28">
        <v>24.23</v>
      </c>
      <c r="G5" s="28">
        <v>9.16</v>
      </c>
      <c r="H5" s="28">
        <v>15.14</v>
      </c>
      <c r="I5" s="28">
        <v>2E-3</v>
      </c>
      <c r="J5" s="26">
        <v>37.5</v>
      </c>
      <c r="K5" s="17">
        <v>100</v>
      </c>
    </row>
    <row r="6" spans="1:11" x14ac:dyDescent="0.25">
      <c r="A6" s="10" t="s">
        <v>41</v>
      </c>
      <c r="B6" s="22" t="s">
        <v>103</v>
      </c>
      <c r="C6" s="36">
        <v>3</v>
      </c>
      <c r="D6" s="28">
        <v>3.6</v>
      </c>
      <c r="E6" s="28">
        <v>4.2</v>
      </c>
      <c r="F6" s="28">
        <v>32.31</v>
      </c>
      <c r="G6" s="28">
        <v>5.58</v>
      </c>
      <c r="H6" s="28">
        <v>26.11</v>
      </c>
      <c r="I6" s="28">
        <v>1E-3</v>
      </c>
      <c r="J6" s="26">
        <v>19.2</v>
      </c>
      <c r="K6" s="17">
        <v>100</v>
      </c>
    </row>
    <row r="7" spans="1:11" x14ac:dyDescent="0.25">
      <c r="A7" s="10" t="s">
        <v>42</v>
      </c>
      <c r="B7" s="22" t="s">
        <v>104</v>
      </c>
      <c r="C7" s="36">
        <v>2</v>
      </c>
      <c r="D7" s="28">
        <v>3.6</v>
      </c>
      <c r="E7" s="28">
        <v>4.2</v>
      </c>
      <c r="F7" s="28">
        <v>32.31</v>
      </c>
      <c r="G7" s="28">
        <v>8.2799999999999994</v>
      </c>
      <c r="H7" s="28">
        <v>24.16</v>
      </c>
      <c r="I7" s="28">
        <v>2E-3</v>
      </c>
      <c r="J7" s="26">
        <v>25.2</v>
      </c>
      <c r="K7" s="17">
        <v>100</v>
      </c>
    </row>
    <row r="8" spans="1:11" x14ac:dyDescent="0.25">
      <c r="A8" s="10" t="s">
        <v>43</v>
      </c>
      <c r="B8" s="22" t="s">
        <v>105</v>
      </c>
      <c r="C8" s="36">
        <v>1</v>
      </c>
      <c r="D8" s="28">
        <v>3.6</v>
      </c>
      <c r="E8" s="28">
        <v>4.2</v>
      </c>
      <c r="F8" s="28">
        <v>24.23</v>
      </c>
      <c r="G8" s="28">
        <v>8.7200000000000006</v>
      </c>
      <c r="H8" s="28">
        <v>15.42</v>
      </c>
      <c r="I8" s="28">
        <v>1E-3</v>
      </c>
      <c r="J8" s="26">
        <v>36.4</v>
      </c>
      <c r="K8" s="17">
        <v>100</v>
      </c>
    </row>
    <row r="9" spans="1:11" x14ac:dyDescent="0.25">
      <c r="A9" s="10" t="s">
        <v>44</v>
      </c>
      <c r="B9" s="22" t="s">
        <v>106</v>
      </c>
      <c r="C9" s="36">
        <v>2</v>
      </c>
      <c r="D9" s="28">
        <v>3.6</v>
      </c>
      <c r="E9" s="28">
        <v>4.2</v>
      </c>
      <c r="F9" s="28">
        <v>28.27</v>
      </c>
      <c r="G9" s="28">
        <v>4.79</v>
      </c>
      <c r="H9" s="28">
        <v>21.04</v>
      </c>
      <c r="I9" s="28">
        <v>1E-3</v>
      </c>
      <c r="J9" s="26">
        <v>25.6</v>
      </c>
      <c r="K9" s="17">
        <v>100</v>
      </c>
    </row>
    <row r="10" spans="1:11" x14ac:dyDescent="0.25">
      <c r="A10" s="10" t="s">
        <v>45</v>
      </c>
      <c r="B10" s="22" t="s">
        <v>107</v>
      </c>
      <c r="C10" s="36">
        <v>2</v>
      </c>
      <c r="D10" s="28">
        <v>3.6</v>
      </c>
      <c r="E10" s="28">
        <v>4.2</v>
      </c>
      <c r="F10" s="28">
        <v>32.31</v>
      </c>
      <c r="G10" s="28">
        <v>6.35</v>
      </c>
      <c r="H10" s="28">
        <v>24.86</v>
      </c>
      <c r="I10" s="28">
        <v>2E-3</v>
      </c>
      <c r="J10" s="26">
        <v>23</v>
      </c>
      <c r="K10" s="17">
        <v>100</v>
      </c>
    </row>
    <row r="11" spans="1:11" x14ac:dyDescent="0.25">
      <c r="A11" s="10" t="s">
        <v>46</v>
      </c>
      <c r="B11" s="22" t="s">
        <v>108</v>
      </c>
      <c r="C11" s="36">
        <v>3</v>
      </c>
      <c r="D11" s="28">
        <v>3.6</v>
      </c>
      <c r="E11" s="28">
        <v>4.2</v>
      </c>
      <c r="F11" s="28">
        <v>32.31</v>
      </c>
      <c r="G11" s="28">
        <v>9.16</v>
      </c>
      <c r="H11" s="28">
        <v>22.88</v>
      </c>
      <c r="I11" s="28">
        <v>1E-3</v>
      </c>
      <c r="J11" s="26">
        <v>29.2</v>
      </c>
      <c r="K11" s="17">
        <v>100</v>
      </c>
    </row>
    <row r="12" spans="1:11" x14ac:dyDescent="0.25">
      <c r="A12" s="10" t="s">
        <v>47</v>
      </c>
      <c r="B12" s="22" t="s">
        <v>109</v>
      </c>
      <c r="C12" s="36">
        <v>3</v>
      </c>
      <c r="D12" s="28">
        <v>3.6</v>
      </c>
      <c r="E12" s="28">
        <v>4.2</v>
      </c>
      <c r="F12" s="28">
        <v>16.149999999999999</v>
      </c>
      <c r="G12" s="28">
        <v>6.29</v>
      </c>
      <c r="H12" s="28">
        <v>9.9499999999999993</v>
      </c>
      <c r="I12" s="28">
        <v>1E-3</v>
      </c>
      <c r="J12" s="26">
        <v>38.4</v>
      </c>
      <c r="K12" s="17">
        <v>100</v>
      </c>
    </row>
    <row r="13" spans="1:11" x14ac:dyDescent="0.25">
      <c r="A13" s="10" t="s">
        <v>48</v>
      </c>
      <c r="B13" s="22" t="s">
        <v>110</v>
      </c>
      <c r="C13" s="36">
        <v>2</v>
      </c>
      <c r="D13" s="28">
        <v>3.6</v>
      </c>
      <c r="E13" s="28">
        <v>4.2</v>
      </c>
      <c r="F13" s="28">
        <v>16.149999999999999</v>
      </c>
      <c r="G13" s="28">
        <v>6.46</v>
      </c>
      <c r="H13" s="28">
        <v>9.2899999999999991</v>
      </c>
      <c r="I13" s="28">
        <v>0.38800000000000001</v>
      </c>
      <c r="J13" s="26">
        <v>42.5</v>
      </c>
      <c r="K13" s="17">
        <v>94</v>
      </c>
    </row>
    <row r="14" spans="1:11" x14ac:dyDescent="0.25">
      <c r="A14" s="10" t="s">
        <v>49</v>
      </c>
      <c r="B14" s="22" t="s">
        <v>111</v>
      </c>
      <c r="C14" s="36">
        <v>3</v>
      </c>
      <c r="D14" s="28">
        <v>3.6</v>
      </c>
      <c r="E14" s="28">
        <v>4.2</v>
      </c>
      <c r="F14" s="28">
        <v>32.31</v>
      </c>
      <c r="G14" s="28">
        <v>15.61</v>
      </c>
      <c r="H14" s="28">
        <v>15.27</v>
      </c>
      <c r="I14" s="28">
        <v>2E-3</v>
      </c>
      <c r="J14" s="26">
        <v>52.7</v>
      </c>
      <c r="K14" s="17">
        <v>100</v>
      </c>
    </row>
    <row r="15" spans="1:11" x14ac:dyDescent="0.25">
      <c r="A15" s="10" t="s">
        <v>50</v>
      </c>
      <c r="B15" s="22" t="s">
        <v>112</v>
      </c>
      <c r="C15" s="36">
        <v>3</v>
      </c>
      <c r="D15" s="28">
        <v>3.6</v>
      </c>
      <c r="E15" s="28">
        <v>4.2</v>
      </c>
      <c r="F15" s="28">
        <v>32.31</v>
      </c>
      <c r="G15" s="28">
        <v>6.58</v>
      </c>
      <c r="H15" s="28">
        <v>24.58</v>
      </c>
      <c r="I15" s="28">
        <v>1E-3</v>
      </c>
      <c r="J15" s="26">
        <v>23.9</v>
      </c>
      <c r="K15" s="17">
        <v>100</v>
      </c>
    </row>
    <row r="16" spans="1:11" x14ac:dyDescent="0.25">
      <c r="A16" s="10" t="s">
        <v>51</v>
      </c>
      <c r="B16" s="22" t="s">
        <v>113</v>
      </c>
      <c r="C16" s="36">
        <v>2</v>
      </c>
      <c r="D16" s="28">
        <v>3.6</v>
      </c>
      <c r="E16" s="28">
        <v>4.2</v>
      </c>
      <c r="F16" s="28">
        <v>16.149999999999999</v>
      </c>
      <c r="G16" s="28">
        <v>5.59</v>
      </c>
      <c r="H16" s="28">
        <v>10</v>
      </c>
      <c r="I16" s="28">
        <v>3.0000000000000001E-3</v>
      </c>
      <c r="J16" s="26">
        <v>38.1</v>
      </c>
      <c r="K16" s="17">
        <v>99.9</v>
      </c>
    </row>
    <row r="17" spans="1:11" x14ac:dyDescent="0.25">
      <c r="A17" s="10" t="s">
        <v>52</v>
      </c>
      <c r="B17" s="22" t="s">
        <v>114</v>
      </c>
      <c r="C17" s="36">
        <v>1</v>
      </c>
      <c r="D17" s="28">
        <v>3.6</v>
      </c>
      <c r="E17" s="28">
        <v>4.2</v>
      </c>
      <c r="F17" s="28">
        <v>20.190000000000001</v>
      </c>
      <c r="G17" s="28">
        <v>15.11</v>
      </c>
      <c r="H17" s="28">
        <v>7.44</v>
      </c>
      <c r="I17" s="28">
        <v>1.6</v>
      </c>
      <c r="J17" s="26">
        <v>63.2</v>
      </c>
      <c r="K17" s="17">
        <v>89.4</v>
      </c>
    </row>
    <row r="18" spans="1:11" x14ac:dyDescent="0.25">
      <c r="A18" s="10" t="s">
        <v>53</v>
      </c>
      <c r="B18" s="22" t="s">
        <v>115</v>
      </c>
      <c r="C18" s="36">
        <v>2</v>
      </c>
      <c r="D18" s="28">
        <v>3.6</v>
      </c>
      <c r="E18" s="28">
        <v>4.2</v>
      </c>
      <c r="F18" s="28">
        <v>28.27</v>
      </c>
      <c r="G18" s="28">
        <v>10.08</v>
      </c>
      <c r="H18" s="28">
        <v>17.34</v>
      </c>
      <c r="I18" s="28">
        <v>2E-3</v>
      </c>
      <c r="J18" s="26">
        <v>38.700000000000003</v>
      </c>
      <c r="K18" s="17">
        <v>100</v>
      </c>
    </row>
    <row r="19" spans="1:11" x14ac:dyDescent="0.25">
      <c r="A19" s="10" t="s">
        <v>54</v>
      </c>
      <c r="B19" s="22" t="s">
        <v>116</v>
      </c>
      <c r="C19" s="36">
        <v>2</v>
      </c>
      <c r="D19" s="28">
        <v>3.6</v>
      </c>
      <c r="E19" s="28">
        <v>4.2</v>
      </c>
      <c r="F19" s="28">
        <v>32.31</v>
      </c>
      <c r="G19" s="28">
        <v>7.51</v>
      </c>
      <c r="H19" s="28">
        <v>25.4</v>
      </c>
      <c r="I19" s="28">
        <v>2E-3</v>
      </c>
      <c r="J19" s="26">
        <v>21.4</v>
      </c>
      <c r="K19" s="17">
        <v>100</v>
      </c>
    </row>
    <row r="20" spans="1:11" x14ac:dyDescent="0.25">
      <c r="A20" s="10" t="s">
        <v>55</v>
      </c>
      <c r="B20" s="22" t="s">
        <v>117</v>
      </c>
      <c r="C20" s="36">
        <v>1</v>
      </c>
      <c r="D20" s="28">
        <v>3.6</v>
      </c>
      <c r="E20" s="28">
        <v>4.2</v>
      </c>
      <c r="F20" s="28">
        <v>28.27</v>
      </c>
      <c r="G20" s="28">
        <v>4.29</v>
      </c>
      <c r="H20" s="28">
        <v>22.13</v>
      </c>
      <c r="I20" s="28">
        <v>1E-3</v>
      </c>
      <c r="J20" s="26">
        <v>21.7</v>
      </c>
      <c r="K20" s="17">
        <v>100</v>
      </c>
    </row>
    <row r="21" spans="1:11" x14ac:dyDescent="0.25">
      <c r="A21" s="10" t="s">
        <v>56</v>
      </c>
      <c r="B21" s="22" t="s">
        <v>118</v>
      </c>
      <c r="C21" s="36">
        <v>1</v>
      </c>
      <c r="D21" s="28">
        <v>3.6</v>
      </c>
      <c r="E21" s="28">
        <v>4.2</v>
      </c>
      <c r="F21" s="28">
        <v>12.11</v>
      </c>
      <c r="G21" s="28">
        <v>9.5</v>
      </c>
      <c r="H21" s="28">
        <v>4.95</v>
      </c>
      <c r="I21" s="28">
        <v>1.4630000000000001</v>
      </c>
      <c r="J21" s="26">
        <v>59.2</v>
      </c>
      <c r="K21" s="17">
        <v>84.6</v>
      </c>
    </row>
    <row r="22" spans="1:11" x14ac:dyDescent="0.25">
      <c r="A22" s="10" t="s">
        <v>57</v>
      </c>
      <c r="B22" s="22" t="s">
        <v>119</v>
      </c>
      <c r="C22" s="36">
        <v>1</v>
      </c>
      <c r="D22" s="28">
        <v>3.6</v>
      </c>
      <c r="E22" s="28">
        <v>4.2</v>
      </c>
      <c r="F22" s="28">
        <v>32.31</v>
      </c>
      <c r="G22" s="28">
        <v>5.0199999999999996</v>
      </c>
      <c r="H22" s="28">
        <v>27.15</v>
      </c>
      <c r="I22" s="28">
        <v>1E-3</v>
      </c>
      <c r="J22" s="26">
        <v>16</v>
      </c>
      <c r="K22" s="17">
        <v>100</v>
      </c>
    </row>
    <row r="23" spans="1:11" x14ac:dyDescent="0.25">
      <c r="A23" s="10" t="s">
        <v>58</v>
      </c>
      <c r="B23" s="22" t="s">
        <v>120</v>
      </c>
      <c r="C23" s="36">
        <v>2</v>
      </c>
      <c r="D23" s="28">
        <v>3.6</v>
      </c>
      <c r="E23" s="28">
        <v>4.2</v>
      </c>
      <c r="F23" s="28">
        <v>32.31</v>
      </c>
      <c r="G23" s="28">
        <v>4.63</v>
      </c>
      <c r="H23" s="28">
        <v>25.78</v>
      </c>
      <c r="I23" s="28">
        <v>1E-3</v>
      </c>
      <c r="J23" s="26">
        <v>20.2</v>
      </c>
      <c r="K23" s="17">
        <v>100</v>
      </c>
    </row>
    <row r="24" spans="1:11" x14ac:dyDescent="0.25">
      <c r="A24" s="10" t="s">
        <v>59</v>
      </c>
      <c r="B24" s="22" t="s">
        <v>121</v>
      </c>
      <c r="C24" s="36">
        <v>3</v>
      </c>
      <c r="D24" s="28">
        <v>3.6</v>
      </c>
      <c r="E24" s="28">
        <v>4.2</v>
      </c>
      <c r="F24" s="28">
        <v>32.31</v>
      </c>
      <c r="G24" s="28">
        <v>6.45</v>
      </c>
      <c r="H24" s="28">
        <v>25.22</v>
      </c>
      <c r="I24" s="28">
        <v>1E-3</v>
      </c>
      <c r="J24" s="26">
        <v>21.9</v>
      </c>
      <c r="K24" s="17">
        <v>100</v>
      </c>
    </row>
    <row r="25" spans="1:11" x14ac:dyDescent="0.25">
      <c r="A25" s="10" t="s">
        <v>60</v>
      </c>
      <c r="B25" s="22" t="s">
        <v>122</v>
      </c>
      <c r="C25" s="36">
        <v>3</v>
      </c>
      <c r="D25" s="28">
        <v>3.6</v>
      </c>
      <c r="E25" s="28">
        <v>4.2</v>
      </c>
      <c r="F25" s="28">
        <v>32.31</v>
      </c>
      <c r="G25" s="28">
        <v>4.51</v>
      </c>
      <c r="H25" s="28">
        <v>26.55</v>
      </c>
      <c r="I25" s="28">
        <v>1E-3</v>
      </c>
      <c r="J25" s="26">
        <v>17.8</v>
      </c>
      <c r="K25" s="17">
        <v>100</v>
      </c>
    </row>
    <row r="26" spans="1:11" x14ac:dyDescent="0.25">
      <c r="A26" s="10" t="s">
        <v>61</v>
      </c>
      <c r="B26" s="22" t="s">
        <v>123</v>
      </c>
      <c r="C26" s="36">
        <v>1</v>
      </c>
      <c r="D26" s="28">
        <v>3.6</v>
      </c>
      <c r="E26" s="28">
        <v>4.2</v>
      </c>
      <c r="F26" s="28">
        <v>20.190000000000001</v>
      </c>
      <c r="G26" s="28">
        <v>3.42</v>
      </c>
      <c r="H26" s="28">
        <v>14.67</v>
      </c>
      <c r="I26" s="28">
        <v>1E-3</v>
      </c>
      <c r="J26" s="26">
        <v>27.3</v>
      </c>
      <c r="K26" s="17">
        <v>100</v>
      </c>
    </row>
    <row r="27" spans="1:11" x14ac:dyDescent="0.25">
      <c r="A27" s="10" t="s">
        <v>62</v>
      </c>
      <c r="B27" s="22" t="s">
        <v>124</v>
      </c>
      <c r="C27" s="36">
        <v>1</v>
      </c>
      <c r="D27" s="28">
        <v>3.6</v>
      </c>
      <c r="E27" s="28">
        <v>4.2</v>
      </c>
      <c r="F27" s="28">
        <v>32.31</v>
      </c>
      <c r="G27" s="28">
        <v>5.8</v>
      </c>
      <c r="H27" s="28">
        <v>25.8</v>
      </c>
      <c r="I27" s="28">
        <v>0.19700000000000001</v>
      </c>
      <c r="J27" s="26">
        <v>20.100000000000001</v>
      </c>
      <c r="K27" s="17">
        <v>96.6</v>
      </c>
    </row>
    <row r="28" spans="1:11" x14ac:dyDescent="0.25">
      <c r="A28" s="10" t="s">
        <v>63</v>
      </c>
      <c r="B28" s="22" t="s">
        <v>125</v>
      </c>
      <c r="C28" s="36">
        <v>2</v>
      </c>
      <c r="D28" s="28">
        <v>3.6</v>
      </c>
      <c r="E28" s="28">
        <v>4.2</v>
      </c>
      <c r="F28" s="28">
        <v>28.27</v>
      </c>
      <c r="G28" s="28">
        <v>5.38</v>
      </c>
      <c r="H28" s="28">
        <v>22.16</v>
      </c>
      <c r="I28" s="28">
        <v>1E-3</v>
      </c>
      <c r="J28" s="26">
        <v>21.6</v>
      </c>
      <c r="K28" s="17">
        <v>100</v>
      </c>
    </row>
    <row r="29" spans="1:11" x14ac:dyDescent="0.25">
      <c r="A29" s="10" t="s">
        <v>64</v>
      </c>
      <c r="B29" s="22" t="s">
        <v>126</v>
      </c>
      <c r="C29" s="36">
        <v>3</v>
      </c>
      <c r="D29" s="28">
        <v>3.6</v>
      </c>
      <c r="E29" s="28">
        <v>4.2</v>
      </c>
      <c r="F29" s="28">
        <v>32.31</v>
      </c>
      <c r="G29" s="28">
        <v>8.1999999999999993</v>
      </c>
      <c r="H29" s="28">
        <v>25.89</v>
      </c>
      <c r="I29" s="28">
        <v>0.93</v>
      </c>
      <c r="J29" s="26">
        <v>19.899999999999999</v>
      </c>
      <c r="K29" s="17">
        <v>88.7</v>
      </c>
    </row>
    <row r="30" spans="1:11" x14ac:dyDescent="0.25">
      <c r="A30" s="10" t="s">
        <v>65</v>
      </c>
      <c r="B30" s="22" t="s">
        <v>127</v>
      </c>
      <c r="C30" s="36">
        <v>2</v>
      </c>
      <c r="D30" s="28">
        <v>3.6</v>
      </c>
      <c r="E30" s="28">
        <v>4.2</v>
      </c>
      <c r="F30" s="28">
        <v>24.23</v>
      </c>
      <c r="G30" s="28">
        <v>6.17</v>
      </c>
      <c r="H30" s="28">
        <v>17.559999999999999</v>
      </c>
      <c r="I30" s="28">
        <v>2E-3</v>
      </c>
      <c r="J30" s="26">
        <v>27.5</v>
      </c>
      <c r="K30" s="17">
        <v>100</v>
      </c>
    </row>
    <row r="31" spans="1:11" x14ac:dyDescent="0.25">
      <c r="A31" s="10" t="s">
        <v>66</v>
      </c>
      <c r="B31" s="22" t="s">
        <v>128</v>
      </c>
      <c r="C31" s="36">
        <v>1</v>
      </c>
      <c r="D31" s="28">
        <v>3.6</v>
      </c>
      <c r="E31" s="28">
        <v>4.2</v>
      </c>
      <c r="F31" s="28">
        <v>32.31</v>
      </c>
      <c r="G31" s="28">
        <v>3.84</v>
      </c>
      <c r="H31" s="28">
        <v>27.11</v>
      </c>
      <c r="I31" s="28">
        <v>1E-3</v>
      </c>
      <c r="J31" s="26">
        <v>16.100000000000001</v>
      </c>
      <c r="K31" s="17">
        <v>100</v>
      </c>
    </row>
    <row r="32" spans="1:11" x14ac:dyDescent="0.25">
      <c r="A32" s="10" t="s">
        <v>67</v>
      </c>
      <c r="B32" s="22" t="s">
        <v>129</v>
      </c>
      <c r="C32" s="36">
        <v>2</v>
      </c>
      <c r="D32" s="28">
        <v>3.6</v>
      </c>
      <c r="E32" s="28">
        <v>4.2</v>
      </c>
      <c r="F32" s="28">
        <v>24.23</v>
      </c>
      <c r="G32" s="28">
        <v>11.19</v>
      </c>
      <c r="H32" s="28">
        <v>15.28</v>
      </c>
      <c r="I32" s="28">
        <v>1.357</v>
      </c>
      <c r="J32" s="26">
        <v>36.9</v>
      </c>
      <c r="K32" s="17">
        <v>87.9</v>
      </c>
    </row>
    <row r="33" spans="1:11" x14ac:dyDescent="0.25">
      <c r="A33" s="10" t="s">
        <v>68</v>
      </c>
      <c r="B33" s="22" t="s">
        <v>130</v>
      </c>
      <c r="C33" s="36">
        <v>1</v>
      </c>
      <c r="D33" s="28">
        <v>3.6</v>
      </c>
      <c r="E33" s="28">
        <v>4.2</v>
      </c>
      <c r="F33" s="28">
        <v>32.31</v>
      </c>
      <c r="G33" s="28">
        <v>4.54</v>
      </c>
      <c r="H33" s="28">
        <v>26.86</v>
      </c>
      <c r="I33" s="28">
        <v>1E-3</v>
      </c>
      <c r="J33" s="26">
        <v>16.899999999999999</v>
      </c>
      <c r="K33" s="17">
        <v>100</v>
      </c>
    </row>
    <row r="34" spans="1:11" x14ac:dyDescent="0.25">
      <c r="A34" s="10" t="s">
        <v>69</v>
      </c>
      <c r="B34" s="22" t="s">
        <v>131</v>
      </c>
      <c r="C34" s="36">
        <v>1</v>
      </c>
      <c r="D34" s="28">
        <v>3.6</v>
      </c>
      <c r="E34" s="28">
        <v>4.2</v>
      </c>
      <c r="F34" s="28">
        <v>28.27</v>
      </c>
      <c r="G34" s="28">
        <v>10.25</v>
      </c>
      <c r="H34" s="28">
        <v>18.78</v>
      </c>
      <c r="I34" s="28">
        <v>8.8999999999999996E-2</v>
      </c>
      <c r="J34" s="26">
        <v>33.5</v>
      </c>
      <c r="K34" s="17">
        <v>99.1</v>
      </c>
    </row>
    <row r="35" spans="1:11" x14ac:dyDescent="0.25">
      <c r="A35" s="10" t="s">
        <v>70</v>
      </c>
      <c r="B35" s="22" t="s">
        <v>132</v>
      </c>
      <c r="C35" s="36">
        <v>1</v>
      </c>
      <c r="D35" s="28">
        <v>3.6</v>
      </c>
      <c r="E35" s="28">
        <v>4.2</v>
      </c>
      <c r="F35" s="28">
        <v>20.190000000000001</v>
      </c>
      <c r="G35" s="28">
        <v>5.94</v>
      </c>
      <c r="H35" s="28">
        <v>13.32</v>
      </c>
      <c r="I35" s="28">
        <v>2E-3</v>
      </c>
      <c r="J35" s="26">
        <v>34.1</v>
      </c>
      <c r="K35" s="17">
        <v>100</v>
      </c>
    </row>
    <row r="36" spans="1:11" x14ac:dyDescent="0.25">
      <c r="A36" s="10" t="s">
        <v>71</v>
      </c>
      <c r="B36" s="22" t="s">
        <v>133</v>
      </c>
      <c r="C36" s="36">
        <v>1</v>
      </c>
      <c r="D36" s="28">
        <v>3.6</v>
      </c>
      <c r="E36" s="28">
        <v>4.2</v>
      </c>
      <c r="F36" s="28">
        <v>32.31</v>
      </c>
      <c r="G36" s="28">
        <v>10.95</v>
      </c>
      <c r="H36" s="28">
        <v>20.34</v>
      </c>
      <c r="I36" s="28">
        <v>2E-3</v>
      </c>
      <c r="J36" s="26">
        <v>37</v>
      </c>
      <c r="K36" s="17">
        <v>100</v>
      </c>
    </row>
    <row r="37" spans="1:11" x14ac:dyDescent="0.25">
      <c r="A37" s="10" t="s">
        <v>72</v>
      </c>
      <c r="B37" s="22" t="s">
        <v>134</v>
      </c>
      <c r="C37" s="36">
        <v>1</v>
      </c>
      <c r="D37" s="28">
        <v>3.6</v>
      </c>
      <c r="E37" s="28">
        <v>4.2</v>
      </c>
      <c r="F37" s="28">
        <v>16.149999999999999</v>
      </c>
      <c r="G37" s="28">
        <v>6.39</v>
      </c>
      <c r="H37" s="28">
        <v>9.83</v>
      </c>
      <c r="I37" s="28">
        <v>1E-3</v>
      </c>
      <c r="J37" s="26">
        <v>39.1</v>
      </c>
      <c r="K37" s="17">
        <v>100</v>
      </c>
    </row>
    <row r="38" spans="1:11" x14ac:dyDescent="0.25">
      <c r="A38" s="10" t="s">
        <v>73</v>
      </c>
      <c r="B38" s="22" t="s">
        <v>135</v>
      </c>
      <c r="C38" s="36">
        <v>3</v>
      </c>
      <c r="D38" s="28">
        <v>3.6</v>
      </c>
      <c r="E38" s="28">
        <v>4.2</v>
      </c>
      <c r="F38" s="28">
        <v>32.31</v>
      </c>
      <c r="G38" s="28">
        <v>9.6</v>
      </c>
      <c r="H38" s="28">
        <v>22.86</v>
      </c>
      <c r="I38" s="28">
        <v>1E-3</v>
      </c>
      <c r="J38" s="26">
        <v>29.2</v>
      </c>
      <c r="K38" s="17">
        <v>100</v>
      </c>
    </row>
    <row r="39" spans="1:11" x14ac:dyDescent="0.25">
      <c r="A39" s="10" t="s">
        <v>74</v>
      </c>
      <c r="B39" s="22" t="s">
        <v>136</v>
      </c>
      <c r="C39" s="36">
        <v>1</v>
      </c>
      <c r="D39" s="28">
        <v>3.6</v>
      </c>
      <c r="E39" s="28">
        <v>4.2</v>
      </c>
      <c r="F39" s="28">
        <v>32.31</v>
      </c>
      <c r="G39" s="28">
        <v>7.35</v>
      </c>
      <c r="H39" s="28">
        <v>24.67</v>
      </c>
      <c r="I39" s="28">
        <v>2E-3</v>
      </c>
      <c r="J39" s="26">
        <v>23.6</v>
      </c>
      <c r="K39" s="17">
        <v>100</v>
      </c>
    </row>
    <row r="40" spans="1:11" x14ac:dyDescent="0.25">
      <c r="A40" s="10" t="s">
        <v>75</v>
      </c>
      <c r="B40" s="22" t="s">
        <v>137</v>
      </c>
      <c r="C40" s="36">
        <v>3</v>
      </c>
      <c r="D40" s="28">
        <v>3.6</v>
      </c>
      <c r="E40" s="28">
        <v>4.2</v>
      </c>
      <c r="F40" s="28">
        <v>32.31</v>
      </c>
      <c r="G40" s="28">
        <v>10.38</v>
      </c>
      <c r="H40" s="28">
        <v>21.47</v>
      </c>
      <c r="I40" s="28">
        <v>1E-3</v>
      </c>
      <c r="J40" s="26">
        <v>33.5</v>
      </c>
      <c r="K40" s="17">
        <v>100</v>
      </c>
    </row>
    <row r="41" spans="1:11" x14ac:dyDescent="0.25">
      <c r="A41" s="10" t="s">
        <v>76</v>
      </c>
      <c r="B41" s="22" t="s">
        <v>138</v>
      </c>
      <c r="C41" s="36">
        <v>2</v>
      </c>
      <c r="D41" s="28">
        <v>3.6</v>
      </c>
      <c r="E41" s="28">
        <v>4.2</v>
      </c>
      <c r="F41" s="28">
        <v>32.31</v>
      </c>
      <c r="G41" s="28">
        <v>1.58</v>
      </c>
      <c r="H41" s="28">
        <v>28.25</v>
      </c>
      <c r="I41" s="28">
        <v>1E-3</v>
      </c>
      <c r="J41" s="26">
        <v>12.6</v>
      </c>
      <c r="K41" s="17">
        <v>100</v>
      </c>
    </row>
    <row r="42" spans="1:11" x14ac:dyDescent="0.25">
      <c r="A42" s="10" t="s">
        <v>77</v>
      </c>
      <c r="B42" s="22" t="s">
        <v>139</v>
      </c>
      <c r="C42" s="36">
        <v>1</v>
      </c>
      <c r="D42" s="28">
        <v>3.6</v>
      </c>
      <c r="E42" s="28">
        <v>4.2</v>
      </c>
      <c r="F42" s="28">
        <v>24.23</v>
      </c>
      <c r="G42" s="28">
        <v>2.63</v>
      </c>
      <c r="H42" s="28">
        <v>19.46</v>
      </c>
      <c r="I42" s="28">
        <v>0</v>
      </c>
      <c r="J42" s="26">
        <v>19.7</v>
      </c>
      <c r="K42" s="17">
        <v>100</v>
      </c>
    </row>
    <row r="43" spans="1:11" x14ac:dyDescent="0.25">
      <c r="A43" s="10" t="s">
        <v>78</v>
      </c>
      <c r="B43" s="22" t="s">
        <v>140</v>
      </c>
      <c r="C43" s="36">
        <v>3</v>
      </c>
      <c r="D43" s="28">
        <v>3.6</v>
      </c>
      <c r="E43" s="28">
        <v>4.2</v>
      </c>
      <c r="F43" s="28">
        <v>20.190000000000001</v>
      </c>
      <c r="G43" s="28">
        <v>4</v>
      </c>
      <c r="H43" s="28">
        <v>15.12</v>
      </c>
      <c r="I43" s="28">
        <v>1E-3</v>
      </c>
      <c r="J43" s="26">
        <v>25.1</v>
      </c>
      <c r="K43" s="17">
        <v>100</v>
      </c>
    </row>
    <row r="44" spans="1:11" x14ac:dyDescent="0.25">
      <c r="A44" s="10" t="s">
        <v>79</v>
      </c>
      <c r="B44" s="22" t="s">
        <v>141</v>
      </c>
      <c r="C44" s="36">
        <v>2</v>
      </c>
      <c r="D44" s="28">
        <v>3.6</v>
      </c>
      <c r="E44" s="28">
        <v>4.2</v>
      </c>
      <c r="F44" s="28">
        <v>28.27</v>
      </c>
      <c r="G44" s="28">
        <v>5.33</v>
      </c>
      <c r="H44" s="28">
        <v>21.7</v>
      </c>
      <c r="I44" s="28">
        <v>1E-3</v>
      </c>
      <c r="J44" s="26">
        <v>23.2</v>
      </c>
      <c r="K44" s="17">
        <v>100</v>
      </c>
    </row>
    <row r="45" spans="1:11" x14ac:dyDescent="0.25">
      <c r="A45" s="10" t="s">
        <v>80</v>
      </c>
      <c r="B45" s="22" t="s">
        <v>142</v>
      </c>
      <c r="C45" s="36">
        <v>1</v>
      </c>
      <c r="D45" s="28">
        <v>3.6</v>
      </c>
      <c r="E45" s="28">
        <v>4.2</v>
      </c>
      <c r="F45" s="28">
        <v>24.23</v>
      </c>
      <c r="G45" s="28">
        <v>6.75</v>
      </c>
      <c r="H45" s="28">
        <v>17.16</v>
      </c>
      <c r="I45" s="28">
        <v>1E-3</v>
      </c>
      <c r="J45" s="26">
        <v>29.2</v>
      </c>
      <c r="K45" s="17">
        <v>100</v>
      </c>
    </row>
    <row r="46" spans="1:11" x14ac:dyDescent="0.25">
      <c r="A46" s="10" t="s">
        <v>81</v>
      </c>
      <c r="B46" s="22" t="s">
        <v>143</v>
      </c>
      <c r="C46" s="36">
        <v>1</v>
      </c>
      <c r="D46" s="28">
        <v>3.6</v>
      </c>
      <c r="E46" s="28">
        <v>4.2</v>
      </c>
      <c r="F46" s="28">
        <v>28.27</v>
      </c>
      <c r="G46" s="28">
        <v>9.76</v>
      </c>
      <c r="H46" s="28">
        <v>19.489999999999998</v>
      </c>
      <c r="I46" s="28">
        <v>0.91</v>
      </c>
      <c r="J46" s="26">
        <v>31</v>
      </c>
      <c r="K46" s="17">
        <v>90.7</v>
      </c>
    </row>
    <row r="47" spans="1:11" x14ac:dyDescent="0.25">
      <c r="A47" s="10" t="s">
        <v>82</v>
      </c>
      <c r="B47" s="22" t="s">
        <v>144</v>
      </c>
      <c r="C47" s="36">
        <v>2</v>
      </c>
      <c r="D47" s="28">
        <v>3.6</v>
      </c>
      <c r="E47" s="28">
        <v>4.2</v>
      </c>
      <c r="F47" s="28">
        <v>28.27</v>
      </c>
      <c r="G47" s="28">
        <v>3.73</v>
      </c>
      <c r="H47" s="28">
        <v>22.81</v>
      </c>
      <c r="I47" s="28">
        <v>1E-3</v>
      </c>
      <c r="J47" s="26">
        <v>19.3</v>
      </c>
      <c r="K47" s="17">
        <v>100</v>
      </c>
    </row>
    <row r="48" spans="1:11" x14ac:dyDescent="0.25">
      <c r="A48" s="10" t="s">
        <v>83</v>
      </c>
      <c r="B48" s="22" t="s">
        <v>145</v>
      </c>
      <c r="C48" s="36">
        <v>3</v>
      </c>
      <c r="D48" s="28">
        <v>3.6</v>
      </c>
      <c r="E48" s="28">
        <v>4.2</v>
      </c>
      <c r="F48" s="28">
        <v>16.149999999999999</v>
      </c>
      <c r="G48" s="28">
        <v>9.57</v>
      </c>
      <c r="H48" s="28">
        <v>6.44</v>
      </c>
      <c r="I48" s="28">
        <v>3.0000000000000001E-3</v>
      </c>
      <c r="J48" s="26">
        <v>60.1</v>
      </c>
      <c r="K48" s="17">
        <v>100</v>
      </c>
    </row>
    <row r="49" spans="1:11" x14ac:dyDescent="0.25">
      <c r="A49" s="10" t="s">
        <v>84</v>
      </c>
      <c r="B49" s="22" t="s">
        <v>146</v>
      </c>
      <c r="C49" s="36">
        <v>1</v>
      </c>
      <c r="D49" s="28">
        <v>3.6</v>
      </c>
      <c r="E49" s="28">
        <v>4.2</v>
      </c>
      <c r="F49" s="28">
        <v>12.11</v>
      </c>
      <c r="G49" s="28">
        <v>7.8</v>
      </c>
      <c r="H49" s="28">
        <v>5.14</v>
      </c>
      <c r="I49" s="28">
        <v>2E-3</v>
      </c>
      <c r="J49" s="26">
        <v>57.5</v>
      </c>
      <c r="K49" s="17">
        <v>100</v>
      </c>
    </row>
    <row r="50" spans="1:11" x14ac:dyDescent="0.25">
      <c r="A50" s="12" t="s">
        <v>85</v>
      </c>
      <c r="B50" s="23" t="s">
        <v>147</v>
      </c>
      <c r="C50" s="37">
        <v>2</v>
      </c>
      <c r="D50" s="29">
        <v>3.6</v>
      </c>
      <c r="E50" s="29">
        <v>4.2</v>
      </c>
      <c r="F50" s="29">
        <v>16.149999999999999</v>
      </c>
      <c r="G50" s="29">
        <v>6.43</v>
      </c>
      <c r="H50" s="29">
        <v>9.75</v>
      </c>
      <c r="I50" s="29">
        <v>3.0000000000000001E-3</v>
      </c>
      <c r="J50" s="27">
        <v>39.6</v>
      </c>
      <c r="K50" s="33">
        <v>100</v>
      </c>
    </row>
  </sheetData>
  <conditionalFormatting sqref="J2:K50">
    <cfRule type="colorScale" priority="1">
      <colorScale>
        <cfvo type="min"/>
        <cfvo type="percentile" val="50"/>
        <cfvo type="max"/>
        <color rgb="FFFDECEC"/>
        <color rgb="FFFFF4E0"/>
        <color rgb="FFEAF6EA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59"/>
  <sheetViews>
    <sheetView showGridLines="0" topLeftCell="A31" workbookViewId="0">
      <selection sqref="A1:Q1"/>
    </sheetView>
  </sheetViews>
  <sheetFormatPr defaultRowHeight="15" x14ac:dyDescent="0.25"/>
  <cols>
    <col min="1" max="2" width="13" customWidth="1"/>
    <col min="3" max="3" width="3" customWidth="1"/>
    <col min="4" max="5" width="13" customWidth="1"/>
    <col min="6" max="6" width="3" customWidth="1"/>
    <col min="7" max="8" width="13" customWidth="1"/>
    <col min="9" max="9" width="3" customWidth="1"/>
    <col min="10" max="11" width="13" customWidth="1"/>
    <col min="12" max="12" width="3" customWidth="1"/>
    <col min="13" max="14" width="13" customWidth="1"/>
    <col min="15" max="15" width="3" customWidth="1"/>
    <col min="16" max="17" width="13" customWidth="1"/>
  </cols>
  <sheetData>
    <row r="1" spans="1:17" ht="33.950000000000003" customHeight="1" x14ac:dyDescent="0.25">
      <c r="A1" s="57" t="s">
        <v>148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17" ht="24" customHeight="1" x14ac:dyDescent="0.25">
      <c r="A2" s="59" t="s">
        <v>149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</row>
    <row r="4" spans="1:17" ht="30" customHeight="1" x14ac:dyDescent="0.25">
      <c r="A4" s="60" t="s">
        <v>150</v>
      </c>
      <c r="B4" s="61" t="s">
        <v>150</v>
      </c>
      <c r="D4" s="64" t="s">
        <v>151</v>
      </c>
      <c r="E4" s="65" t="s">
        <v>151</v>
      </c>
      <c r="G4" s="68" t="s">
        <v>152</v>
      </c>
      <c r="H4" s="69" t="s">
        <v>152</v>
      </c>
      <c r="J4" s="72" t="s">
        <v>153</v>
      </c>
      <c r="K4" s="73" t="s">
        <v>153</v>
      </c>
      <c r="M4" s="76" t="s">
        <v>154</v>
      </c>
      <c r="N4" s="77" t="s">
        <v>154</v>
      </c>
      <c r="P4" s="64" t="s">
        <v>155</v>
      </c>
      <c r="Q4" s="65" t="s">
        <v>155</v>
      </c>
    </row>
    <row r="5" spans="1:17" ht="30" customHeight="1" x14ac:dyDescent="0.25">
      <c r="A5" s="62">
        <f>Summary!B5</f>
        <v>49</v>
      </c>
      <c r="B5" s="63"/>
      <c r="D5" s="66">
        <f>Summary!B6</f>
        <v>1316.4</v>
      </c>
      <c r="E5" s="67"/>
      <c r="G5" s="70">
        <f>Summary!B7</f>
        <v>352.4</v>
      </c>
      <c r="H5" s="71"/>
      <c r="J5" s="74">
        <f>Summary!B9</f>
        <v>7</v>
      </c>
      <c r="K5" s="75"/>
      <c r="M5" s="78">
        <f>Summary!B10</f>
        <v>28.4</v>
      </c>
      <c r="N5" s="79"/>
      <c r="P5" s="80">
        <f>Summary!B11</f>
        <v>98</v>
      </c>
      <c r="Q5" s="67"/>
    </row>
    <row r="43" spans="10:17" x14ac:dyDescent="0.25">
      <c r="J43" s="81" t="s">
        <v>156</v>
      </c>
      <c r="K43" s="82"/>
      <c r="L43" s="82"/>
      <c r="M43" s="82"/>
      <c r="N43" s="82"/>
      <c r="O43" s="82"/>
      <c r="P43" s="82"/>
      <c r="Q43" s="83"/>
    </row>
    <row r="44" spans="10:17" x14ac:dyDescent="0.25">
      <c r="J44" s="84"/>
      <c r="K44" s="85"/>
      <c r="L44" s="85"/>
      <c r="M44" s="85"/>
      <c r="N44" s="85"/>
      <c r="O44" s="85"/>
      <c r="P44" s="85"/>
      <c r="Q44" s="86"/>
    </row>
    <row r="45" spans="10:17" x14ac:dyDescent="0.25">
      <c r="J45" s="84"/>
      <c r="K45" s="85"/>
      <c r="L45" s="85"/>
      <c r="M45" s="85"/>
      <c r="N45" s="85"/>
      <c r="O45" s="85"/>
      <c r="P45" s="85"/>
      <c r="Q45" s="86"/>
    </row>
    <row r="46" spans="10:17" x14ac:dyDescent="0.25">
      <c r="J46" s="84"/>
      <c r="K46" s="85"/>
      <c r="L46" s="85"/>
      <c r="M46" s="85"/>
      <c r="N46" s="85"/>
      <c r="O46" s="85"/>
      <c r="P46" s="85"/>
      <c r="Q46" s="86"/>
    </row>
    <row r="47" spans="10:17" x14ac:dyDescent="0.25">
      <c r="J47" s="84"/>
      <c r="K47" s="85"/>
      <c r="L47" s="85"/>
      <c r="M47" s="85"/>
      <c r="N47" s="85"/>
      <c r="O47" s="85"/>
      <c r="P47" s="85"/>
      <c r="Q47" s="86"/>
    </row>
    <row r="48" spans="10:17" x14ac:dyDescent="0.25">
      <c r="J48" s="84"/>
      <c r="K48" s="85"/>
      <c r="L48" s="85"/>
      <c r="M48" s="85"/>
      <c r="N48" s="85"/>
      <c r="O48" s="85"/>
      <c r="P48" s="85"/>
      <c r="Q48" s="86"/>
    </row>
    <row r="49" spans="10:17" x14ac:dyDescent="0.25">
      <c r="J49" s="84"/>
      <c r="K49" s="85"/>
      <c r="L49" s="85"/>
      <c r="M49" s="85"/>
      <c r="N49" s="85"/>
      <c r="O49" s="85"/>
      <c r="P49" s="85"/>
      <c r="Q49" s="86"/>
    </row>
    <row r="50" spans="10:17" x14ac:dyDescent="0.25">
      <c r="J50" s="84"/>
      <c r="K50" s="85"/>
      <c r="L50" s="85"/>
      <c r="M50" s="85"/>
      <c r="N50" s="85"/>
      <c r="O50" s="85"/>
      <c r="P50" s="85"/>
      <c r="Q50" s="86"/>
    </row>
    <row r="51" spans="10:17" x14ac:dyDescent="0.25">
      <c r="J51" s="84"/>
      <c r="K51" s="85"/>
      <c r="L51" s="85"/>
      <c r="M51" s="85"/>
      <c r="N51" s="85"/>
      <c r="O51" s="85"/>
      <c r="P51" s="85"/>
      <c r="Q51" s="86"/>
    </row>
    <row r="52" spans="10:17" x14ac:dyDescent="0.25">
      <c r="J52" s="84"/>
      <c r="K52" s="85"/>
      <c r="L52" s="85"/>
      <c r="M52" s="85"/>
      <c r="N52" s="85"/>
      <c r="O52" s="85"/>
      <c r="P52" s="85"/>
      <c r="Q52" s="86"/>
    </row>
    <row r="53" spans="10:17" x14ac:dyDescent="0.25">
      <c r="J53" s="84"/>
      <c r="K53" s="85"/>
      <c r="L53" s="85"/>
      <c r="M53" s="85"/>
      <c r="N53" s="85"/>
      <c r="O53" s="85"/>
      <c r="P53" s="85"/>
      <c r="Q53" s="86"/>
    </row>
    <row r="54" spans="10:17" x14ac:dyDescent="0.25">
      <c r="J54" s="84"/>
      <c r="K54" s="85"/>
      <c r="L54" s="85"/>
      <c r="M54" s="85"/>
      <c r="N54" s="85"/>
      <c r="O54" s="85"/>
      <c r="P54" s="85"/>
      <c r="Q54" s="86"/>
    </row>
    <row r="55" spans="10:17" x14ac:dyDescent="0.25">
      <c r="J55" s="84"/>
      <c r="K55" s="85"/>
      <c r="L55" s="85"/>
      <c r="M55" s="85"/>
      <c r="N55" s="85"/>
      <c r="O55" s="85"/>
      <c r="P55" s="85"/>
      <c r="Q55" s="86"/>
    </row>
    <row r="56" spans="10:17" x14ac:dyDescent="0.25">
      <c r="J56" s="84"/>
      <c r="K56" s="85"/>
      <c r="L56" s="85"/>
      <c r="M56" s="85"/>
      <c r="N56" s="85"/>
      <c r="O56" s="85"/>
      <c r="P56" s="85"/>
      <c r="Q56" s="86"/>
    </row>
    <row r="57" spans="10:17" x14ac:dyDescent="0.25">
      <c r="J57" s="84"/>
      <c r="K57" s="85"/>
      <c r="L57" s="85"/>
      <c r="M57" s="85"/>
      <c r="N57" s="85"/>
      <c r="O57" s="85"/>
      <c r="P57" s="85"/>
      <c r="Q57" s="86"/>
    </row>
    <row r="58" spans="10:17" x14ac:dyDescent="0.25">
      <c r="J58" s="84"/>
      <c r="K58" s="85"/>
      <c r="L58" s="85"/>
      <c r="M58" s="85"/>
      <c r="N58" s="85"/>
      <c r="O58" s="85"/>
      <c r="P58" s="85"/>
      <c r="Q58" s="86"/>
    </row>
    <row r="59" spans="10:17" x14ac:dyDescent="0.25">
      <c r="J59" s="87"/>
      <c r="K59" s="88"/>
      <c r="L59" s="88"/>
      <c r="M59" s="88"/>
      <c r="N59" s="88"/>
      <c r="O59" s="88"/>
      <c r="P59" s="88"/>
      <c r="Q59" s="89"/>
    </row>
  </sheetData>
  <mergeCells count="15">
    <mergeCell ref="J43:Q59"/>
    <mergeCell ref="A1:Q1"/>
    <mergeCell ref="A2:Q2"/>
    <mergeCell ref="A4:B4"/>
    <mergeCell ref="A5:B5"/>
    <mergeCell ref="D4:E4"/>
    <mergeCell ref="D5:E5"/>
    <mergeCell ref="G4:H4"/>
    <mergeCell ref="G5:H5"/>
    <mergeCell ref="J4:K4"/>
    <mergeCell ref="J5:K5"/>
    <mergeCell ref="M4:N4"/>
    <mergeCell ref="M5:N5"/>
    <mergeCell ref="P4:Q4"/>
    <mergeCell ref="P5:Q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50"/>
  <sheetViews>
    <sheetView showGridLines="0" workbookViewId="0"/>
  </sheetViews>
  <sheetFormatPr defaultRowHeight="15" x14ac:dyDescent="0.25"/>
  <cols>
    <col min="1" max="1" width="9" customWidth="1"/>
    <col min="2" max="4" width="16" customWidth="1"/>
    <col min="6" max="6" width="9" customWidth="1"/>
    <col min="7" max="9" width="16" customWidth="1"/>
    <col min="11" max="11" width="26" customWidth="1"/>
    <col min="12" max="13" width="12" customWidth="1"/>
    <col min="15" max="15" width="8" customWidth="1"/>
    <col min="16" max="16" width="26" customWidth="1"/>
    <col min="17" max="17" width="15" customWidth="1"/>
    <col min="18" max="18" width="14" customWidth="1"/>
    <col min="20" max="20" width="9" customWidth="1"/>
    <col min="21" max="25" width="15" customWidth="1"/>
    <col min="27" max="33" width="15" customWidth="1"/>
  </cols>
  <sheetData>
    <row r="1" spans="1:33" x14ac:dyDescent="0.25">
      <c r="A1" s="38" t="s">
        <v>157</v>
      </c>
      <c r="B1" s="39" t="s">
        <v>158</v>
      </c>
      <c r="C1" s="39" t="s">
        <v>159</v>
      </c>
      <c r="D1" s="40" t="s">
        <v>160</v>
      </c>
      <c r="F1" s="38" t="s">
        <v>157</v>
      </c>
      <c r="G1" s="39" t="s">
        <v>161</v>
      </c>
      <c r="H1" s="39" t="s">
        <v>162</v>
      </c>
      <c r="I1" s="40" t="s">
        <v>163</v>
      </c>
      <c r="K1" s="38" t="s">
        <v>164</v>
      </c>
      <c r="L1" s="39" t="s">
        <v>165</v>
      </c>
      <c r="M1" s="40" t="s">
        <v>166</v>
      </c>
      <c r="O1" s="38" t="s">
        <v>167</v>
      </c>
      <c r="P1" s="39" t="s">
        <v>164</v>
      </c>
      <c r="Q1" s="39" t="s">
        <v>168</v>
      </c>
      <c r="R1" s="40" t="s">
        <v>169</v>
      </c>
      <c r="T1" s="38" t="s">
        <v>157</v>
      </c>
      <c r="U1" s="39" t="s">
        <v>170</v>
      </c>
      <c r="V1" s="39" t="s">
        <v>171</v>
      </c>
      <c r="W1" s="39" t="s">
        <v>172</v>
      </c>
      <c r="X1" s="39" t="s">
        <v>173</v>
      </c>
      <c r="Y1" s="40" t="s">
        <v>174</v>
      </c>
      <c r="AA1" s="38" t="s">
        <v>157</v>
      </c>
      <c r="AB1" s="39" t="s">
        <v>175</v>
      </c>
      <c r="AC1" s="39" t="s">
        <v>176</v>
      </c>
      <c r="AD1" s="39" t="s">
        <v>177</v>
      </c>
      <c r="AE1" s="39" t="s">
        <v>178</v>
      </c>
      <c r="AF1" s="39" t="s">
        <v>179</v>
      </c>
      <c r="AG1" s="40" t="s">
        <v>180</v>
      </c>
    </row>
    <row r="2" spans="1:33" x14ac:dyDescent="0.25">
      <c r="A2" s="41">
        <f>FleetAverage!B2</f>
        <v>0</v>
      </c>
      <c r="B2" s="43">
        <f>FleetAverage!I2</f>
        <v>9.241675333333335</v>
      </c>
      <c r="C2" s="43">
        <f>FleetAverage!J2</f>
        <v>0</v>
      </c>
      <c r="D2" s="44">
        <f>FleetAverage!K2</f>
        <v>-2.3246666666665305E-3</v>
      </c>
      <c r="F2" s="41">
        <f>FleetAverage!B2</f>
        <v>0</v>
      </c>
      <c r="G2" s="47">
        <f>FleetAverage!E2</f>
        <v>0</v>
      </c>
      <c r="H2" s="47">
        <f>FleetAverage!F2</f>
        <v>0.18865306122448983</v>
      </c>
      <c r="I2" s="49">
        <f>FleetAverage!H2</f>
        <v>40</v>
      </c>
      <c r="K2" s="4" t="str">
        <f>ProsumerMetrics!A2</f>
        <v>BES_TR3_one195_C</v>
      </c>
      <c r="L2" s="51">
        <f>ProsumerMetrics!J2</f>
        <v>35.9</v>
      </c>
      <c r="M2" s="49">
        <f>ProsumerMetrics!K2</f>
        <v>100</v>
      </c>
      <c r="O2" s="53">
        <v>1</v>
      </c>
      <c r="P2" s="19" t="str">
        <f>INDEX(ProsumerMetrics!$A$2:$A$50,MATCH(Q2,ProsumerMetrics!$H$2:$H$50,0))</f>
        <v>BES_TR3_two292_B</v>
      </c>
      <c r="Q2" s="43">
        <f>LARGE(ProsumerMetrics!$H$2:$H$50,O2)</f>
        <v>28.25</v>
      </c>
      <c r="R2" s="5" t="str">
        <f t="shared" ref="R2:R11" si="0">MID(P2,9,99)</f>
        <v>two292_B</v>
      </c>
      <c r="T2" s="41">
        <f>FleetAverage!B2</f>
        <v>0</v>
      </c>
      <c r="U2" s="47">
        <f>FleetAverage!C2</f>
        <v>0.18860561904761908</v>
      </c>
      <c r="V2" s="47">
        <f>FleetAverage!D2</f>
        <v>0</v>
      </c>
      <c r="W2" s="47">
        <f>FleetAverage!E2</f>
        <v>0</v>
      </c>
      <c r="X2" s="47">
        <f>FleetAverage!F2</f>
        <v>0.18865306122448983</v>
      </c>
      <c r="Y2" s="55">
        <f>FleetAverage!G2</f>
        <v>-4.744217687074892E-5</v>
      </c>
      <c r="AA2" s="41">
        <f>FleetAverage!B2</f>
        <v>0</v>
      </c>
      <c r="AB2" s="47">
        <f>0</f>
        <v>0</v>
      </c>
      <c r="AC2" s="47">
        <f>FleetAverage!G2</f>
        <v>-4.744217687074892E-5</v>
      </c>
      <c r="AD2" s="47">
        <f t="shared" ref="AD2:AD49" si="1">MAX(AC2,0)</f>
        <v>0</v>
      </c>
      <c r="AE2" s="47">
        <f t="shared" ref="AE2:AE49" si="2">MIN(AC2,0)</f>
        <v>-4.744217687074892E-5</v>
      </c>
      <c r="AF2" s="51">
        <f>100</f>
        <v>100</v>
      </c>
      <c r="AG2" s="49">
        <f>FleetAverage!H2</f>
        <v>40</v>
      </c>
    </row>
    <row r="3" spans="1:33" x14ac:dyDescent="0.25">
      <c r="A3" s="41">
        <f>FleetAverage!B3</f>
        <v>0.5</v>
      </c>
      <c r="B3" s="43">
        <f>FleetAverage!I3</f>
        <v>8.8049309333333383</v>
      </c>
      <c r="C3" s="43">
        <f>FleetAverage!J3</f>
        <v>0</v>
      </c>
      <c r="D3" s="44">
        <f>FleetAverage!K3</f>
        <v>-2.0690666666620672E-3</v>
      </c>
      <c r="F3" s="41">
        <f>FleetAverage!B3</f>
        <v>0.5</v>
      </c>
      <c r="G3" s="47">
        <f>FleetAverage!E3</f>
        <v>0</v>
      </c>
      <c r="H3" s="47">
        <f>FleetAverage!F3</f>
        <v>0.17973469387755103</v>
      </c>
      <c r="I3" s="49">
        <f>FleetAverage!H3</f>
        <v>37.633279591836732</v>
      </c>
      <c r="K3" s="4" t="str">
        <f>ProsumerMetrics!A3</f>
        <v>BES_TR3_one235_A</v>
      </c>
      <c r="L3" s="51">
        <f>ProsumerMetrics!J3</f>
        <v>27.3</v>
      </c>
      <c r="M3" s="49">
        <f>ProsumerMetrics!K3</f>
        <v>100</v>
      </c>
      <c r="O3" s="53">
        <v>2</v>
      </c>
      <c r="P3" s="19" t="str">
        <f>INDEX(ProsumerMetrics!$A$2:$A$50,MATCH(Q3,ProsumerMetrics!$H$2:$H$50,0))</f>
        <v>BES_TR3_one480_A</v>
      </c>
      <c r="Q3" s="43">
        <f>LARGE(ProsumerMetrics!$H$2:$H$50,O3)</f>
        <v>27.15</v>
      </c>
      <c r="R3" s="5" t="str">
        <f t="shared" si="0"/>
        <v>one480_A</v>
      </c>
      <c r="T3" s="41">
        <f>FleetAverage!B3</f>
        <v>0.5</v>
      </c>
      <c r="U3" s="47">
        <f>FleetAverage!C3</f>
        <v>0.17969246802721098</v>
      </c>
      <c r="V3" s="47">
        <f>FleetAverage!D3</f>
        <v>0</v>
      </c>
      <c r="W3" s="47">
        <f>FleetAverage!E3</f>
        <v>0</v>
      </c>
      <c r="X3" s="47">
        <f>FleetAverage!F3</f>
        <v>0.17973469387755103</v>
      </c>
      <c r="Y3" s="55">
        <f>FleetAverage!G3</f>
        <v>-4.2225850340055215E-5</v>
      </c>
      <c r="AA3" s="41">
        <f>FleetAverage!B3</f>
        <v>0.5</v>
      </c>
      <c r="AB3" s="47">
        <f>0</f>
        <v>0</v>
      </c>
      <c r="AC3" s="47">
        <f>FleetAverage!G3</f>
        <v>-4.2225850340055215E-5</v>
      </c>
      <c r="AD3" s="47">
        <f t="shared" si="1"/>
        <v>0</v>
      </c>
      <c r="AE3" s="47">
        <f t="shared" si="2"/>
        <v>-4.2225850340055215E-5</v>
      </c>
      <c r="AF3" s="51">
        <f>100</f>
        <v>100</v>
      </c>
      <c r="AG3" s="49">
        <f>FleetAverage!H3</f>
        <v>37.633279591836732</v>
      </c>
    </row>
    <row r="4" spans="1:33" x14ac:dyDescent="0.25">
      <c r="A4" s="41">
        <f>FleetAverage!B4</f>
        <v>1</v>
      </c>
      <c r="B4" s="43">
        <f>FleetAverage!I4</f>
        <v>7.0148706666666651</v>
      </c>
      <c r="C4" s="43">
        <f>FleetAverage!J4</f>
        <v>0</v>
      </c>
      <c r="D4" s="44">
        <f>FleetAverage!K4</f>
        <v>-1.2933333333542407E-4</v>
      </c>
      <c r="F4" s="41">
        <f>FleetAverage!B4</f>
        <v>1</v>
      </c>
      <c r="G4" s="47">
        <f>FleetAverage!E4</f>
        <v>0</v>
      </c>
      <c r="H4" s="47">
        <f>FleetAverage!F4</f>
        <v>0.14316326530612247</v>
      </c>
      <c r="I4" s="49">
        <f>FleetAverage!H4</f>
        <v>35.378414285714292</v>
      </c>
      <c r="K4" s="4" t="str">
        <f>ProsumerMetrics!A4</f>
        <v>BES_TR3_one242_B</v>
      </c>
      <c r="L4" s="51">
        <f>ProsumerMetrics!J4</f>
        <v>21.2</v>
      </c>
      <c r="M4" s="49">
        <f>ProsumerMetrics!K4</f>
        <v>100</v>
      </c>
      <c r="O4" s="53">
        <v>3</v>
      </c>
      <c r="P4" s="19" t="str">
        <f>INDEX(ProsumerMetrics!$A$2:$A$50,MATCH(Q4,ProsumerMetrics!$H$2:$H$50,0))</f>
        <v>BES_TR3_one605_A</v>
      </c>
      <c r="Q4" s="43">
        <f>LARGE(ProsumerMetrics!$H$2:$H$50,O4)</f>
        <v>27.11</v>
      </c>
      <c r="R4" s="5" t="str">
        <f t="shared" si="0"/>
        <v>one605_A</v>
      </c>
      <c r="T4" s="41">
        <f>FleetAverage!B4</f>
        <v>1</v>
      </c>
      <c r="U4" s="47">
        <f>FleetAverage!C4</f>
        <v>0.14316062585034012</v>
      </c>
      <c r="V4" s="47">
        <f>FleetAverage!D4</f>
        <v>0</v>
      </c>
      <c r="W4" s="47">
        <f>FleetAverage!E4</f>
        <v>0</v>
      </c>
      <c r="X4" s="47">
        <f>FleetAverage!F4</f>
        <v>0.14316326530612247</v>
      </c>
      <c r="Y4" s="55">
        <f>FleetAverage!G4</f>
        <v>-2.6394557823550269E-6</v>
      </c>
      <c r="AA4" s="41">
        <f>FleetAverage!B4</f>
        <v>1</v>
      </c>
      <c r="AB4" s="47">
        <f>0</f>
        <v>0</v>
      </c>
      <c r="AC4" s="47">
        <f>FleetAverage!G4</f>
        <v>-2.6394557823550269E-6</v>
      </c>
      <c r="AD4" s="47">
        <f t="shared" si="1"/>
        <v>0</v>
      </c>
      <c r="AE4" s="47">
        <f t="shared" si="2"/>
        <v>-2.6394557823550269E-6</v>
      </c>
      <c r="AF4" s="51">
        <f>100</f>
        <v>100</v>
      </c>
      <c r="AG4" s="49">
        <f>FleetAverage!H4</f>
        <v>35.378414285714292</v>
      </c>
    </row>
    <row r="5" spans="1:33" x14ac:dyDescent="0.25">
      <c r="A5" s="41">
        <f>FleetAverage!B5</f>
        <v>1.5</v>
      </c>
      <c r="B5" s="43">
        <f>FleetAverage!I5</f>
        <v>6.7329373333333322</v>
      </c>
      <c r="C5" s="43">
        <f>FleetAverage!J5</f>
        <v>0</v>
      </c>
      <c r="D5" s="44">
        <f>FleetAverage!K5</f>
        <v>0.27793733333333392</v>
      </c>
      <c r="F5" s="41">
        <f>FleetAverage!B5</f>
        <v>1.5</v>
      </c>
      <c r="G5" s="47">
        <f>FleetAverage!E5</f>
        <v>0</v>
      </c>
      <c r="H5" s="47">
        <f>FleetAverage!F5</f>
        <v>0.13173469387755099</v>
      </c>
      <c r="I5" s="49">
        <f>FleetAverage!H5</f>
        <v>33.581959183673462</v>
      </c>
      <c r="K5" s="4" t="str">
        <f>ProsumerMetrics!A5</f>
        <v>BES_TR3_one252_C</v>
      </c>
      <c r="L5" s="51">
        <f>ProsumerMetrics!J5</f>
        <v>37.5</v>
      </c>
      <c r="M5" s="49">
        <f>ProsumerMetrics!K5</f>
        <v>100</v>
      </c>
      <c r="O5" s="53">
        <v>4</v>
      </c>
      <c r="P5" s="19" t="str">
        <f>INDEX(ProsumerMetrics!$A$2:$A$50,MATCH(Q5,ProsumerMetrics!$H$2:$H$50,0))</f>
        <v>BES_TR3_one617_A</v>
      </c>
      <c r="Q5" s="43">
        <f>LARGE(ProsumerMetrics!$H$2:$H$50,O5)</f>
        <v>26.86</v>
      </c>
      <c r="R5" s="5" t="str">
        <f t="shared" si="0"/>
        <v>one617_A</v>
      </c>
      <c r="T5" s="41">
        <f>FleetAverage!B5</f>
        <v>1.5</v>
      </c>
      <c r="U5" s="47">
        <f>FleetAverage!C5</f>
        <v>0.13740688435374149</v>
      </c>
      <c r="V5" s="47">
        <f>FleetAverage!D5</f>
        <v>0</v>
      </c>
      <c r="W5" s="47">
        <f>FleetAverage!E5</f>
        <v>0</v>
      </c>
      <c r="X5" s="47">
        <f>FleetAverage!F5</f>
        <v>0.13173469387755099</v>
      </c>
      <c r="Y5" s="55">
        <f>FleetAverage!G5</f>
        <v>5.6721904761904973E-3</v>
      </c>
      <c r="AA5" s="41">
        <f>FleetAverage!B5</f>
        <v>1.5</v>
      </c>
      <c r="AB5" s="47">
        <f>0</f>
        <v>0</v>
      </c>
      <c r="AC5" s="47">
        <f>FleetAverage!G5</f>
        <v>5.6721904761904973E-3</v>
      </c>
      <c r="AD5" s="47">
        <f t="shared" si="1"/>
        <v>5.6721904761904973E-3</v>
      </c>
      <c r="AE5" s="47">
        <f t="shared" si="2"/>
        <v>0</v>
      </c>
      <c r="AF5" s="51">
        <f>100</f>
        <v>100</v>
      </c>
      <c r="AG5" s="49">
        <f>FleetAverage!H5</f>
        <v>33.581959183673462</v>
      </c>
    </row>
    <row r="6" spans="1:33" x14ac:dyDescent="0.25">
      <c r="A6" s="41">
        <f>FleetAverage!B6</f>
        <v>2</v>
      </c>
      <c r="B6" s="43">
        <f>FleetAverage!I6</f>
        <v>6.5175566666666667</v>
      </c>
      <c r="C6" s="43">
        <f>FleetAverage!J6</f>
        <v>0</v>
      </c>
      <c r="D6" s="44">
        <f>FleetAverage!K6</f>
        <v>0.78055666666666657</v>
      </c>
      <c r="F6" s="41">
        <f>FleetAverage!B6</f>
        <v>2</v>
      </c>
      <c r="G6" s="47">
        <f>FleetAverage!E6</f>
        <v>0</v>
      </c>
      <c r="H6" s="47">
        <f>FleetAverage!F6</f>
        <v>0.11708163265306122</v>
      </c>
      <c r="I6" s="49">
        <f>FleetAverage!H6</f>
        <v>31.928912244897951</v>
      </c>
      <c r="K6" s="4" t="str">
        <f>ProsumerMetrics!A6</f>
        <v>BES_TR3_one260_C</v>
      </c>
      <c r="L6" s="51">
        <f>ProsumerMetrics!J6</f>
        <v>19.2</v>
      </c>
      <c r="M6" s="49">
        <f>ProsumerMetrics!K6</f>
        <v>100</v>
      </c>
      <c r="O6" s="53">
        <v>5</v>
      </c>
      <c r="P6" s="19" t="str">
        <f>INDEX(ProsumerMetrics!$A$2:$A$50,MATCH(Q6,ProsumerMetrics!$H$2:$H$50,0))</f>
        <v>BES_TR3_one528_C</v>
      </c>
      <c r="Q6" s="43">
        <f>LARGE(ProsumerMetrics!$H$2:$H$50,O6)</f>
        <v>26.55</v>
      </c>
      <c r="R6" s="5" t="str">
        <f t="shared" si="0"/>
        <v>one528_C</v>
      </c>
      <c r="T6" s="41">
        <f>FleetAverage!B6</f>
        <v>2</v>
      </c>
      <c r="U6" s="47">
        <f>FleetAverage!C6</f>
        <v>0.13301136054421769</v>
      </c>
      <c r="V6" s="47">
        <f>FleetAverage!D6</f>
        <v>0</v>
      </c>
      <c r="W6" s="47">
        <f>FleetAverage!E6</f>
        <v>0</v>
      </c>
      <c r="X6" s="47">
        <f>FleetAverage!F6</f>
        <v>0.11708163265306122</v>
      </c>
      <c r="Y6" s="55">
        <f>FleetAverage!G6</f>
        <v>1.5929727891156473E-2</v>
      </c>
      <c r="AA6" s="41">
        <f>FleetAverage!B6</f>
        <v>2</v>
      </c>
      <c r="AB6" s="47">
        <f>0</f>
        <v>0</v>
      </c>
      <c r="AC6" s="47">
        <f>FleetAverage!G6</f>
        <v>1.5929727891156473E-2</v>
      </c>
      <c r="AD6" s="47">
        <f t="shared" si="1"/>
        <v>1.5929727891156473E-2</v>
      </c>
      <c r="AE6" s="47">
        <f t="shared" si="2"/>
        <v>0</v>
      </c>
      <c r="AF6" s="51">
        <f>100</f>
        <v>100</v>
      </c>
      <c r="AG6" s="49">
        <f>FleetAverage!H6</f>
        <v>31.928912244897951</v>
      </c>
    </row>
    <row r="7" spans="1:33" x14ac:dyDescent="0.25">
      <c r="A7" s="41">
        <f>FleetAverage!B7</f>
        <v>2.5</v>
      </c>
      <c r="B7" s="43">
        <f>FleetAverage!I7</f>
        <v>5.5908339999999956</v>
      </c>
      <c r="C7" s="43">
        <f>FleetAverage!J7</f>
        <v>0</v>
      </c>
      <c r="D7" s="44">
        <f>FleetAverage!K7</f>
        <v>0.76383399999999568</v>
      </c>
      <c r="F7" s="41">
        <f>FleetAverage!B7</f>
        <v>2.5</v>
      </c>
      <c r="G7" s="47">
        <f>FleetAverage!E7</f>
        <v>0</v>
      </c>
      <c r="H7" s="47">
        <f>FleetAverage!F7</f>
        <v>9.8510204081632649E-2</v>
      </c>
      <c r="I7" s="49">
        <f>FleetAverage!H7</f>
        <v>30.459697959183675</v>
      </c>
      <c r="K7" s="4" t="str">
        <f>ProsumerMetrics!A7</f>
        <v>BES_TR3_one299_B</v>
      </c>
      <c r="L7" s="51">
        <f>ProsumerMetrics!J7</f>
        <v>25.2</v>
      </c>
      <c r="M7" s="49">
        <f>ProsumerMetrics!K7</f>
        <v>100</v>
      </c>
      <c r="O7" s="53">
        <v>6</v>
      </c>
      <c r="P7" s="19" t="str">
        <f>INDEX(ProsumerMetrics!$A$2:$A$50,MATCH(Q7,ProsumerMetrics!$H$2:$H$50,0))</f>
        <v>BES_TR3_one260_C</v>
      </c>
      <c r="Q7" s="43">
        <f>LARGE(ProsumerMetrics!$H$2:$H$50,O7)</f>
        <v>26.11</v>
      </c>
      <c r="R7" s="5" t="str">
        <f t="shared" si="0"/>
        <v>one260_C</v>
      </c>
      <c r="T7" s="41">
        <f>FleetAverage!B7</f>
        <v>2.5</v>
      </c>
      <c r="U7" s="47">
        <f>FleetAverage!C7</f>
        <v>0.11409865306122439</v>
      </c>
      <c r="V7" s="47">
        <f>FleetAverage!D7</f>
        <v>0</v>
      </c>
      <c r="W7" s="47">
        <f>FleetAverage!E7</f>
        <v>0</v>
      </c>
      <c r="X7" s="47">
        <f>FleetAverage!F7</f>
        <v>9.8510204081632649E-2</v>
      </c>
      <c r="Y7" s="55">
        <f>FleetAverage!G7</f>
        <v>1.5588448979591746E-2</v>
      </c>
      <c r="AA7" s="41">
        <f>FleetAverage!B7</f>
        <v>2.5</v>
      </c>
      <c r="AB7" s="47">
        <f>0</f>
        <v>0</v>
      </c>
      <c r="AC7" s="47">
        <f>FleetAverage!G7</f>
        <v>1.5588448979591746E-2</v>
      </c>
      <c r="AD7" s="47">
        <f t="shared" si="1"/>
        <v>1.5588448979591746E-2</v>
      </c>
      <c r="AE7" s="47">
        <f t="shared" si="2"/>
        <v>0</v>
      </c>
      <c r="AF7" s="51">
        <f>100</f>
        <v>100</v>
      </c>
      <c r="AG7" s="49">
        <f>FleetAverage!H7</f>
        <v>30.459697959183675</v>
      </c>
    </row>
    <row r="8" spans="1:33" x14ac:dyDescent="0.25">
      <c r="A8" s="41">
        <f>FleetAverage!B8</f>
        <v>3</v>
      </c>
      <c r="B8" s="43">
        <f>FleetAverage!I8</f>
        <v>5.3404216666666668</v>
      </c>
      <c r="C8" s="43">
        <f>FleetAverage!J8</f>
        <v>0</v>
      </c>
      <c r="D8" s="44">
        <f>FleetAverage!K8</f>
        <v>0.29642166666666725</v>
      </c>
      <c r="F8" s="41">
        <f>FleetAverage!B8</f>
        <v>3</v>
      </c>
      <c r="G8" s="47">
        <f>FleetAverage!E8</f>
        <v>0</v>
      </c>
      <c r="H8" s="47">
        <f>FleetAverage!F8</f>
        <v>0.10293877551020407</v>
      </c>
      <c r="I8" s="49">
        <f>FleetAverage!H8</f>
        <v>29.222646938775522</v>
      </c>
      <c r="K8" s="4" t="str">
        <f>ProsumerMetrics!A8</f>
        <v>BES_TR3_one313_A</v>
      </c>
      <c r="L8" s="51">
        <f>ProsumerMetrics!J8</f>
        <v>36.4</v>
      </c>
      <c r="M8" s="49">
        <f>ProsumerMetrics!K8</f>
        <v>100</v>
      </c>
      <c r="O8" s="53">
        <v>7</v>
      </c>
      <c r="P8" s="19" t="str">
        <f>INDEX(ProsumerMetrics!$A$2:$A$50,MATCH(Q8,ProsumerMetrics!$H$2:$H$50,0))</f>
        <v>BES_TR3_one559_C</v>
      </c>
      <c r="Q8" s="43">
        <f>LARGE(ProsumerMetrics!$H$2:$H$50,O8)</f>
        <v>25.89</v>
      </c>
      <c r="R8" s="5" t="str">
        <f t="shared" si="0"/>
        <v>one559_C</v>
      </c>
      <c r="T8" s="41">
        <f>FleetAverage!B8</f>
        <v>3</v>
      </c>
      <c r="U8" s="47">
        <f>FleetAverage!C8</f>
        <v>0.10898819727891157</v>
      </c>
      <c r="V8" s="47">
        <f>FleetAverage!D8</f>
        <v>0</v>
      </c>
      <c r="W8" s="47">
        <f>FleetAverage!E8</f>
        <v>0</v>
      </c>
      <c r="X8" s="47">
        <f>FleetAverage!F8</f>
        <v>0.10293877551020407</v>
      </c>
      <c r="Y8" s="55">
        <f>FleetAverage!G8</f>
        <v>6.0494217687074997E-3</v>
      </c>
      <c r="AA8" s="41">
        <f>FleetAverage!B8</f>
        <v>3</v>
      </c>
      <c r="AB8" s="47">
        <f>0</f>
        <v>0</v>
      </c>
      <c r="AC8" s="47">
        <f>FleetAverage!G8</f>
        <v>6.0494217687074997E-3</v>
      </c>
      <c r="AD8" s="47">
        <f t="shared" si="1"/>
        <v>6.0494217687074997E-3</v>
      </c>
      <c r="AE8" s="47">
        <f t="shared" si="2"/>
        <v>0</v>
      </c>
      <c r="AF8" s="51">
        <f>100</f>
        <v>100</v>
      </c>
      <c r="AG8" s="49">
        <f>FleetAverage!H8</f>
        <v>29.222646938775522</v>
      </c>
    </row>
    <row r="9" spans="1:33" x14ac:dyDescent="0.25">
      <c r="A9" s="41">
        <f>FleetAverage!B9</f>
        <v>3.5</v>
      </c>
      <c r="B9" s="43">
        <f>FleetAverage!I9</f>
        <v>5.9279249999999983</v>
      </c>
      <c r="C9" s="43">
        <f>FleetAverage!J9</f>
        <v>0.14021274126666672</v>
      </c>
      <c r="D9" s="44">
        <f>FleetAverage!K9</f>
        <v>0.47471225873333101</v>
      </c>
      <c r="F9" s="41">
        <f>FleetAverage!B9</f>
        <v>3.5</v>
      </c>
      <c r="G9" s="47">
        <f>FleetAverage!E9</f>
        <v>0</v>
      </c>
      <c r="H9" s="47">
        <f>FleetAverage!F9</f>
        <v>0.10842857142857144</v>
      </c>
      <c r="I9" s="49">
        <f>FleetAverage!H9</f>
        <v>27.93054081632652</v>
      </c>
      <c r="K9" s="4" t="str">
        <f>ProsumerMetrics!A9</f>
        <v>BES_TR3_one42_B</v>
      </c>
      <c r="L9" s="51">
        <f>ProsumerMetrics!J9</f>
        <v>25.6</v>
      </c>
      <c r="M9" s="49">
        <f>ProsumerMetrics!K9</f>
        <v>100</v>
      </c>
      <c r="O9" s="53">
        <v>8</v>
      </c>
      <c r="P9" s="19" t="str">
        <f>INDEX(ProsumerMetrics!$A$2:$A$50,MATCH(Q9,ProsumerMetrics!$H$2:$H$50,0))</f>
        <v>BES_TR3_one544_A</v>
      </c>
      <c r="Q9" s="43">
        <f>LARGE(ProsumerMetrics!$H$2:$H$50,O9)</f>
        <v>25.8</v>
      </c>
      <c r="R9" s="5" t="str">
        <f t="shared" si="0"/>
        <v>one544_A</v>
      </c>
      <c r="T9" s="41">
        <f>FleetAverage!B9</f>
        <v>3.5</v>
      </c>
      <c r="U9" s="47">
        <f>FleetAverage!C9</f>
        <v>0.12097806122448976</v>
      </c>
      <c r="V9" s="47">
        <f>FleetAverage!D9</f>
        <v>2.8614845156462597E-3</v>
      </c>
      <c r="W9" s="47">
        <f>FleetAverage!E9</f>
        <v>0</v>
      </c>
      <c r="X9" s="47">
        <f>FleetAverage!F9</f>
        <v>0.10842857142857144</v>
      </c>
      <c r="Y9" s="55">
        <f>FleetAverage!G9</f>
        <v>9.6880052802720551E-3</v>
      </c>
      <c r="AA9" s="41">
        <f>FleetAverage!B9</f>
        <v>3.5</v>
      </c>
      <c r="AB9" s="47">
        <f>0</f>
        <v>0</v>
      </c>
      <c r="AC9" s="47">
        <f>FleetAverage!G9</f>
        <v>9.6880052802720551E-3</v>
      </c>
      <c r="AD9" s="47">
        <f t="shared" si="1"/>
        <v>9.6880052802720551E-3</v>
      </c>
      <c r="AE9" s="47">
        <f t="shared" si="2"/>
        <v>0</v>
      </c>
      <c r="AF9" s="51">
        <f>100</f>
        <v>100</v>
      </c>
      <c r="AG9" s="49">
        <f>FleetAverage!H9</f>
        <v>27.93054081632652</v>
      </c>
    </row>
    <row r="10" spans="1:33" x14ac:dyDescent="0.25">
      <c r="A10" s="41">
        <f>FleetAverage!B10</f>
        <v>4</v>
      </c>
      <c r="B10" s="43">
        <f>FleetAverage!I10</f>
        <v>5.7000433333333334</v>
      </c>
      <c r="C10" s="43">
        <f>FleetAverage!J10</f>
        <v>2.026680570733328</v>
      </c>
      <c r="D10" s="44">
        <f>FleetAverage!K10</f>
        <v>0.41956617600000623</v>
      </c>
      <c r="F10" s="41">
        <f>FleetAverage!B10</f>
        <v>4</v>
      </c>
      <c r="G10" s="47">
        <f>FleetAverage!E10</f>
        <v>7.3469387755102048E-4</v>
      </c>
      <c r="H10" s="47">
        <f>FleetAverage!F10</f>
        <v>6.7138705848979574E-2</v>
      </c>
      <c r="I10" s="49">
        <f>FleetAverage!H10</f>
        <v>26.571010204081634</v>
      </c>
      <c r="K10" s="4" t="str">
        <f>ProsumerMetrics!A10</f>
        <v>BES_TR3_one320_B</v>
      </c>
      <c r="L10" s="51">
        <f>ProsumerMetrics!J10</f>
        <v>23</v>
      </c>
      <c r="M10" s="49">
        <f>ProsumerMetrics!K10</f>
        <v>100</v>
      </c>
      <c r="O10" s="53">
        <v>9</v>
      </c>
      <c r="P10" s="19" t="str">
        <f>INDEX(ProsumerMetrics!$A$2:$A$50,MATCH(Q10,ProsumerMetrics!$H$2:$H$50,0))</f>
        <v>BES_TR3_one482_B</v>
      </c>
      <c r="Q10" s="43">
        <f>LARGE(ProsumerMetrics!$H$2:$H$50,O10)</f>
        <v>25.78</v>
      </c>
      <c r="R10" s="5" t="str">
        <f t="shared" si="0"/>
        <v>one482_B</v>
      </c>
      <c r="T10" s="41">
        <f>FleetAverage!B10</f>
        <v>4</v>
      </c>
      <c r="U10" s="47">
        <f>FleetAverage!C10</f>
        <v>0.11632741496598639</v>
      </c>
      <c r="V10" s="47">
        <f>FleetAverage!D10</f>
        <v>4.1360827974149549E-2</v>
      </c>
      <c r="W10" s="47">
        <f>FleetAverage!E10</f>
        <v>7.3469387755102048E-4</v>
      </c>
      <c r="X10" s="47">
        <f>FleetAverage!F10</f>
        <v>6.7138705848979574E-2</v>
      </c>
      <c r="Y10" s="55">
        <f>FleetAverage!G10</f>
        <v>8.562575020408289E-3</v>
      </c>
      <c r="AA10" s="41">
        <f>FleetAverage!B10</f>
        <v>4</v>
      </c>
      <c r="AB10" s="47">
        <f>0</f>
        <v>0</v>
      </c>
      <c r="AC10" s="47">
        <f>FleetAverage!G10</f>
        <v>8.562575020408289E-3</v>
      </c>
      <c r="AD10" s="47">
        <f t="shared" si="1"/>
        <v>8.562575020408289E-3</v>
      </c>
      <c r="AE10" s="47">
        <f t="shared" si="2"/>
        <v>0</v>
      </c>
      <c r="AF10" s="51">
        <f>100</f>
        <v>100</v>
      </c>
      <c r="AG10" s="49">
        <f>FleetAverage!H10</f>
        <v>26.571010204081634</v>
      </c>
    </row>
    <row r="11" spans="1:33" x14ac:dyDescent="0.25">
      <c r="A11" s="41">
        <f>FleetAverage!B11</f>
        <v>4.5</v>
      </c>
      <c r="B11" s="43">
        <f>FleetAverage!I11</f>
        <v>6.9677286666666669</v>
      </c>
      <c r="C11" s="43">
        <f>FleetAverage!J11</f>
        <v>9.477372455900003</v>
      </c>
      <c r="D11" s="44">
        <f>FleetAverage!K11</f>
        <v>0.15235621076666406</v>
      </c>
      <c r="F11" s="41">
        <f>FleetAverage!B11</f>
        <v>4.5</v>
      </c>
      <c r="G11" s="47">
        <f>FleetAverage!E11</f>
        <v>7.7408163265306126E-2</v>
      </c>
      <c r="H11" s="47">
        <f>FleetAverage!F11</f>
        <v>2.3081632653061224E-2</v>
      </c>
      <c r="I11" s="49">
        <f>FleetAverage!H11</f>
        <v>25.7356387755102</v>
      </c>
      <c r="K11" s="4" t="str">
        <f>ProsumerMetrics!A11</f>
        <v>BES_TR3_one346_C</v>
      </c>
      <c r="L11" s="51">
        <f>ProsumerMetrics!J11</f>
        <v>29.2</v>
      </c>
      <c r="M11" s="49">
        <f>ProsumerMetrics!K11</f>
        <v>100</v>
      </c>
      <c r="O11" s="54">
        <v>10</v>
      </c>
      <c r="P11" s="20" t="str">
        <f>INDEX(ProsumerMetrics!$A$2:$A$50,MATCH(Q11,ProsumerMetrics!$H$2:$H$50,0))</f>
        <v>BES_TR3_one242_B</v>
      </c>
      <c r="Q11" s="45">
        <f>LARGE(ProsumerMetrics!$H$2:$H$50,O11)</f>
        <v>25.45</v>
      </c>
      <c r="R11" s="7" t="str">
        <f t="shared" si="0"/>
        <v>one242_B</v>
      </c>
      <c r="T11" s="41">
        <f>FleetAverage!B11</f>
        <v>4.5</v>
      </c>
      <c r="U11" s="47">
        <f>FleetAverage!C11</f>
        <v>0.14219854421768707</v>
      </c>
      <c r="V11" s="47">
        <f>FleetAverage!D11</f>
        <v>0.19341576440612251</v>
      </c>
      <c r="W11" s="47">
        <f>FleetAverage!E11</f>
        <v>7.7408163265306126E-2</v>
      </c>
      <c r="X11" s="47">
        <f>FleetAverage!F11</f>
        <v>2.3081632653061224E-2</v>
      </c>
      <c r="Y11" s="55">
        <f>FleetAverage!G11</f>
        <v>3.1093104238094603E-3</v>
      </c>
      <c r="AA11" s="41">
        <f>FleetAverage!B11</f>
        <v>4.5</v>
      </c>
      <c r="AB11" s="47">
        <f>0</f>
        <v>0</v>
      </c>
      <c r="AC11" s="47">
        <f>FleetAverage!G11</f>
        <v>3.1093104238094603E-3</v>
      </c>
      <c r="AD11" s="47">
        <f t="shared" si="1"/>
        <v>3.1093104238094603E-3</v>
      </c>
      <c r="AE11" s="47">
        <f t="shared" si="2"/>
        <v>0</v>
      </c>
      <c r="AF11" s="51">
        <f>100</f>
        <v>100</v>
      </c>
      <c r="AG11" s="49">
        <f>FleetAverage!H11</f>
        <v>25.7356387755102</v>
      </c>
    </row>
    <row r="12" spans="1:33" x14ac:dyDescent="0.25">
      <c r="A12" s="41">
        <f>FleetAverage!B12</f>
        <v>5</v>
      </c>
      <c r="B12" s="43">
        <f>FleetAverage!I12</f>
        <v>6.3843655000000004</v>
      </c>
      <c r="C12" s="43">
        <f>FleetAverage!J12</f>
        <v>18.799616746866711</v>
      </c>
      <c r="D12" s="44">
        <f>FleetAverage!K12</f>
        <v>8.4748753133289098E-2</v>
      </c>
      <c r="F12" s="41">
        <f>FleetAverage!B12</f>
        <v>5</v>
      </c>
      <c r="G12" s="47">
        <f>FleetAverage!E12</f>
        <v>0.2573673469387755</v>
      </c>
      <c r="H12" s="47">
        <f>FleetAverage!F12</f>
        <v>2.2653061224489797E-3</v>
      </c>
      <c r="I12" s="49">
        <f>FleetAverage!H12</f>
        <v>26.319591836734695</v>
      </c>
      <c r="K12" s="4" t="str">
        <f>ProsumerMetrics!A12</f>
        <v>BES_TR3_one363_C</v>
      </c>
      <c r="L12" s="51">
        <f>ProsumerMetrics!J12</f>
        <v>38.4</v>
      </c>
      <c r="M12" s="49">
        <f>ProsumerMetrics!K12</f>
        <v>100</v>
      </c>
      <c r="T12" s="41">
        <f>FleetAverage!B12</f>
        <v>5</v>
      </c>
      <c r="U12" s="47">
        <f>FleetAverage!C12</f>
        <v>0.13029317346938776</v>
      </c>
      <c r="V12" s="47">
        <f>FleetAverage!D12</f>
        <v>0.38366564789523899</v>
      </c>
      <c r="W12" s="47">
        <f>FleetAverage!E12</f>
        <v>0.2573673469387755</v>
      </c>
      <c r="X12" s="47">
        <f>FleetAverage!F12</f>
        <v>2.2653061224489797E-3</v>
      </c>
      <c r="Y12" s="55">
        <f>FleetAverage!G12</f>
        <v>1.7295663904753171E-3</v>
      </c>
      <c r="AA12" s="41">
        <f>FleetAverage!B12</f>
        <v>5</v>
      </c>
      <c r="AB12" s="47">
        <f>0</f>
        <v>0</v>
      </c>
      <c r="AC12" s="47">
        <f>FleetAverage!G12</f>
        <v>1.7295663904753171E-3</v>
      </c>
      <c r="AD12" s="47">
        <f t="shared" si="1"/>
        <v>1.7295663904753171E-3</v>
      </c>
      <c r="AE12" s="47">
        <f t="shared" si="2"/>
        <v>0</v>
      </c>
      <c r="AF12" s="51">
        <f>100</f>
        <v>100</v>
      </c>
      <c r="AG12" s="49">
        <f>FleetAverage!H12</f>
        <v>26.319591836734695</v>
      </c>
    </row>
    <row r="13" spans="1:33" x14ac:dyDescent="0.25">
      <c r="A13" s="41">
        <f>FleetAverage!B13</f>
        <v>5.5</v>
      </c>
      <c r="B13" s="43">
        <f>FleetAverage!I13</f>
        <v>5.4489559999999999</v>
      </c>
      <c r="C13" s="43">
        <f>FleetAverage!J13</f>
        <v>30.230712543733269</v>
      </c>
      <c r="D13" s="44">
        <f>FleetAverage!K13</f>
        <v>2.4345626672328535E-4</v>
      </c>
      <c r="F13" s="41">
        <f>FleetAverage!B13</f>
        <v>5.5</v>
      </c>
      <c r="G13" s="47">
        <f>FleetAverage!E13</f>
        <v>0.5057551020408162</v>
      </c>
      <c r="H13" s="47">
        <f>FleetAverage!F13</f>
        <v>0</v>
      </c>
      <c r="I13" s="49">
        <f>FleetAverage!H13</f>
        <v>29.198575510204076</v>
      </c>
      <c r="K13" s="4" t="str">
        <f>ProsumerMetrics!A13</f>
        <v>BES_TR3_one366_B</v>
      </c>
      <c r="L13" s="51">
        <f>ProsumerMetrics!J13</f>
        <v>42.5</v>
      </c>
      <c r="M13" s="49">
        <f>ProsumerMetrics!K13</f>
        <v>94</v>
      </c>
      <c r="T13" s="41">
        <f>FleetAverage!B13</f>
        <v>5.5</v>
      </c>
      <c r="U13" s="47">
        <f>FleetAverage!C13</f>
        <v>0.11120318367346939</v>
      </c>
      <c r="V13" s="47">
        <f>FleetAverage!D13</f>
        <v>0.61695331721904634</v>
      </c>
      <c r="W13" s="47">
        <f>FleetAverage!E13</f>
        <v>0.5057551020408162</v>
      </c>
      <c r="X13" s="47">
        <f>FleetAverage!F13</f>
        <v>0</v>
      </c>
      <c r="Y13" s="55">
        <f>FleetAverage!G13</f>
        <v>4.9684952392325954E-6</v>
      </c>
      <c r="AA13" s="41">
        <f>FleetAverage!B13</f>
        <v>5.5</v>
      </c>
      <c r="AB13" s="47">
        <f>0</f>
        <v>0</v>
      </c>
      <c r="AC13" s="47">
        <f>FleetAverage!G13</f>
        <v>4.9684952392325954E-6</v>
      </c>
      <c r="AD13" s="47">
        <f t="shared" si="1"/>
        <v>4.9684952392325954E-6</v>
      </c>
      <c r="AE13" s="47">
        <f t="shared" si="2"/>
        <v>0</v>
      </c>
      <c r="AF13" s="51">
        <f>100</f>
        <v>100</v>
      </c>
      <c r="AG13" s="49">
        <f>FleetAverage!H13</f>
        <v>29.198575510204076</v>
      </c>
    </row>
    <row r="14" spans="1:33" x14ac:dyDescent="0.25">
      <c r="A14" s="41">
        <f>FleetAverage!B14</f>
        <v>6</v>
      </c>
      <c r="B14" s="43">
        <f>FleetAverage!I14</f>
        <v>7.6680370000000018</v>
      </c>
      <c r="C14" s="43">
        <f>FleetAverage!J14</f>
        <v>42.702682651166732</v>
      </c>
      <c r="D14" s="44">
        <f>FleetAverage!K14</f>
        <v>1.354348833276009E-3</v>
      </c>
      <c r="F14" s="41">
        <f>FleetAverage!B14</f>
        <v>6</v>
      </c>
      <c r="G14" s="47">
        <f>FleetAverage!E14</f>
        <v>0.7273877551020409</v>
      </c>
      <c r="H14" s="47">
        <f>FleetAverage!F14</f>
        <v>1.236734693877551E-2</v>
      </c>
      <c r="I14" s="49">
        <f>FleetAverage!H14</f>
        <v>34.910542857142865</v>
      </c>
      <c r="K14" s="4" t="str">
        <f>ProsumerMetrics!A14</f>
        <v>BES_TR3_one371_C</v>
      </c>
      <c r="L14" s="51">
        <f>ProsumerMetrics!J14</f>
        <v>52.7</v>
      </c>
      <c r="M14" s="49">
        <f>ProsumerMetrics!K14</f>
        <v>100</v>
      </c>
      <c r="T14" s="41">
        <f>FleetAverage!B14</f>
        <v>6</v>
      </c>
      <c r="U14" s="47">
        <f>FleetAverage!C14</f>
        <v>0.15649055102040821</v>
      </c>
      <c r="V14" s="47">
        <f>FleetAverage!D14</f>
        <v>0.87148331941156598</v>
      </c>
      <c r="W14" s="47">
        <f>FleetAverage!E14</f>
        <v>0.7273877551020409</v>
      </c>
      <c r="X14" s="47">
        <f>FleetAverage!F14</f>
        <v>1.236734693877551E-2</v>
      </c>
      <c r="Y14" s="55">
        <f>FleetAverage!G14</f>
        <v>2.7639772107616867E-5</v>
      </c>
      <c r="AA14" s="41">
        <f>FleetAverage!B14</f>
        <v>6</v>
      </c>
      <c r="AB14" s="47">
        <f>0</f>
        <v>0</v>
      </c>
      <c r="AC14" s="47">
        <f>FleetAverage!G14</f>
        <v>2.7639772107616867E-5</v>
      </c>
      <c r="AD14" s="47">
        <f t="shared" si="1"/>
        <v>2.7639772107616867E-5</v>
      </c>
      <c r="AE14" s="47">
        <f t="shared" si="2"/>
        <v>0</v>
      </c>
      <c r="AF14" s="51">
        <f>100</f>
        <v>100</v>
      </c>
      <c r="AG14" s="49">
        <f>FleetAverage!H14</f>
        <v>34.910542857142865</v>
      </c>
    </row>
    <row r="15" spans="1:33" x14ac:dyDescent="0.25">
      <c r="A15" s="41">
        <f>FleetAverage!B15</f>
        <v>6.5</v>
      </c>
      <c r="B15" s="43">
        <f>FleetAverage!I15</f>
        <v>6.2173320000000007</v>
      </c>
      <c r="C15" s="43">
        <f>FleetAverage!J15</f>
        <v>55.327952585133254</v>
      </c>
      <c r="D15" s="44">
        <f>FleetAverage!K15</f>
        <v>3.7941486674242242E-4</v>
      </c>
      <c r="F15" s="41">
        <f>FleetAverage!B15</f>
        <v>6.5</v>
      </c>
      <c r="G15" s="47">
        <f>FleetAverage!E15</f>
        <v>1.0022653061224489</v>
      </c>
      <c r="H15" s="47">
        <f>FleetAverage!F15</f>
        <v>0</v>
      </c>
      <c r="I15" s="49">
        <f>FleetAverage!H15</f>
        <v>42.970181632653059</v>
      </c>
      <c r="K15" s="4" t="str">
        <f>ProsumerMetrics!A15</f>
        <v>BES_TR3_one375_C</v>
      </c>
      <c r="L15" s="51">
        <f>ProsumerMetrics!J15</f>
        <v>23.9</v>
      </c>
      <c r="M15" s="49">
        <f>ProsumerMetrics!K15</f>
        <v>100</v>
      </c>
      <c r="T15" s="41">
        <f>FleetAverage!B15</f>
        <v>6.5</v>
      </c>
      <c r="U15" s="47">
        <f>FleetAverage!C15</f>
        <v>0.12688432653061227</v>
      </c>
      <c r="V15" s="47">
        <f>FleetAverage!D15</f>
        <v>1.1291418894925154</v>
      </c>
      <c r="W15" s="47">
        <f>FleetAverage!E15</f>
        <v>1.0022653061224489</v>
      </c>
      <c r="X15" s="47">
        <f>FleetAverage!F15</f>
        <v>0</v>
      </c>
      <c r="Y15" s="55">
        <f>FleetAverage!G15</f>
        <v>7.7431605458588848E-6</v>
      </c>
      <c r="AA15" s="41">
        <f>FleetAverage!B15</f>
        <v>6.5</v>
      </c>
      <c r="AB15" s="47">
        <f>0</f>
        <v>0</v>
      </c>
      <c r="AC15" s="47">
        <f>FleetAverage!G15</f>
        <v>7.7431605458588848E-6</v>
      </c>
      <c r="AD15" s="47">
        <f t="shared" si="1"/>
        <v>7.7431605458588848E-6</v>
      </c>
      <c r="AE15" s="47">
        <f t="shared" si="2"/>
        <v>0</v>
      </c>
      <c r="AF15" s="51">
        <f>100</f>
        <v>100</v>
      </c>
      <c r="AG15" s="49">
        <f>FleetAverage!H15</f>
        <v>42.970181632653059</v>
      </c>
    </row>
    <row r="16" spans="1:33" x14ac:dyDescent="0.25">
      <c r="A16" s="41">
        <f>FleetAverage!B16</f>
        <v>7</v>
      </c>
      <c r="B16" s="43">
        <f>FleetAverage!I16</f>
        <v>11.415088866666668</v>
      </c>
      <c r="C16" s="43">
        <f>FleetAverage!J16</f>
        <v>67.887847783100042</v>
      </c>
      <c r="D16" s="44">
        <f>FleetAverage!K16</f>
        <v>1.2410835666133435E-3</v>
      </c>
      <c r="F16" s="41">
        <f>FleetAverage!B16</f>
        <v>7</v>
      </c>
      <c r="G16" s="47">
        <f>FleetAverage!E16</f>
        <v>1.1687551020408162</v>
      </c>
      <c r="H16" s="47">
        <f>FleetAverage!F16</f>
        <v>1.6224489795918368E-2</v>
      </c>
      <c r="I16" s="49">
        <f>FleetAverage!H16</f>
        <v>54.289728571428554</v>
      </c>
      <c r="K16" s="4" t="str">
        <f>ProsumerMetrics!A16</f>
        <v>BES_TR3_one410_B</v>
      </c>
      <c r="L16" s="51">
        <f>ProsumerMetrics!J16</f>
        <v>38.1</v>
      </c>
      <c r="M16" s="49">
        <f>ProsumerMetrics!K16</f>
        <v>99.9</v>
      </c>
      <c r="T16" s="41">
        <f>FleetAverage!B16</f>
        <v>7</v>
      </c>
      <c r="U16" s="47">
        <f>FleetAverage!C16</f>
        <v>0.23296099727891159</v>
      </c>
      <c r="V16" s="47">
        <f>FleetAverage!D16</f>
        <v>1.3854662812877561</v>
      </c>
      <c r="W16" s="47">
        <f>FleetAverage!E16</f>
        <v>1.1687551020408162</v>
      </c>
      <c r="X16" s="47">
        <f>FleetAverage!F16</f>
        <v>1.6224489795918368E-2</v>
      </c>
      <c r="Y16" s="55">
        <f>FleetAverage!G16</f>
        <v>2.5328236053306918E-5</v>
      </c>
      <c r="AA16" s="41">
        <f>FleetAverage!B16</f>
        <v>7</v>
      </c>
      <c r="AB16" s="47">
        <f>0</f>
        <v>0</v>
      </c>
      <c r="AC16" s="47">
        <f>FleetAverage!G16</f>
        <v>2.5328236053306918E-5</v>
      </c>
      <c r="AD16" s="47">
        <f t="shared" si="1"/>
        <v>2.5328236053306918E-5</v>
      </c>
      <c r="AE16" s="47">
        <f t="shared" si="2"/>
        <v>0</v>
      </c>
      <c r="AF16" s="51">
        <f>100</f>
        <v>100</v>
      </c>
      <c r="AG16" s="49">
        <f>FleetAverage!H16</f>
        <v>54.289728571428554</v>
      </c>
    </row>
    <row r="17" spans="1:33" x14ac:dyDescent="0.25">
      <c r="A17" s="41">
        <f>FleetAverage!B17</f>
        <v>7.5</v>
      </c>
      <c r="B17" s="43">
        <f>FleetAverage!I17</f>
        <v>8.7085569000000067</v>
      </c>
      <c r="C17" s="43">
        <f>FleetAverage!J17</f>
        <v>80.466013167499995</v>
      </c>
      <c r="D17" s="44">
        <f>FleetAverage!K17</f>
        <v>-9.2384562674999842</v>
      </c>
      <c r="F17" s="41">
        <f>FleetAverage!B17</f>
        <v>7.5</v>
      </c>
      <c r="G17" s="47">
        <f>FleetAverage!E17</f>
        <v>1.2758979591836737</v>
      </c>
      <c r="H17" s="47">
        <f>FleetAverage!F17</f>
        <v>0</v>
      </c>
      <c r="I17" s="49">
        <f>FleetAverage!H17</f>
        <v>67.285818367346934</v>
      </c>
      <c r="K17" s="4" t="str">
        <f>ProsumerMetrics!A17</f>
        <v>BES_TR3_one50_A</v>
      </c>
      <c r="L17" s="51">
        <f>ProsumerMetrics!J17</f>
        <v>63.2</v>
      </c>
      <c r="M17" s="49">
        <f>ProsumerMetrics!K17</f>
        <v>89.4</v>
      </c>
      <c r="T17" s="41">
        <f>FleetAverage!B17</f>
        <v>7.5</v>
      </c>
      <c r="U17" s="47">
        <f>FleetAverage!C17</f>
        <v>0.1777256510204083</v>
      </c>
      <c r="V17" s="47">
        <f>FleetAverage!D17</f>
        <v>1.6421635340306122</v>
      </c>
      <c r="W17" s="47">
        <f>FleetAverage!E17</f>
        <v>1.2758979591836737</v>
      </c>
      <c r="X17" s="47">
        <f>FleetAverage!F17</f>
        <v>0</v>
      </c>
      <c r="Y17" s="55">
        <f>FleetAverage!G17</f>
        <v>-0.18853992382653018</v>
      </c>
      <c r="AA17" s="41">
        <f>FleetAverage!B17</f>
        <v>7.5</v>
      </c>
      <c r="AB17" s="47">
        <f>0</f>
        <v>0</v>
      </c>
      <c r="AC17" s="47">
        <f>FleetAverage!G17</f>
        <v>-0.18853992382653018</v>
      </c>
      <c r="AD17" s="47">
        <f t="shared" si="1"/>
        <v>0</v>
      </c>
      <c r="AE17" s="47">
        <f t="shared" si="2"/>
        <v>-0.18853992382653018</v>
      </c>
      <c r="AF17" s="51">
        <f>100</f>
        <v>100</v>
      </c>
      <c r="AG17" s="49">
        <f>FleetAverage!H17</f>
        <v>67.285818367346934</v>
      </c>
    </row>
    <row r="18" spans="1:33" x14ac:dyDescent="0.25">
      <c r="A18" s="41">
        <f>FleetAverage!B18</f>
        <v>8</v>
      </c>
      <c r="B18" s="43">
        <f>FleetAverage!I18</f>
        <v>15.055571466666681</v>
      </c>
      <c r="C18" s="43">
        <f>FleetAverage!J18</f>
        <v>92.271422979366719</v>
      </c>
      <c r="D18" s="44">
        <f>FleetAverage!K18</f>
        <v>-44.87385151270005</v>
      </c>
      <c r="F18" s="41">
        <f>FleetAverage!B18</f>
        <v>8</v>
      </c>
      <c r="G18" s="47">
        <f>FleetAverage!E18</f>
        <v>0.68542857142857128</v>
      </c>
      <c r="H18" s="47">
        <f>FleetAverage!F18</f>
        <v>2.5387755102040815E-2</v>
      </c>
      <c r="I18" s="49">
        <f>FleetAverage!H18</f>
        <v>81.696265306122456</v>
      </c>
      <c r="K18" s="4" t="str">
        <f>ProsumerMetrics!A18</f>
        <v>BES_TR3_one423_B</v>
      </c>
      <c r="L18" s="51">
        <f>ProsumerMetrics!J18</f>
        <v>38.700000000000003</v>
      </c>
      <c r="M18" s="49">
        <f>ProsumerMetrics!K18</f>
        <v>100</v>
      </c>
      <c r="T18" s="41">
        <f>FleetAverage!B18</f>
        <v>8</v>
      </c>
      <c r="U18" s="47">
        <f>FleetAverage!C18</f>
        <v>0.30725656054421796</v>
      </c>
      <c r="V18" s="47">
        <f>FleetAverage!D18</f>
        <v>1.8830902648850352</v>
      </c>
      <c r="W18" s="47">
        <f>FleetAverage!E18</f>
        <v>0.68542857142857128</v>
      </c>
      <c r="X18" s="47">
        <f>FleetAverage!F18</f>
        <v>2.5387755102040815E-2</v>
      </c>
      <c r="Y18" s="55">
        <f>FleetAverage!G18</f>
        <v>-0.91579288801428682</v>
      </c>
      <c r="AA18" s="41">
        <f>FleetAverage!B18</f>
        <v>8</v>
      </c>
      <c r="AB18" s="47">
        <f>0</f>
        <v>0</v>
      </c>
      <c r="AC18" s="47">
        <f>FleetAverage!G18</f>
        <v>-0.91579288801428682</v>
      </c>
      <c r="AD18" s="47">
        <f t="shared" si="1"/>
        <v>0</v>
      </c>
      <c r="AE18" s="47">
        <f t="shared" si="2"/>
        <v>-0.91579288801428682</v>
      </c>
      <c r="AF18" s="51">
        <f>100</f>
        <v>100</v>
      </c>
      <c r="AG18" s="49">
        <f>FleetAverage!H18</f>
        <v>81.696265306122456</v>
      </c>
    </row>
    <row r="19" spans="1:33" x14ac:dyDescent="0.25">
      <c r="A19" s="41">
        <f>FleetAverage!B19</f>
        <v>8.5</v>
      </c>
      <c r="B19" s="43">
        <f>FleetAverage!I19</f>
        <v>13.321078333333341</v>
      </c>
      <c r="C19" s="43">
        <f>FleetAverage!J19</f>
        <v>103.3685255442</v>
      </c>
      <c r="D19" s="44">
        <f>FleetAverage!K19</f>
        <v>-69.452447210866652</v>
      </c>
      <c r="F19" s="41">
        <f>FleetAverage!B19</f>
        <v>8.5</v>
      </c>
      <c r="G19" s="47">
        <f>FleetAverage!E19</f>
        <v>0.42030612244897958</v>
      </c>
      <c r="H19" s="47">
        <f>FleetAverage!F19</f>
        <v>0</v>
      </c>
      <c r="I19" s="49">
        <f>FleetAverage!H19</f>
        <v>89.119316326530623</v>
      </c>
      <c r="K19" s="4" t="str">
        <f>ProsumerMetrics!A19</f>
        <v>BES_TR3_one446_B</v>
      </c>
      <c r="L19" s="51">
        <f>ProsumerMetrics!J19</f>
        <v>21.4</v>
      </c>
      <c r="M19" s="49">
        <f>ProsumerMetrics!K19</f>
        <v>100</v>
      </c>
      <c r="T19" s="41">
        <f>FleetAverage!B19</f>
        <v>8.5</v>
      </c>
      <c r="U19" s="47">
        <f>FleetAverage!C19</f>
        <v>0.27185874149659878</v>
      </c>
      <c r="V19" s="47">
        <f>FleetAverage!D19</f>
        <v>2.1095617457999998</v>
      </c>
      <c r="W19" s="47">
        <f>FleetAverage!E19</f>
        <v>0.42030612244897958</v>
      </c>
      <c r="X19" s="47">
        <f>FleetAverage!F19</f>
        <v>0</v>
      </c>
      <c r="Y19" s="55">
        <f>FleetAverage!G19</f>
        <v>-1.4173968818544216</v>
      </c>
      <c r="AA19" s="41">
        <f>FleetAverage!B19</f>
        <v>8.5</v>
      </c>
      <c r="AB19" s="47">
        <f>0</f>
        <v>0</v>
      </c>
      <c r="AC19" s="47">
        <f>FleetAverage!G19</f>
        <v>-1.4173968818544216</v>
      </c>
      <c r="AD19" s="47">
        <f t="shared" si="1"/>
        <v>0</v>
      </c>
      <c r="AE19" s="47">
        <f t="shared" si="2"/>
        <v>-1.4173968818544216</v>
      </c>
      <c r="AF19" s="51">
        <f>100</f>
        <v>100</v>
      </c>
      <c r="AG19" s="49">
        <f>FleetAverage!H19</f>
        <v>89.119316326530623</v>
      </c>
    </row>
    <row r="20" spans="1:33" x14ac:dyDescent="0.25">
      <c r="A20" s="41">
        <f>FleetAverage!B20</f>
        <v>9</v>
      </c>
      <c r="B20" s="43">
        <f>FleetAverage!I20</f>
        <v>19.065721066666658</v>
      </c>
      <c r="C20" s="43">
        <f>FleetAverage!J20</f>
        <v>112.81944602866673</v>
      </c>
      <c r="D20" s="44">
        <f>FleetAverage!K20</f>
        <v>-80.446724962000076</v>
      </c>
      <c r="F20" s="41">
        <f>FleetAverage!B20</f>
        <v>9</v>
      </c>
      <c r="G20" s="47">
        <f>FleetAverage!E20</f>
        <v>0.27651020408163268</v>
      </c>
      <c r="H20" s="47">
        <f>FleetAverage!F20</f>
        <v>4.9387755102040815E-3</v>
      </c>
      <c r="I20" s="49">
        <f>FleetAverage!H20</f>
        <v>93.866087755102043</v>
      </c>
      <c r="K20" s="4" t="str">
        <f>ProsumerMetrics!A20</f>
        <v>BES_TR3_one469_A</v>
      </c>
      <c r="L20" s="51">
        <f>ProsumerMetrics!J20</f>
        <v>21.7</v>
      </c>
      <c r="M20" s="49">
        <f>ProsumerMetrics!K20</f>
        <v>100</v>
      </c>
      <c r="T20" s="41">
        <f>FleetAverage!B20</f>
        <v>9</v>
      </c>
      <c r="U20" s="47">
        <f>FleetAverage!C20</f>
        <v>0.38909634829931955</v>
      </c>
      <c r="V20" s="47">
        <f>FleetAverage!D20</f>
        <v>2.3024376740544232</v>
      </c>
      <c r="W20" s="47">
        <f>FleetAverage!E20</f>
        <v>0.27651020408163268</v>
      </c>
      <c r="X20" s="47">
        <f>FleetAverage!F20</f>
        <v>4.9387755102040815E-3</v>
      </c>
      <c r="Y20" s="55">
        <f>FleetAverage!G20</f>
        <v>-1.6417698971836752</v>
      </c>
      <c r="AA20" s="41">
        <f>FleetAverage!B20</f>
        <v>9</v>
      </c>
      <c r="AB20" s="47">
        <f>0</f>
        <v>0</v>
      </c>
      <c r="AC20" s="47">
        <f>FleetAverage!G20</f>
        <v>-1.6417698971836752</v>
      </c>
      <c r="AD20" s="47">
        <f t="shared" si="1"/>
        <v>0</v>
      </c>
      <c r="AE20" s="47">
        <f t="shared" si="2"/>
        <v>-1.6417698971836752</v>
      </c>
      <c r="AF20" s="51">
        <f>100</f>
        <v>100</v>
      </c>
      <c r="AG20" s="49">
        <f>FleetAverage!H20</f>
        <v>93.866087755102043</v>
      </c>
    </row>
    <row r="21" spans="1:33" x14ac:dyDescent="0.25">
      <c r="A21" s="41">
        <f>FleetAverage!B21</f>
        <v>9.5</v>
      </c>
      <c r="B21" s="43">
        <f>FleetAverage!I21</f>
        <v>17.143815066666669</v>
      </c>
      <c r="C21" s="43">
        <f>FleetAverage!J21</f>
        <v>120.88012379993327</v>
      </c>
      <c r="D21" s="44">
        <f>FleetAverage!K21</f>
        <v>-95.007308733266612</v>
      </c>
      <c r="F21" s="41">
        <f>FleetAverage!B21</f>
        <v>9.5</v>
      </c>
      <c r="G21" s="47">
        <f>FleetAverage!E21</f>
        <v>0.17834693877551022</v>
      </c>
      <c r="H21" s="47">
        <f>FleetAverage!F21</f>
        <v>2.0408163265306123E-4</v>
      </c>
      <c r="I21" s="49">
        <f>FleetAverage!H21</f>
        <v>96.927042857142851</v>
      </c>
      <c r="K21" s="4" t="str">
        <f>ProsumerMetrics!A21</f>
        <v>BES_TR3_one477_A</v>
      </c>
      <c r="L21" s="51">
        <f>ProsumerMetrics!J21</f>
        <v>59.2</v>
      </c>
      <c r="M21" s="49">
        <f>ProsumerMetrics!K21</f>
        <v>84.6</v>
      </c>
      <c r="T21" s="41">
        <f>FleetAverage!B21</f>
        <v>9.5</v>
      </c>
      <c r="U21" s="47">
        <f>FleetAverage!C21</f>
        <v>0.34987377687074833</v>
      </c>
      <c r="V21" s="47">
        <f>FleetAverage!D21</f>
        <v>2.4669413020394546</v>
      </c>
      <c r="W21" s="47">
        <f>FleetAverage!E21</f>
        <v>0.17834693877551022</v>
      </c>
      <c r="X21" s="47">
        <f>FleetAverage!F21</f>
        <v>2.0408163265306123E-4</v>
      </c>
      <c r="Y21" s="55">
        <f>FleetAverage!G21</f>
        <v>-1.9389246680258492</v>
      </c>
      <c r="AA21" s="41">
        <f>FleetAverage!B21</f>
        <v>9.5</v>
      </c>
      <c r="AB21" s="47">
        <f>0</f>
        <v>0</v>
      </c>
      <c r="AC21" s="47">
        <f>FleetAverage!G21</f>
        <v>-1.9389246680258492</v>
      </c>
      <c r="AD21" s="47">
        <f t="shared" si="1"/>
        <v>0</v>
      </c>
      <c r="AE21" s="47">
        <f t="shared" si="2"/>
        <v>-1.9389246680258492</v>
      </c>
      <c r="AF21" s="51">
        <f>100</f>
        <v>100</v>
      </c>
      <c r="AG21" s="49">
        <f>FleetAverage!H21</f>
        <v>96.927042857142851</v>
      </c>
    </row>
    <row r="22" spans="1:33" x14ac:dyDescent="0.25">
      <c r="A22" s="41">
        <f>FleetAverage!B22</f>
        <v>10</v>
      </c>
      <c r="B22" s="43">
        <f>FleetAverage!I22</f>
        <v>16.898242500000009</v>
      </c>
      <c r="C22" s="43">
        <f>FleetAverage!J22</f>
        <v>127.95536442996666</v>
      </c>
      <c r="D22" s="44">
        <f>FleetAverage!K22</f>
        <v>-108.35612192996666</v>
      </c>
      <c r="F22" s="41">
        <f>FleetAverage!B22</f>
        <v>10</v>
      </c>
      <c r="G22" s="47">
        <f>FleetAverage!E22</f>
        <v>5.5122448979591829E-2</v>
      </c>
      <c r="H22" s="47">
        <f>FleetAverage!F22</f>
        <v>0</v>
      </c>
      <c r="I22" s="49">
        <f>FleetAverage!H22</f>
        <v>98.938975510204074</v>
      </c>
      <c r="K22" s="4" t="str">
        <f>ProsumerMetrics!A22</f>
        <v>BES_TR3_one480_A</v>
      </c>
      <c r="L22" s="51">
        <f>ProsumerMetrics!J22</f>
        <v>16</v>
      </c>
      <c r="M22" s="49">
        <f>ProsumerMetrics!K22</f>
        <v>100</v>
      </c>
      <c r="T22" s="41">
        <f>FleetAverage!B22</f>
        <v>10</v>
      </c>
      <c r="U22" s="47">
        <f>FleetAverage!C22</f>
        <v>0.34486209183673489</v>
      </c>
      <c r="V22" s="47">
        <f>FleetAverage!D22</f>
        <v>2.6113339679585033</v>
      </c>
      <c r="W22" s="47">
        <f>FleetAverage!E22</f>
        <v>5.5122448979591829E-2</v>
      </c>
      <c r="X22" s="47">
        <f>FleetAverage!F22</f>
        <v>0</v>
      </c>
      <c r="Y22" s="55">
        <f>FleetAverage!G22</f>
        <v>-2.2113494271421765</v>
      </c>
      <c r="AA22" s="41">
        <f>FleetAverage!B22</f>
        <v>10</v>
      </c>
      <c r="AB22" s="47">
        <f>0</f>
        <v>0</v>
      </c>
      <c r="AC22" s="47">
        <f>FleetAverage!G22</f>
        <v>-2.2113494271421765</v>
      </c>
      <c r="AD22" s="47">
        <f t="shared" si="1"/>
        <v>0</v>
      </c>
      <c r="AE22" s="47">
        <f t="shared" si="2"/>
        <v>-2.2113494271421765</v>
      </c>
      <c r="AF22" s="51">
        <f>100</f>
        <v>100</v>
      </c>
      <c r="AG22" s="49">
        <f>FleetAverage!H22</f>
        <v>98.938975510204074</v>
      </c>
    </row>
    <row r="23" spans="1:33" x14ac:dyDescent="0.25">
      <c r="A23" s="41">
        <f>FleetAverage!B23</f>
        <v>10.5</v>
      </c>
      <c r="B23" s="43">
        <f>FleetAverage!I23</f>
        <v>14.29570956666667</v>
      </c>
      <c r="C23" s="43">
        <f>FleetAverage!J23</f>
        <v>133.79468368890008</v>
      </c>
      <c r="D23" s="44">
        <f>FleetAverage!K23</f>
        <v>-117.73197412223341</v>
      </c>
      <c r="F23" s="41">
        <f>FleetAverage!B23</f>
        <v>10.5</v>
      </c>
      <c r="G23" s="47">
        <f>FleetAverage!E23</f>
        <v>3.8857142857142861E-2</v>
      </c>
      <c r="H23" s="47">
        <f>FleetAverage!F23</f>
        <v>2.795918367346939E-3</v>
      </c>
      <c r="I23" s="49">
        <f>FleetAverage!H23</f>
        <v>99.561251020408164</v>
      </c>
      <c r="K23" s="4" t="str">
        <f>ProsumerMetrics!A23</f>
        <v>BES_TR3_one482_B</v>
      </c>
      <c r="L23" s="51">
        <f>ProsumerMetrics!J23</f>
        <v>20.2</v>
      </c>
      <c r="M23" s="49">
        <f>ProsumerMetrics!K23</f>
        <v>100</v>
      </c>
      <c r="T23" s="41">
        <f>FleetAverage!B23</f>
        <v>10.5</v>
      </c>
      <c r="U23" s="47">
        <f>FleetAverage!C23</f>
        <v>0.29174917482993201</v>
      </c>
      <c r="V23" s="47">
        <f>FleetAverage!D23</f>
        <v>2.7305037487530628</v>
      </c>
      <c r="W23" s="47">
        <f>FleetAverage!E23</f>
        <v>3.8857142857142861E-2</v>
      </c>
      <c r="X23" s="47">
        <f>FleetAverage!F23</f>
        <v>2.795918367346939E-3</v>
      </c>
      <c r="Y23" s="55">
        <f>FleetAverage!G23</f>
        <v>-2.4026933494333349</v>
      </c>
      <c r="AA23" s="41">
        <f>FleetAverage!B23</f>
        <v>10.5</v>
      </c>
      <c r="AB23" s="47">
        <f>0</f>
        <v>0</v>
      </c>
      <c r="AC23" s="47">
        <f>FleetAverage!G23</f>
        <v>-2.4026933494333349</v>
      </c>
      <c r="AD23" s="47">
        <f t="shared" si="1"/>
        <v>0</v>
      </c>
      <c r="AE23" s="47">
        <f t="shared" si="2"/>
        <v>-2.4026933494333349</v>
      </c>
      <c r="AF23" s="51">
        <f>100</f>
        <v>100</v>
      </c>
      <c r="AG23" s="49">
        <f>FleetAverage!H23</f>
        <v>99.561251020408164</v>
      </c>
    </row>
    <row r="24" spans="1:33" x14ac:dyDescent="0.25">
      <c r="A24" s="41">
        <f>FleetAverage!B24</f>
        <v>11</v>
      </c>
      <c r="B24" s="43">
        <f>FleetAverage!I24</f>
        <v>22.23333723333333</v>
      </c>
      <c r="C24" s="43">
        <f>FleetAverage!J24</f>
        <v>137.93785043016678</v>
      </c>
      <c r="D24" s="44">
        <f>FleetAverage!K24</f>
        <v>-116.29551319683344</v>
      </c>
      <c r="F24" s="41">
        <f>FleetAverage!B24</f>
        <v>11</v>
      </c>
      <c r="G24" s="47">
        <f>FleetAverage!E24</f>
        <v>0</v>
      </c>
      <c r="H24" s="47">
        <f>FleetAverage!F24</f>
        <v>1.2061224489795918E-2</v>
      </c>
      <c r="I24" s="49">
        <f>FleetAverage!H24</f>
        <v>99.964902040816327</v>
      </c>
      <c r="K24" s="4" t="str">
        <f>ProsumerMetrics!A24</f>
        <v>BES_TR3_one521_C</v>
      </c>
      <c r="L24" s="51">
        <f>ProsumerMetrics!J24</f>
        <v>21.9</v>
      </c>
      <c r="M24" s="49">
        <f>ProsumerMetrics!K24</f>
        <v>100</v>
      </c>
      <c r="T24" s="41">
        <f>FleetAverage!B24</f>
        <v>11</v>
      </c>
      <c r="U24" s="47">
        <f>FleetAverage!C24</f>
        <v>0.45374157619047611</v>
      </c>
      <c r="V24" s="47">
        <f>FleetAverage!D24</f>
        <v>2.8150581720442198</v>
      </c>
      <c r="W24" s="47">
        <f>FleetAverage!E24</f>
        <v>0</v>
      </c>
      <c r="X24" s="47">
        <f>FleetAverage!F24</f>
        <v>1.2061224489795918E-2</v>
      </c>
      <c r="Y24" s="55">
        <f>FleetAverage!G24</f>
        <v>-2.3733778203435394</v>
      </c>
      <c r="AA24" s="41">
        <f>FleetAverage!B24</f>
        <v>11</v>
      </c>
      <c r="AB24" s="47">
        <f>0</f>
        <v>0</v>
      </c>
      <c r="AC24" s="47">
        <f>FleetAverage!G24</f>
        <v>-2.3733778203435394</v>
      </c>
      <c r="AD24" s="47">
        <f t="shared" si="1"/>
        <v>0</v>
      </c>
      <c r="AE24" s="47">
        <f t="shared" si="2"/>
        <v>-2.3733778203435394</v>
      </c>
      <c r="AF24" s="51">
        <f>100</f>
        <v>100</v>
      </c>
      <c r="AG24" s="49">
        <f>FleetAverage!H24</f>
        <v>99.964902040816327</v>
      </c>
    </row>
    <row r="25" spans="1:33" x14ac:dyDescent="0.25">
      <c r="A25" s="41">
        <f>FleetAverage!B25</f>
        <v>11.5</v>
      </c>
      <c r="B25" s="43">
        <f>FleetAverage!I25</f>
        <v>21.989028100000006</v>
      </c>
      <c r="C25" s="43">
        <f>FleetAverage!J25</f>
        <v>139.75484338359999</v>
      </c>
      <c r="D25" s="44">
        <f>FleetAverage!K25</f>
        <v>-117.43681528359998</v>
      </c>
      <c r="F25" s="41">
        <f>FleetAverage!B25</f>
        <v>11.5</v>
      </c>
      <c r="G25" s="47">
        <f>FleetAverage!E25</f>
        <v>6.7142857142857143E-3</v>
      </c>
      <c r="H25" s="47">
        <f>FleetAverage!F25</f>
        <v>0</v>
      </c>
      <c r="I25" s="49">
        <f>FleetAverage!H25</f>
        <v>99.81352448979591</v>
      </c>
      <c r="K25" s="4" t="str">
        <f>ProsumerMetrics!A25</f>
        <v>BES_TR3_one528_C</v>
      </c>
      <c r="L25" s="51">
        <f>ProsumerMetrics!J25</f>
        <v>17.8</v>
      </c>
      <c r="M25" s="49">
        <f>ProsumerMetrics!K25</f>
        <v>100</v>
      </c>
      <c r="T25" s="41">
        <f>FleetAverage!B25</f>
        <v>11.5</v>
      </c>
      <c r="U25" s="47">
        <f>FleetAverage!C25</f>
        <v>0.44875567551020418</v>
      </c>
      <c r="V25" s="47">
        <f>FleetAverage!D25</f>
        <v>2.8521396608897955</v>
      </c>
      <c r="W25" s="47">
        <f>FleetAverage!E25</f>
        <v>6.7142857142857143E-3</v>
      </c>
      <c r="X25" s="47">
        <f>FleetAverage!F25</f>
        <v>0</v>
      </c>
      <c r="Y25" s="55">
        <f>FleetAverage!G25</f>
        <v>-2.3966696996653059</v>
      </c>
      <c r="AA25" s="41">
        <f>FleetAverage!B25</f>
        <v>11.5</v>
      </c>
      <c r="AB25" s="47">
        <f>0</f>
        <v>0</v>
      </c>
      <c r="AC25" s="47">
        <f>FleetAverage!G25</f>
        <v>-2.3966696996653059</v>
      </c>
      <c r="AD25" s="47">
        <f t="shared" si="1"/>
        <v>0</v>
      </c>
      <c r="AE25" s="47">
        <f t="shared" si="2"/>
        <v>-2.3966696996653059</v>
      </c>
      <c r="AF25" s="51">
        <f>100</f>
        <v>100</v>
      </c>
      <c r="AG25" s="49">
        <f>FleetAverage!H25</f>
        <v>99.81352448979591</v>
      </c>
    </row>
    <row r="26" spans="1:33" x14ac:dyDescent="0.25">
      <c r="A26" s="41">
        <f>FleetAverage!B26</f>
        <v>12</v>
      </c>
      <c r="B26" s="43">
        <f>FleetAverage!I26</f>
        <v>11.95335896666667</v>
      </c>
      <c r="C26" s="43">
        <f>FleetAverage!J26</f>
        <v>140.28111415946668</v>
      </c>
      <c r="D26" s="44">
        <f>FleetAverage!K26</f>
        <v>-127.8467551928</v>
      </c>
      <c r="F26" s="41">
        <f>FleetAverage!B26</f>
        <v>12</v>
      </c>
      <c r="G26" s="47">
        <f>FleetAverage!E26</f>
        <v>9.8163265306122453E-3</v>
      </c>
      <c r="H26" s="47">
        <f>FleetAverage!F26</f>
        <v>0</v>
      </c>
      <c r="I26" s="49">
        <f>FleetAverage!H26</f>
        <v>99.889226530612248</v>
      </c>
      <c r="K26" s="4" t="str">
        <f>ProsumerMetrics!A26</f>
        <v>BES_TR3_one61_A</v>
      </c>
      <c r="L26" s="51">
        <f>ProsumerMetrics!J26</f>
        <v>27.3</v>
      </c>
      <c r="M26" s="49">
        <f>ProsumerMetrics!K26</f>
        <v>100</v>
      </c>
      <c r="T26" s="41">
        <f>FleetAverage!B26</f>
        <v>12</v>
      </c>
      <c r="U26" s="47">
        <f>FleetAverage!C26</f>
        <v>0.24394610136054429</v>
      </c>
      <c r="V26" s="47">
        <f>FleetAverage!D26</f>
        <v>2.8628798808054423</v>
      </c>
      <c r="W26" s="47">
        <f>FleetAverage!E26</f>
        <v>9.8163265306122453E-3</v>
      </c>
      <c r="X26" s="47">
        <f>FleetAverage!F26</f>
        <v>0</v>
      </c>
      <c r="Y26" s="55">
        <f>FleetAverage!G26</f>
        <v>-2.609117452914286</v>
      </c>
      <c r="AA26" s="41">
        <f>FleetAverage!B26</f>
        <v>12</v>
      </c>
      <c r="AB26" s="47">
        <f>0</f>
        <v>0</v>
      </c>
      <c r="AC26" s="47">
        <f>FleetAverage!G26</f>
        <v>-2.609117452914286</v>
      </c>
      <c r="AD26" s="47">
        <f t="shared" si="1"/>
        <v>0</v>
      </c>
      <c r="AE26" s="47">
        <f t="shared" si="2"/>
        <v>-2.609117452914286</v>
      </c>
      <c r="AF26" s="51">
        <f>100</f>
        <v>100</v>
      </c>
      <c r="AG26" s="49">
        <f>FleetAverage!H26</f>
        <v>99.889226530612248</v>
      </c>
    </row>
    <row r="27" spans="1:33" x14ac:dyDescent="0.25">
      <c r="A27" s="41">
        <f>FleetAverage!B27</f>
        <v>12.5</v>
      </c>
      <c r="B27" s="43">
        <f>FleetAverage!I27</f>
        <v>12.750832066666668</v>
      </c>
      <c r="C27" s="43">
        <f>FleetAverage!J27</f>
        <v>139.29660813400002</v>
      </c>
      <c r="D27" s="44">
        <f>FleetAverage!K27</f>
        <v>-126.54577606733335</v>
      </c>
      <c r="F27" s="41">
        <f>FleetAverage!B27</f>
        <v>12.5</v>
      </c>
      <c r="G27" s="47">
        <f>FleetAverage!E27</f>
        <v>0</v>
      </c>
      <c r="H27" s="47">
        <f>FleetAverage!F27</f>
        <v>0</v>
      </c>
      <c r="I27" s="49">
        <f>FleetAverage!H27</f>
        <v>100</v>
      </c>
      <c r="K27" s="4" t="str">
        <f>ProsumerMetrics!A27</f>
        <v>BES_TR3_one544_A</v>
      </c>
      <c r="L27" s="51">
        <f>ProsumerMetrics!J27</f>
        <v>20.100000000000001</v>
      </c>
      <c r="M27" s="49">
        <f>ProsumerMetrics!K27</f>
        <v>96.6</v>
      </c>
      <c r="T27" s="41">
        <f>FleetAverage!B27</f>
        <v>12.5</v>
      </c>
      <c r="U27" s="47">
        <f>FleetAverage!C27</f>
        <v>0.26022106258503402</v>
      </c>
      <c r="V27" s="47">
        <f>FleetAverage!D27</f>
        <v>2.8427879211020413</v>
      </c>
      <c r="W27" s="47">
        <f>FleetAverage!E27</f>
        <v>0</v>
      </c>
      <c r="X27" s="47">
        <f>FleetAverage!F27</f>
        <v>0</v>
      </c>
      <c r="Y27" s="55">
        <f>FleetAverage!G27</f>
        <v>-2.5825668585170072</v>
      </c>
      <c r="AA27" s="41">
        <f>FleetAverage!B27</f>
        <v>12.5</v>
      </c>
      <c r="AB27" s="47">
        <f>0</f>
        <v>0</v>
      </c>
      <c r="AC27" s="47">
        <f>FleetAverage!G27</f>
        <v>-2.5825668585170072</v>
      </c>
      <c r="AD27" s="47">
        <f t="shared" si="1"/>
        <v>0</v>
      </c>
      <c r="AE27" s="47">
        <f t="shared" si="2"/>
        <v>-2.5825668585170072</v>
      </c>
      <c r="AF27" s="51">
        <f>100</f>
        <v>100</v>
      </c>
      <c r="AG27" s="49">
        <f>FleetAverage!H27</f>
        <v>100</v>
      </c>
    </row>
    <row r="28" spans="1:33" x14ac:dyDescent="0.25">
      <c r="A28" s="41">
        <f>FleetAverage!B28</f>
        <v>13</v>
      </c>
      <c r="B28" s="43">
        <f>FleetAverage!I28</f>
        <v>18.135509666666678</v>
      </c>
      <c r="C28" s="43">
        <f>FleetAverage!J28</f>
        <v>135.98920814150011</v>
      </c>
      <c r="D28" s="44">
        <f>FleetAverage!K28</f>
        <v>-118.64269847483344</v>
      </c>
      <c r="F28" s="41">
        <f>FleetAverage!B28</f>
        <v>13</v>
      </c>
      <c r="G28" s="47">
        <f>FleetAverage!E28</f>
        <v>0</v>
      </c>
      <c r="H28" s="47">
        <f>FleetAverage!F28</f>
        <v>1.6102040816326532E-2</v>
      </c>
      <c r="I28" s="49">
        <f>FleetAverage!H28</f>
        <v>100</v>
      </c>
      <c r="K28" s="4" t="str">
        <f>ProsumerMetrics!A28</f>
        <v>BES_TR3_one552_B</v>
      </c>
      <c r="L28" s="51">
        <f>ProsumerMetrics!J28</f>
        <v>21.6</v>
      </c>
      <c r="M28" s="49">
        <f>ProsumerMetrics!K28</f>
        <v>100</v>
      </c>
      <c r="T28" s="41">
        <f>FleetAverage!B28</f>
        <v>13</v>
      </c>
      <c r="U28" s="47">
        <f>FleetAverage!C28</f>
        <v>0.370112442176871</v>
      </c>
      <c r="V28" s="47">
        <f>FleetAverage!D28</f>
        <v>2.7752899620714309</v>
      </c>
      <c r="W28" s="47">
        <f>FleetAverage!E28</f>
        <v>0</v>
      </c>
      <c r="X28" s="47">
        <f>FleetAverage!F28</f>
        <v>1.6102040816326532E-2</v>
      </c>
      <c r="Y28" s="55">
        <f>FleetAverage!G28</f>
        <v>-2.4212795607108863</v>
      </c>
      <c r="AA28" s="41">
        <f>FleetAverage!B28</f>
        <v>13</v>
      </c>
      <c r="AB28" s="47">
        <f>0</f>
        <v>0</v>
      </c>
      <c r="AC28" s="47">
        <f>FleetAverage!G28</f>
        <v>-2.4212795607108863</v>
      </c>
      <c r="AD28" s="47">
        <f t="shared" si="1"/>
        <v>0</v>
      </c>
      <c r="AE28" s="47">
        <f t="shared" si="2"/>
        <v>-2.4212795607108863</v>
      </c>
      <c r="AF28" s="51">
        <f>100</f>
        <v>100</v>
      </c>
      <c r="AG28" s="49">
        <f>FleetAverage!H28</f>
        <v>100</v>
      </c>
    </row>
    <row r="29" spans="1:33" x14ac:dyDescent="0.25">
      <c r="A29" s="41">
        <f>FleetAverage!B29</f>
        <v>13.5</v>
      </c>
      <c r="B29" s="43">
        <f>FleetAverage!I29</f>
        <v>17.40930946666667</v>
      </c>
      <c r="C29" s="43">
        <f>FleetAverage!J29</f>
        <v>130.94337384426672</v>
      </c>
      <c r="D29" s="44">
        <f>FleetAverage!K29</f>
        <v>-112.85206437760004</v>
      </c>
      <c r="F29" s="41">
        <f>FleetAverage!B29</f>
        <v>13.5</v>
      </c>
      <c r="G29" s="47">
        <f>FleetAverage!E29</f>
        <v>1.3918367346938774E-2</v>
      </c>
      <c r="H29" s="47">
        <f>FleetAverage!F29</f>
        <v>0</v>
      </c>
      <c r="I29" s="49">
        <f>FleetAverage!H29</f>
        <v>99.79785102040816</v>
      </c>
      <c r="K29" s="4" t="str">
        <f>ProsumerMetrics!A29</f>
        <v>BES_TR3_one559_C</v>
      </c>
      <c r="L29" s="51">
        <f>ProsumerMetrics!J29</f>
        <v>19.899999999999999</v>
      </c>
      <c r="M29" s="49">
        <f>ProsumerMetrics!K29</f>
        <v>88.7</v>
      </c>
      <c r="T29" s="41">
        <f>FleetAverage!B29</f>
        <v>13.5</v>
      </c>
      <c r="U29" s="47">
        <f>FleetAverage!C29</f>
        <v>0.35529202993197284</v>
      </c>
      <c r="V29" s="47">
        <f>FleetAverage!D29</f>
        <v>2.6723137519238107</v>
      </c>
      <c r="W29" s="47">
        <f>FleetAverage!E29</f>
        <v>1.3918367346938774E-2</v>
      </c>
      <c r="X29" s="47">
        <f>FleetAverage!F29</f>
        <v>0</v>
      </c>
      <c r="Y29" s="55">
        <f>FleetAverage!G29</f>
        <v>-2.3031033546448989</v>
      </c>
      <c r="AA29" s="41">
        <f>FleetAverage!B29</f>
        <v>13.5</v>
      </c>
      <c r="AB29" s="47">
        <f>0</f>
        <v>0</v>
      </c>
      <c r="AC29" s="47">
        <f>FleetAverage!G29</f>
        <v>-2.3031033546448989</v>
      </c>
      <c r="AD29" s="47">
        <f t="shared" si="1"/>
        <v>0</v>
      </c>
      <c r="AE29" s="47">
        <f t="shared" si="2"/>
        <v>-2.3031033546448989</v>
      </c>
      <c r="AF29" s="51">
        <f>100</f>
        <v>100</v>
      </c>
      <c r="AG29" s="49">
        <f>FleetAverage!H29</f>
        <v>99.79785102040816</v>
      </c>
    </row>
    <row r="30" spans="1:33" x14ac:dyDescent="0.25">
      <c r="A30" s="41">
        <f>FleetAverage!B30</f>
        <v>14</v>
      </c>
      <c r="B30" s="43">
        <f>FleetAverage!I30</f>
        <v>14.08410283333334</v>
      </c>
      <c r="C30" s="43">
        <f>FleetAverage!J30</f>
        <v>124.91944664789997</v>
      </c>
      <c r="D30" s="44">
        <f>FleetAverage!K30</f>
        <v>-110.94034381456665</v>
      </c>
      <c r="F30" s="41">
        <f>FleetAverage!B30</f>
        <v>14</v>
      </c>
      <c r="G30" s="47">
        <f>FleetAverage!E30</f>
        <v>3.9795918367346939E-3</v>
      </c>
      <c r="H30" s="47">
        <f>FleetAverage!F30</f>
        <v>6.1224489795918364E-3</v>
      </c>
      <c r="I30" s="49">
        <f>FleetAverage!H30</f>
        <v>99.955077551020423</v>
      </c>
      <c r="K30" s="4" t="str">
        <f>ProsumerMetrics!A30</f>
        <v>BES_TR3_one570_B</v>
      </c>
      <c r="L30" s="51">
        <f>ProsumerMetrics!J30</f>
        <v>27.5</v>
      </c>
      <c r="M30" s="49">
        <f>ProsumerMetrics!K30</f>
        <v>100</v>
      </c>
      <c r="T30" s="41">
        <f>FleetAverage!B30</f>
        <v>14</v>
      </c>
      <c r="U30" s="47">
        <f>FleetAverage!C30</f>
        <v>0.28743067006802736</v>
      </c>
      <c r="V30" s="47">
        <f>FleetAverage!D30</f>
        <v>2.5493764622020403</v>
      </c>
      <c r="W30" s="47">
        <f>FleetAverage!E30</f>
        <v>3.9795918367346939E-3</v>
      </c>
      <c r="X30" s="47">
        <f>FleetAverage!F30</f>
        <v>6.1224489795918364E-3</v>
      </c>
      <c r="Y30" s="55">
        <f>FleetAverage!G30</f>
        <v>-2.2640886492768697</v>
      </c>
      <c r="AA30" s="41">
        <f>FleetAverage!B30</f>
        <v>14</v>
      </c>
      <c r="AB30" s="47">
        <f>0</f>
        <v>0</v>
      </c>
      <c r="AC30" s="47">
        <f>FleetAverage!G30</f>
        <v>-2.2640886492768697</v>
      </c>
      <c r="AD30" s="47">
        <f t="shared" si="1"/>
        <v>0</v>
      </c>
      <c r="AE30" s="47">
        <f t="shared" si="2"/>
        <v>-2.2640886492768697</v>
      </c>
      <c r="AF30" s="51">
        <f>100</f>
        <v>100</v>
      </c>
      <c r="AG30" s="49">
        <f>FleetAverage!H30</f>
        <v>99.955077551020423</v>
      </c>
    </row>
    <row r="31" spans="1:33" x14ac:dyDescent="0.25">
      <c r="A31" s="41">
        <f>FleetAverage!B31</f>
        <v>14.5</v>
      </c>
      <c r="B31" s="43">
        <f>FleetAverage!I31</f>
        <v>15.673330466666664</v>
      </c>
      <c r="C31" s="43">
        <f>FleetAverage!J31</f>
        <v>117.28624955246676</v>
      </c>
      <c r="D31" s="44">
        <f>FleetAverage!K31</f>
        <v>-101.49591908580008</v>
      </c>
      <c r="F31" s="41">
        <f>FleetAverage!B31</f>
        <v>14.5</v>
      </c>
      <c r="G31" s="47">
        <f>FleetAverage!E31</f>
        <v>6.7959183673469391E-3</v>
      </c>
      <c r="H31" s="47">
        <f>FleetAverage!F31</f>
        <v>4.4081632653061222E-3</v>
      </c>
      <c r="I31" s="49">
        <f>FleetAverage!H31</f>
        <v>99.923212244897954</v>
      </c>
      <c r="K31" s="4" t="str">
        <f>ProsumerMetrics!A31</f>
        <v>BES_TR3_one605_A</v>
      </c>
      <c r="L31" s="51">
        <f>ProsumerMetrics!J31</f>
        <v>16.100000000000001</v>
      </c>
      <c r="M31" s="49">
        <f>ProsumerMetrics!K31</f>
        <v>100</v>
      </c>
      <c r="T31" s="41">
        <f>FleetAverage!B31</f>
        <v>14.5</v>
      </c>
      <c r="U31" s="47">
        <f>FleetAverage!C31</f>
        <v>0.31986388707482988</v>
      </c>
      <c r="V31" s="47">
        <f>FleetAverage!D31</f>
        <v>2.3935969296421788</v>
      </c>
      <c r="W31" s="47">
        <f>FleetAverage!E31</f>
        <v>6.7959183673469391E-3</v>
      </c>
      <c r="X31" s="47">
        <f>FleetAverage!F31</f>
        <v>4.4081632653061222E-3</v>
      </c>
      <c r="Y31" s="55">
        <f>FleetAverage!G31</f>
        <v>-2.071345287465308</v>
      </c>
      <c r="AA31" s="41">
        <f>FleetAverage!B31</f>
        <v>14.5</v>
      </c>
      <c r="AB31" s="47">
        <f>0</f>
        <v>0</v>
      </c>
      <c r="AC31" s="47">
        <f>FleetAverage!G31</f>
        <v>-2.071345287465308</v>
      </c>
      <c r="AD31" s="47">
        <f t="shared" si="1"/>
        <v>0</v>
      </c>
      <c r="AE31" s="47">
        <f t="shared" si="2"/>
        <v>-2.071345287465308</v>
      </c>
      <c r="AF31" s="51">
        <f>100</f>
        <v>100</v>
      </c>
      <c r="AG31" s="49">
        <f>FleetAverage!H31</f>
        <v>99.923212244897954</v>
      </c>
    </row>
    <row r="32" spans="1:33" x14ac:dyDescent="0.25">
      <c r="A32" s="41">
        <f>FleetAverage!B32</f>
        <v>15</v>
      </c>
      <c r="B32" s="43">
        <f>FleetAverage!I32</f>
        <v>20.617847700000006</v>
      </c>
      <c r="C32" s="43">
        <f>FleetAverage!J32</f>
        <v>109.17448616309996</v>
      </c>
      <c r="D32" s="44">
        <f>FleetAverage!K32</f>
        <v>-92.263638463099937</v>
      </c>
      <c r="F32" s="41">
        <f>FleetAverage!B32</f>
        <v>15</v>
      </c>
      <c r="G32" s="47">
        <f>FleetAverage!E32</f>
        <v>0</v>
      </c>
      <c r="H32" s="47">
        <f>FleetAverage!F32</f>
        <v>7.5653061224489795E-2</v>
      </c>
      <c r="I32" s="49">
        <f>FleetAverage!H32</f>
        <v>99.944789795918382</v>
      </c>
      <c r="K32" s="4" t="str">
        <f>ProsumerMetrics!A32</f>
        <v>BES_TR3_one614_B</v>
      </c>
      <c r="L32" s="51">
        <f>ProsumerMetrics!J32</f>
        <v>36.9</v>
      </c>
      <c r="M32" s="49">
        <f>ProsumerMetrics!K32</f>
        <v>87.9</v>
      </c>
      <c r="T32" s="41">
        <f>FleetAverage!B32</f>
        <v>15</v>
      </c>
      <c r="U32" s="47">
        <f>FleetAverage!C32</f>
        <v>0.42077240204081645</v>
      </c>
      <c r="V32" s="47">
        <f>FleetAverage!D32</f>
        <v>2.2280507380224481</v>
      </c>
      <c r="W32" s="47">
        <f>FleetAverage!E32</f>
        <v>0</v>
      </c>
      <c r="X32" s="47">
        <f>FleetAverage!F32</f>
        <v>7.5653061224489795E-2</v>
      </c>
      <c r="Y32" s="55">
        <f>FleetAverage!G32</f>
        <v>-1.8829313972061215</v>
      </c>
      <c r="AA32" s="41">
        <f>FleetAverage!B32</f>
        <v>15</v>
      </c>
      <c r="AB32" s="47">
        <f>0</f>
        <v>0</v>
      </c>
      <c r="AC32" s="47">
        <f>FleetAverage!G32</f>
        <v>-1.8829313972061215</v>
      </c>
      <c r="AD32" s="47">
        <f t="shared" si="1"/>
        <v>0</v>
      </c>
      <c r="AE32" s="47">
        <f t="shared" si="2"/>
        <v>-1.8829313972061215</v>
      </c>
      <c r="AF32" s="51">
        <f>100</f>
        <v>100</v>
      </c>
      <c r="AG32" s="49">
        <f>FleetAverage!H32</f>
        <v>99.944789795918382</v>
      </c>
    </row>
    <row r="33" spans="1:33" x14ac:dyDescent="0.25">
      <c r="A33" s="41">
        <f>FleetAverage!B33</f>
        <v>15.5</v>
      </c>
      <c r="B33" s="43">
        <f>FleetAverage!I33</f>
        <v>16.178239533333333</v>
      </c>
      <c r="C33" s="43">
        <f>FleetAverage!J33</f>
        <v>99.413042045066675</v>
      </c>
      <c r="D33" s="44">
        <f>FleetAverage!K33</f>
        <v>-84.679802511733342</v>
      </c>
      <c r="F33" s="41">
        <f>FleetAverage!B33</f>
        <v>15.5</v>
      </c>
      <c r="G33" s="47">
        <f>FleetAverage!E33</f>
        <v>8.4897959183673471E-3</v>
      </c>
      <c r="H33" s="47">
        <f>FleetAverage!F33</f>
        <v>3.7979591836734695E-2</v>
      </c>
      <c r="I33" s="49">
        <f>FleetAverage!H33</f>
        <v>98.995536734693886</v>
      </c>
      <c r="K33" s="4" t="str">
        <f>ProsumerMetrics!A33</f>
        <v>BES_TR3_one617_A</v>
      </c>
      <c r="L33" s="51">
        <f>ProsumerMetrics!J33</f>
        <v>16.899999999999999</v>
      </c>
      <c r="M33" s="49">
        <f>ProsumerMetrics!K33</f>
        <v>100</v>
      </c>
      <c r="T33" s="41">
        <f>FleetAverage!B33</f>
        <v>15.5</v>
      </c>
      <c r="U33" s="47">
        <f>FleetAverage!C33</f>
        <v>0.33016815374149661</v>
      </c>
      <c r="V33" s="47">
        <f>FleetAverage!D33</f>
        <v>2.0288375927564628</v>
      </c>
      <c r="W33" s="47">
        <f>FleetAverage!E33</f>
        <v>8.4897959183673471E-3</v>
      </c>
      <c r="X33" s="47">
        <f>FleetAverage!F33</f>
        <v>3.7979591836734695E-2</v>
      </c>
      <c r="Y33" s="55">
        <f>FleetAverage!G33</f>
        <v>-1.7281592349333335</v>
      </c>
      <c r="AA33" s="41">
        <f>FleetAverage!B33</f>
        <v>15.5</v>
      </c>
      <c r="AB33" s="47">
        <f>0</f>
        <v>0</v>
      </c>
      <c r="AC33" s="47">
        <f>FleetAverage!G33</f>
        <v>-1.7281592349333335</v>
      </c>
      <c r="AD33" s="47">
        <f t="shared" si="1"/>
        <v>0</v>
      </c>
      <c r="AE33" s="47">
        <f t="shared" si="2"/>
        <v>-1.7281592349333335</v>
      </c>
      <c r="AF33" s="51">
        <f>100</f>
        <v>100</v>
      </c>
      <c r="AG33" s="49">
        <f>FleetAverage!H33</f>
        <v>98.995536734693886</v>
      </c>
    </row>
    <row r="34" spans="1:33" x14ac:dyDescent="0.25">
      <c r="A34" s="41">
        <f>FleetAverage!B34</f>
        <v>16</v>
      </c>
      <c r="B34" s="43">
        <f>FleetAverage!I34</f>
        <v>15.944766066666668</v>
      </c>
      <c r="C34" s="43">
        <f>FleetAverage!J34</f>
        <v>88.41935233633329</v>
      </c>
      <c r="D34" s="44">
        <f>FleetAverage!K34</f>
        <v>-70.371586269666608</v>
      </c>
      <c r="F34" s="41">
        <f>FleetAverage!B34</f>
        <v>16</v>
      </c>
      <c r="G34" s="47">
        <f>FleetAverage!E34</f>
        <v>4.8795918367346938E-2</v>
      </c>
      <c r="H34" s="47">
        <f>FleetAverage!F34</f>
        <v>5.877551020408163E-3</v>
      </c>
      <c r="I34" s="49">
        <f>FleetAverage!H34</f>
        <v>98.614867346938766</v>
      </c>
      <c r="K34" s="4" t="str">
        <f>ProsumerMetrics!A34</f>
        <v>BES_TR3_one73_A</v>
      </c>
      <c r="L34" s="51">
        <f>ProsumerMetrics!J34</f>
        <v>33.5</v>
      </c>
      <c r="M34" s="49">
        <f>ProsumerMetrics!K34</f>
        <v>99.1</v>
      </c>
      <c r="T34" s="41">
        <f>FleetAverage!B34</f>
        <v>16</v>
      </c>
      <c r="U34" s="47">
        <f>FleetAverage!C34</f>
        <v>0.32540338911564631</v>
      </c>
      <c r="V34" s="47">
        <f>FleetAverage!D34</f>
        <v>1.8044765782925161</v>
      </c>
      <c r="W34" s="47">
        <f>FleetAverage!E34</f>
        <v>4.8795918367346938E-2</v>
      </c>
      <c r="X34" s="47">
        <f>FleetAverage!F34</f>
        <v>5.877551020408163E-3</v>
      </c>
      <c r="Y34" s="55">
        <f>FleetAverage!G34</f>
        <v>-1.4361548218299309</v>
      </c>
      <c r="AA34" s="41">
        <f>FleetAverage!B34</f>
        <v>16</v>
      </c>
      <c r="AB34" s="47">
        <f>0</f>
        <v>0</v>
      </c>
      <c r="AC34" s="47">
        <f>FleetAverage!G34</f>
        <v>-1.4361548218299309</v>
      </c>
      <c r="AD34" s="47">
        <f t="shared" si="1"/>
        <v>0</v>
      </c>
      <c r="AE34" s="47">
        <f t="shared" si="2"/>
        <v>-1.4361548218299309</v>
      </c>
      <c r="AF34" s="51">
        <f>100</f>
        <v>100</v>
      </c>
      <c r="AG34" s="49">
        <f>FleetAverage!H34</f>
        <v>98.614867346938766</v>
      </c>
    </row>
    <row r="35" spans="1:33" x14ac:dyDescent="0.25">
      <c r="A35" s="41">
        <f>FleetAverage!B35</f>
        <v>16.5</v>
      </c>
      <c r="B35" s="43">
        <f>FleetAverage!I35</f>
        <v>18.519984200000003</v>
      </c>
      <c r="C35" s="43">
        <f>FleetAverage!J35</f>
        <v>75.1459043720333</v>
      </c>
      <c r="D35" s="44">
        <f>FleetAverage!K35</f>
        <v>-58.739920172033294</v>
      </c>
      <c r="F35" s="41">
        <f>FleetAverage!B35</f>
        <v>16.5</v>
      </c>
      <c r="G35" s="47">
        <f>FleetAverage!E35</f>
        <v>1.7428571428571432E-2</v>
      </c>
      <c r="H35" s="47">
        <f>FleetAverage!F35</f>
        <v>6.0571428571428568E-2</v>
      </c>
      <c r="I35" s="49">
        <f>FleetAverage!H35</f>
        <v>99.092204081632659</v>
      </c>
      <c r="K35" s="4" t="str">
        <f>ProsumerMetrics!A35</f>
        <v>BES_TR3_one76_A</v>
      </c>
      <c r="L35" s="51">
        <f>ProsumerMetrics!J35</f>
        <v>34.1</v>
      </c>
      <c r="M35" s="49">
        <f>ProsumerMetrics!K35</f>
        <v>100</v>
      </c>
      <c r="T35" s="41">
        <f>FleetAverage!B35</f>
        <v>16.5</v>
      </c>
      <c r="U35" s="47">
        <f>FleetAverage!C35</f>
        <v>0.37795886122448985</v>
      </c>
      <c r="V35" s="47">
        <f>FleetAverage!D35</f>
        <v>1.5335898851435368</v>
      </c>
      <c r="W35" s="47">
        <f>FleetAverage!E35</f>
        <v>1.7428571428571432E-2</v>
      </c>
      <c r="X35" s="47">
        <f>FleetAverage!F35</f>
        <v>6.0571428571428568E-2</v>
      </c>
      <c r="Y35" s="55">
        <f>FleetAverage!G35</f>
        <v>-1.198773881061904</v>
      </c>
      <c r="AA35" s="41">
        <f>FleetAverage!B35</f>
        <v>16.5</v>
      </c>
      <c r="AB35" s="47">
        <f>0</f>
        <v>0</v>
      </c>
      <c r="AC35" s="47">
        <f>FleetAverage!G35</f>
        <v>-1.198773881061904</v>
      </c>
      <c r="AD35" s="47">
        <f t="shared" si="1"/>
        <v>0</v>
      </c>
      <c r="AE35" s="47">
        <f t="shared" si="2"/>
        <v>-1.198773881061904</v>
      </c>
      <c r="AF35" s="51">
        <f>100</f>
        <v>100</v>
      </c>
      <c r="AG35" s="49">
        <f>FleetAverage!H35</f>
        <v>99.092204081632659</v>
      </c>
    </row>
    <row r="36" spans="1:33" x14ac:dyDescent="0.25">
      <c r="A36" s="41">
        <f>FleetAverage!B36</f>
        <v>17</v>
      </c>
      <c r="B36" s="43">
        <f>FleetAverage!I36</f>
        <v>17.211982866666677</v>
      </c>
      <c r="C36" s="43">
        <f>FleetAverage!J36</f>
        <v>62.722877888833246</v>
      </c>
      <c r="D36" s="44">
        <f>FleetAverage!K36</f>
        <v>-45.74189502216656</v>
      </c>
      <c r="F36" s="41">
        <f>FleetAverage!B36</f>
        <v>17</v>
      </c>
      <c r="G36" s="47">
        <f>FleetAverage!E36</f>
        <v>3.5122448979591839E-2</v>
      </c>
      <c r="H36" s="47">
        <f>FleetAverage!F36</f>
        <v>3.9836734693877551E-2</v>
      </c>
      <c r="I36" s="49">
        <f>FleetAverage!H36</f>
        <v>98.529061224489794</v>
      </c>
      <c r="K36" s="4" t="str">
        <f>ProsumerMetrics!A36</f>
        <v>BES_TR3_one137_A</v>
      </c>
      <c r="L36" s="51">
        <f>ProsumerMetrics!J36</f>
        <v>37</v>
      </c>
      <c r="M36" s="49">
        <f>ProsumerMetrics!K36</f>
        <v>100</v>
      </c>
      <c r="T36" s="41">
        <f>FleetAverage!B36</f>
        <v>17</v>
      </c>
      <c r="U36" s="47">
        <f>FleetAverage!C36</f>
        <v>0.35126495646258526</v>
      </c>
      <c r="V36" s="47">
        <f>FleetAverage!D36</f>
        <v>1.2800587324251682</v>
      </c>
      <c r="W36" s="47">
        <f>FleetAverage!E36</f>
        <v>3.5122448979591839E-2</v>
      </c>
      <c r="X36" s="47">
        <f>FleetAverage!F36</f>
        <v>3.9836734693877551E-2</v>
      </c>
      <c r="Y36" s="55">
        <f>FleetAverage!G36</f>
        <v>-0.93350806167686873</v>
      </c>
      <c r="AA36" s="41">
        <f>FleetAverage!B36</f>
        <v>17</v>
      </c>
      <c r="AB36" s="47">
        <f>0</f>
        <v>0</v>
      </c>
      <c r="AC36" s="47">
        <f>FleetAverage!G36</f>
        <v>-0.93350806167686873</v>
      </c>
      <c r="AD36" s="47">
        <f t="shared" si="1"/>
        <v>0</v>
      </c>
      <c r="AE36" s="47">
        <f t="shared" si="2"/>
        <v>-0.93350806167686873</v>
      </c>
      <c r="AF36" s="51">
        <f>100</f>
        <v>100</v>
      </c>
      <c r="AG36" s="49">
        <f>FleetAverage!H36</f>
        <v>98.529061224489794</v>
      </c>
    </row>
    <row r="37" spans="1:33" x14ac:dyDescent="0.25">
      <c r="A37" s="41">
        <f>FleetAverage!B37</f>
        <v>17.5</v>
      </c>
      <c r="B37" s="43">
        <f>FleetAverage!I37</f>
        <v>16.910662400000007</v>
      </c>
      <c r="C37" s="43">
        <f>FleetAverage!J37</f>
        <v>49.957447063900027</v>
      </c>
      <c r="D37" s="44">
        <f>FleetAverage!K37</f>
        <v>-34.589784663900019</v>
      </c>
      <c r="F37" s="41">
        <f>FleetAverage!B37</f>
        <v>17.5</v>
      </c>
      <c r="G37" s="47">
        <f>FleetAverage!E37</f>
        <v>2.0204081632653061E-2</v>
      </c>
      <c r="H37" s="47">
        <f>FleetAverage!F37</f>
        <v>5.1693877551020409E-2</v>
      </c>
      <c r="I37" s="49">
        <f>FleetAverage!H37</f>
        <v>98.42582040816329</v>
      </c>
      <c r="K37" s="4" t="str">
        <f>ProsumerMetrics!A37</f>
        <v>BES_TR3_one176_A</v>
      </c>
      <c r="L37" s="51">
        <f>ProsumerMetrics!J37</f>
        <v>39.1</v>
      </c>
      <c r="M37" s="49">
        <f>ProsumerMetrics!K37</f>
        <v>100</v>
      </c>
      <c r="T37" s="41">
        <f>FleetAverage!B37</f>
        <v>17.5</v>
      </c>
      <c r="U37" s="47">
        <f>FleetAverage!C37</f>
        <v>0.34511555918367359</v>
      </c>
      <c r="V37" s="47">
        <f>FleetAverage!D37</f>
        <v>1.0195397359979597</v>
      </c>
      <c r="W37" s="47">
        <f>FleetAverage!E37</f>
        <v>2.0204081632653061E-2</v>
      </c>
      <c r="X37" s="47">
        <f>FleetAverage!F37</f>
        <v>5.1693877551020409E-2</v>
      </c>
      <c r="Y37" s="55">
        <f>FleetAverage!G37</f>
        <v>-0.70591397273265333</v>
      </c>
      <c r="AA37" s="41">
        <f>FleetAverage!B37</f>
        <v>17.5</v>
      </c>
      <c r="AB37" s="47">
        <f>0</f>
        <v>0</v>
      </c>
      <c r="AC37" s="47">
        <f>FleetAverage!G37</f>
        <v>-0.70591397273265333</v>
      </c>
      <c r="AD37" s="47">
        <f t="shared" si="1"/>
        <v>0</v>
      </c>
      <c r="AE37" s="47">
        <f t="shared" si="2"/>
        <v>-0.70591397273265333</v>
      </c>
      <c r="AF37" s="51">
        <f>100</f>
        <v>100</v>
      </c>
      <c r="AG37" s="49">
        <f>FleetAverage!H37</f>
        <v>98.42582040816329</v>
      </c>
    </row>
    <row r="38" spans="1:33" x14ac:dyDescent="0.25">
      <c r="A38" s="41">
        <f>FleetAverage!B38</f>
        <v>18</v>
      </c>
      <c r="B38" s="43">
        <f>FleetAverage!I38</f>
        <v>16.613933633333332</v>
      </c>
      <c r="C38" s="43">
        <f>FleetAverage!J38</f>
        <v>37.608865087666707</v>
      </c>
      <c r="D38" s="44">
        <f>FleetAverage!K38</f>
        <v>-23.808931454333376</v>
      </c>
      <c r="F38" s="41">
        <f>FleetAverage!B38</f>
        <v>18</v>
      </c>
      <c r="G38" s="47">
        <f>FleetAverage!E38</f>
        <v>1.9102040816326528E-2</v>
      </c>
      <c r="H38" s="47">
        <f>FleetAverage!F38</f>
        <v>7.6530612244897947E-2</v>
      </c>
      <c r="I38" s="49">
        <f>FleetAverage!H38</f>
        <v>98.005320408163257</v>
      </c>
      <c r="K38" s="4" t="str">
        <f>ProsumerMetrics!A38</f>
        <v>BES_TR3_two130_C</v>
      </c>
      <c r="L38" s="51">
        <f>ProsumerMetrics!J38</f>
        <v>29.2</v>
      </c>
      <c r="M38" s="49">
        <f>ProsumerMetrics!K38</f>
        <v>100</v>
      </c>
      <c r="T38" s="41">
        <f>FleetAverage!B38</f>
        <v>18</v>
      </c>
      <c r="U38" s="47">
        <f>FleetAverage!C38</f>
        <v>0.33905987006802718</v>
      </c>
      <c r="V38" s="47">
        <f>FleetAverage!D38</f>
        <v>0.76752785893197362</v>
      </c>
      <c r="W38" s="47">
        <f>FleetAverage!E38</f>
        <v>1.9102040816326528E-2</v>
      </c>
      <c r="X38" s="47">
        <f>FleetAverage!F38</f>
        <v>7.6530612244897947E-2</v>
      </c>
      <c r="Y38" s="55">
        <f>FleetAverage!G38</f>
        <v>-0.48589656029251782</v>
      </c>
      <c r="AA38" s="41">
        <f>FleetAverage!B38</f>
        <v>18</v>
      </c>
      <c r="AB38" s="47">
        <f>0</f>
        <v>0</v>
      </c>
      <c r="AC38" s="47">
        <f>FleetAverage!G38</f>
        <v>-0.48589656029251782</v>
      </c>
      <c r="AD38" s="47">
        <f t="shared" si="1"/>
        <v>0</v>
      </c>
      <c r="AE38" s="47">
        <f t="shared" si="2"/>
        <v>-0.48589656029251782</v>
      </c>
      <c r="AF38" s="51">
        <f>100</f>
        <v>100</v>
      </c>
      <c r="AG38" s="49">
        <f>FleetAverage!H38</f>
        <v>98.005320408163257</v>
      </c>
    </row>
    <row r="39" spans="1:33" x14ac:dyDescent="0.25">
      <c r="A39" s="41">
        <f>FleetAverage!B39</f>
        <v>18.5</v>
      </c>
      <c r="B39" s="43">
        <f>FleetAverage!I39</f>
        <v>20.210394233333332</v>
      </c>
      <c r="C39" s="43">
        <f>FleetAverage!J39</f>
        <v>25.703092084500003</v>
      </c>
      <c r="D39" s="44">
        <f>FleetAverage!K39</f>
        <v>-12.423697851166672</v>
      </c>
      <c r="F39" s="41">
        <f>FleetAverage!B39</f>
        <v>18.5</v>
      </c>
      <c r="G39" s="47">
        <f>FleetAverage!E39</f>
        <v>1.6E-2</v>
      </c>
      <c r="H39" s="47">
        <f>FleetAverage!F39</f>
        <v>0.15744897959183674</v>
      </c>
      <c r="I39" s="49">
        <f>FleetAverage!H39</f>
        <v>97.260483673469381</v>
      </c>
      <c r="K39" s="4" t="str">
        <f>ProsumerMetrics!A39</f>
        <v>BES_TR3_two249_A</v>
      </c>
      <c r="L39" s="51">
        <f>ProsumerMetrics!J39</f>
        <v>23.6</v>
      </c>
      <c r="M39" s="49">
        <f>ProsumerMetrics!K39</f>
        <v>100</v>
      </c>
      <c r="T39" s="41">
        <f>FleetAverage!B39</f>
        <v>18.5</v>
      </c>
      <c r="U39" s="47">
        <f>FleetAverage!C39</f>
        <v>0.41245702517006799</v>
      </c>
      <c r="V39" s="47">
        <f>FleetAverage!D39</f>
        <v>0.52455289968367358</v>
      </c>
      <c r="W39" s="47">
        <f>FleetAverage!E39</f>
        <v>1.6E-2</v>
      </c>
      <c r="X39" s="47">
        <f>FleetAverage!F39</f>
        <v>0.15744897959183674</v>
      </c>
      <c r="Y39" s="55">
        <f>FleetAverage!G39</f>
        <v>-0.25354485410544231</v>
      </c>
      <c r="AA39" s="41">
        <f>FleetAverage!B39</f>
        <v>18.5</v>
      </c>
      <c r="AB39" s="47">
        <f>0</f>
        <v>0</v>
      </c>
      <c r="AC39" s="47">
        <f>FleetAverage!G39</f>
        <v>-0.25354485410544231</v>
      </c>
      <c r="AD39" s="47">
        <f t="shared" si="1"/>
        <v>0</v>
      </c>
      <c r="AE39" s="47">
        <f t="shared" si="2"/>
        <v>-0.25354485410544231</v>
      </c>
      <c r="AF39" s="51">
        <f>100</f>
        <v>100</v>
      </c>
      <c r="AG39" s="49">
        <f>FleetAverage!H39</f>
        <v>97.260483673469381</v>
      </c>
    </row>
    <row r="40" spans="1:33" x14ac:dyDescent="0.25">
      <c r="A40" s="41">
        <f>FleetAverage!B40</f>
        <v>19</v>
      </c>
      <c r="B40" s="43">
        <f>FleetAverage!I40</f>
        <v>14.961719933333329</v>
      </c>
      <c r="C40" s="43">
        <f>FleetAverage!J40</f>
        <v>15.009070470133326</v>
      </c>
      <c r="D40" s="44">
        <f>FleetAverage!K40</f>
        <v>-4.3133505367999962</v>
      </c>
      <c r="F40" s="41">
        <f>FleetAverage!B40</f>
        <v>19</v>
      </c>
      <c r="G40" s="47">
        <f>FleetAverage!E40</f>
        <v>1.2857142857142857E-2</v>
      </c>
      <c r="H40" s="47">
        <f>FleetAverage!F40</f>
        <v>9.9918367346938777E-2</v>
      </c>
      <c r="I40" s="49">
        <f>FleetAverage!H40</f>
        <v>95.465448979591855</v>
      </c>
      <c r="K40" s="4" t="str">
        <f>ProsumerMetrics!A40</f>
        <v>BES_TR3_two267_C</v>
      </c>
      <c r="L40" s="51">
        <f>ProsumerMetrics!J40</f>
        <v>33.5</v>
      </c>
      <c r="M40" s="49">
        <f>ProsumerMetrics!K40</f>
        <v>100</v>
      </c>
      <c r="T40" s="41">
        <f>FleetAverage!B40</f>
        <v>19</v>
      </c>
      <c r="U40" s="47">
        <f>FleetAverage!C40</f>
        <v>0.3053412231292516</v>
      </c>
      <c r="V40" s="47">
        <f>FleetAverage!D40</f>
        <v>0.30630756061496583</v>
      </c>
      <c r="W40" s="47">
        <f>FleetAverage!E40</f>
        <v>1.2857142857142857E-2</v>
      </c>
      <c r="X40" s="47">
        <f>FleetAverage!F40</f>
        <v>9.9918367346938777E-2</v>
      </c>
      <c r="Y40" s="55">
        <f>FleetAverage!G40</f>
        <v>-8.8027561975510149E-2</v>
      </c>
      <c r="AA40" s="41">
        <f>FleetAverage!B40</f>
        <v>19</v>
      </c>
      <c r="AB40" s="47">
        <f>0</f>
        <v>0</v>
      </c>
      <c r="AC40" s="47">
        <f>FleetAverage!G40</f>
        <v>-8.8027561975510149E-2</v>
      </c>
      <c r="AD40" s="47">
        <f t="shared" si="1"/>
        <v>0</v>
      </c>
      <c r="AE40" s="47">
        <f t="shared" si="2"/>
        <v>-8.8027561975510149E-2</v>
      </c>
      <c r="AF40" s="51">
        <f>100</f>
        <v>100</v>
      </c>
      <c r="AG40" s="49">
        <f>FleetAverage!H40</f>
        <v>95.465448979591855</v>
      </c>
    </row>
    <row r="41" spans="1:33" x14ac:dyDescent="0.25">
      <c r="A41" s="41">
        <f>FleetAverage!B41</f>
        <v>19.5</v>
      </c>
      <c r="B41" s="43">
        <f>FleetAverage!I41</f>
        <v>23.66369090000001</v>
      </c>
      <c r="C41" s="43">
        <f>FleetAverage!J41</f>
        <v>4.3667678973000026</v>
      </c>
      <c r="D41" s="44">
        <f>FleetAverage!K41</f>
        <v>-0.1420769972999949</v>
      </c>
      <c r="F41" s="41">
        <f>FleetAverage!B41</f>
        <v>19.5</v>
      </c>
      <c r="G41" s="47">
        <f>FleetAverage!E41</f>
        <v>4.285714285714286E-4</v>
      </c>
      <c r="H41" s="47">
        <f>FleetAverage!F41</f>
        <v>0.39714285714285719</v>
      </c>
      <c r="I41" s="49">
        <f>FleetAverage!H41</f>
        <v>94.356675510204084</v>
      </c>
      <c r="K41" s="4" t="str">
        <f>ProsumerMetrics!A41</f>
        <v>BES_TR3_two292_B</v>
      </c>
      <c r="L41" s="51">
        <f>ProsumerMetrics!J41</f>
        <v>12.6</v>
      </c>
      <c r="M41" s="49">
        <f>ProsumerMetrics!K41</f>
        <v>100</v>
      </c>
      <c r="T41" s="41">
        <f>FleetAverage!B41</f>
        <v>19.5</v>
      </c>
      <c r="U41" s="47">
        <f>FleetAverage!C41</f>
        <v>0.48293246734693895</v>
      </c>
      <c r="V41" s="47">
        <f>FleetAverage!D41</f>
        <v>8.9117712189795972E-2</v>
      </c>
      <c r="W41" s="47">
        <f>FleetAverage!E41</f>
        <v>4.285714285714286E-4</v>
      </c>
      <c r="X41" s="47">
        <f>FleetAverage!F41</f>
        <v>0.39714285714285719</v>
      </c>
      <c r="Y41" s="55">
        <f>FleetAverage!G41</f>
        <v>-2.8995305571427599E-3</v>
      </c>
      <c r="AA41" s="41">
        <f>FleetAverage!B41</f>
        <v>19.5</v>
      </c>
      <c r="AB41" s="47">
        <f>0</f>
        <v>0</v>
      </c>
      <c r="AC41" s="47">
        <f>FleetAverage!G41</f>
        <v>-2.8995305571427599E-3</v>
      </c>
      <c r="AD41" s="47">
        <f t="shared" si="1"/>
        <v>0</v>
      </c>
      <c r="AE41" s="47">
        <f t="shared" si="2"/>
        <v>-2.8995305571427599E-3</v>
      </c>
      <c r="AF41" s="51">
        <f>100</f>
        <v>100</v>
      </c>
      <c r="AG41" s="49">
        <f>FleetAverage!H41</f>
        <v>94.356675510204084</v>
      </c>
    </row>
    <row r="42" spans="1:33" x14ac:dyDescent="0.25">
      <c r="A42" s="41">
        <f>FleetAverage!B42</f>
        <v>20</v>
      </c>
      <c r="B42" s="43">
        <f>FleetAverage!I42</f>
        <v>22.683390600000006</v>
      </c>
      <c r="C42" s="43">
        <f>FleetAverage!J42</f>
        <v>0.80537388286666722</v>
      </c>
      <c r="D42" s="44">
        <f>FleetAverage!K42</f>
        <v>1.0167171333428371E-3</v>
      </c>
      <c r="F42" s="41">
        <f>FleetAverage!B42</f>
        <v>20</v>
      </c>
      <c r="G42" s="47">
        <f>FleetAverage!E42</f>
        <v>0</v>
      </c>
      <c r="H42" s="47">
        <f>FleetAverage!F42</f>
        <v>0.44646938775510192</v>
      </c>
      <c r="I42" s="49">
        <f>FleetAverage!H42</f>
        <v>89.377702040816317</v>
      </c>
      <c r="K42" s="4" t="str">
        <f>ProsumerMetrics!A42</f>
        <v>BES_TR3_two308_A</v>
      </c>
      <c r="L42" s="51">
        <f>ProsumerMetrics!J42</f>
        <v>19.7</v>
      </c>
      <c r="M42" s="49">
        <f>ProsumerMetrics!K42</f>
        <v>100</v>
      </c>
      <c r="T42" s="41">
        <f>FleetAverage!B42</f>
        <v>20</v>
      </c>
      <c r="U42" s="47">
        <f>FleetAverage!C42</f>
        <v>0.46292633877551032</v>
      </c>
      <c r="V42" s="47">
        <f>FleetAverage!D42</f>
        <v>1.6436201691156473E-2</v>
      </c>
      <c r="W42" s="47">
        <f>FleetAverage!E42</f>
        <v>0</v>
      </c>
      <c r="X42" s="47">
        <f>FleetAverage!F42</f>
        <v>0.44646938775510192</v>
      </c>
      <c r="Y42" s="55">
        <f>FleetAverage!G42</f>
        <v>2.0749329251945614E-5</v>
      </c>
      <c r="AA42" s="41">
        <f>FleetAverage!B42</f>
        <v>20</v>
      </c>
      <c r="AB42" s="47">
        <f>0</f>
        <v>0</v>
      </c>
      <c r="AC42" s="47">
        <f>FleetAverage!G42</f>
        <v>2.0749329251945614E-5</v>
      </c>
      <c r="AD42" s="47">
        <f t="shared" si="1"/>
        <v>2.0749329251945614E-5</v>
      </c>
      <c r="AE42" s="47">
        <f t="shared" si="2"/>
        <v>0</v>
      </c>
      <c r="AF42" s="51">
        <f>100</f>
        <v>100</v>
      </c>
      <c r="AG42" s="49">
        <f>FleetAverage!H42</f>
        <v>89.377702040816317</v>
      </c>
    </row>
    <row r="43" spans="1:33" x14ac:dyDescent="0.25">
      <c r="A43" s="41">
        <f>FleetAverage!B43</f>
        <v>20.5</v>
      </c>
      <c r="B43" s="43">
        <f>FleetAverage!I43</f>
        <v>23.501918333333339</v>
      </c>
      <c r="C43" s="43">
        <f>FleetAverage!J43</f>
        <v>0</v>
      </c>
      <c r="D43" s="44">
        <f>FleetAverage!K43</f>
        <v>-1.0816666666606523E-3</v>
      </c>
      <c r="F43" s="41">
        <f>FleetAverage!B43</f>
        <v>20.5</v>
      </c>
      <c r="G43" s="47">
        <f>FleetAverage!E43</f>
        <v>0</v>
      </c>
      <c r="H43" s="47">
        <f>FleetAverage!F43</f>
        <v>0.47965306122448981</v>
      </c>
      <c r="I43" s="49">
        <f>FleetAverage!H43</f>
        <v>83.77491224489799</v>
      </c>
      <c r="K43" s="4" t="str">
        <f>ProsumerMetrics!A43</f>
        <v>BES_TR3_two313_C</v>
      </c>
      <c r="L43" s="51">
        <f>ProsumerMetrics!J43</f>
        <v>25.1</v>
      </c>
      <c r="M43" s="49">
        <f>ProsumerMetrics!K43</f>
        <v>100</v>
      </c>
      <c r="T43" s="41">
        <f>FleetAverage!B43</f>
        <v>20.5</v>
      </c>
      <c r="U43" s="47">
        <f>FleetAverage!C43</f>
        <v>0.47963098639455792</v>
      </c>
      <c r="V43" s="47">
        <f>FleetAverage!D43</f>
        <v>0</v>
      </c>
      <c r="W43" s="47">
        <f>FleetAverage!E43</f>
        <v>0</v>
      </c>
      <c r="X43" s="47">
        <f>FleetAverage!F43</f>
        <v>0.47965306122448981</v>
      </c>
      <c r="Y43" s="55">
        <f>FleetAverage!G43</f>
        <v>-2.2074829931884032E-5</v>
      </c>
      <c r="AA43" s="41">
        <f>FleetAverage!B43</f>
        <v>20.5</v>
      </c>
      <c r="AB43" s="47">
        <f>0</f>
        <v>0</v>
      </c>
      <c r="AC43" s="47">
        <f>FleetAverage!G43</f>
        <v>-2.2074829931884032E-5</v>
      </c>
      <c r="AD43" s="47">
        <f t="shared" si="1"/>
        <v>0</v>
      </c>
      <c r="AE43" s="47">
        <f t="shared" si="2"/>
        <v>-2.2074829931884032E-5</v>
      </c>
      <c r="AF43" s="51">
        <f>100</f>
        <v>100</v>
      </c>
      <c r="AG43" s="49">
        <f>FleetAverage!H43</f>
        <v>83.77491224489799</v>
      </c>
    </row>
    <row r="44" spans="1:33" x14ac:dyDescent="0.25">
      <c r="A44" s="41">
        <f>FleetAverage!B44</f>
        <v>21</v>
      </c>
      <c r="B44" s="43">
        <f>FleetAverage!I44</f>
        <v>25.565749333333336</v>
      </c>
      <c r="C44" s="43">
        <f>FleetAverage!J44</f>
        <v>0</v>
      </c>
      <c r="D44" s="44">
        <f>FleetAverage!K44</f>
        <v>-3.2506666666662909E-3</v>
      </c>
      <c r="F44" s="41">
        <f>FleetAverage!B44</f>
        <v>21</v>
      </c>
      <c r="G44" s="47">
        <f>FleetAverage!E44</f>
        <v>0</v>
      </c>
      <c r="H44" s="47">
        <f>FleetAverage!F44</f>
        <v>0.52181632653061227</v>
      </c>
      <c r="I44" s="49">
        <f>FleetAverage!H44</f>
        <v>77.756263265306131</v>
      </c>
      <c r="K44" s="4" t="str">
        <f>ProsumerMetrics!A44</f>
        <v>BES_TR3_two137_B</v>
      </c>
      <c r="L44" s="51">
        <f>ProsumerMetrics!J44</f>
        <v>23.2</v>
      </c>
      <c r="M44" s="49">
        <f>ProsumerMetrics!K44</f>
        <v>100</v>
      </c>
      <c r="T44" s="41">
        <f>FleetAverage!B44</f>
        <v>21</v>
      </c>
      <c r="U44" s="47">
        <f>FleetAverage!C44</f>
        <v>0.52174998639455783</v>
      </c>
      <c r="V44" s="47">
        <f>FleetAverage!D44</f>
        <v>0</v>
      </c>
      <c r="W44" s="47">
        <f>FleetAverage!E44</f>
        <v>0</v>
      </c>
      <c r="X44" s="47">
        <f>FleetAverage!F44</f>
        <v>0.52181632653061227</v>
      </c>
      <c r="Y44" s="55">
        <f>FleetAverage!G44</f>
        <v>-6.6340136054443555E-5</v>
      </c>
      <c r="AA44" s="41">
        <f>FleetAverage!B44</f>
        <v>21</v>
      </c>
      <c r="AB44" s="47">
        <f>0</f>
        <v>0</v>
      </c>
      <c r="AC44" s="47">
        <f>FleetAverage!G44</f>
        <v>-6.6340136054443555E-5</v>
      </c>
      <c r="AD44" s="47">
        <f t="shared" si="1"/>
        <v>0</v>
      </c>
      <c r="AE44" s="47">
        <f t="shared" si="2"/>
        <v>-6.6340136054443555E-5</v>
      </c>
      <c r="AF44" s="51">
        <f>100</f>
        <v>100</v>
      </c>
      <c r="AG44" s="49">
        <f>FleetAverage!H44</f>
        <v>77.756263265306131</v>
      </c>
    </row>
    <row r="45" spans="1:33" x14ac:dyDescent="0.25">
      <c r="A45" s="41">
        <f>FleetAverage!B45</f>
        <v>21.5</v>
      </c>
      <c r="B45" s="43">
        <f>FleetAverage!I45</f>
        <v>23.000014666666655</v>
      </c>
      <c r="C45" s="43">
        <f>FleetAverage!J45</f>
        <v>0</v>
      </c>
      <c r="D45" s="44">
        <f>FleetAverage!K45</f>
        <v>0.8300146666666528</v>
      </c>
      <c r="F45" s="41">
        <f>FleetAverage!B45</f>
        <v>21.5</v>
      </c>
      <c r="G45" s="47">
        <f>FleetAverage!E45</f>
        <v>0</v>
      </c>
      <c r="H45" s="47">
        <f>FleetAverage!F45</f>
        <v>0.45244897959183678</v>
      </c>
      <c r="I45" s="49">
        <f>FleetAverage!H45</f>
        <v>71.209075510204073</v>
      </c>
      <c r="K45" s="4" t="str">
        <f>ProsumerMetrics!A45</f>
        <v>BES_TR3_two316_A</v>
      </c>
      <c r="L45" s="51">
        <f>ProsumerMetrics!J45</f>
        <v>29.2</v>
      </c>
      <c r="M45" s="49">
        <f>ProsumerMetrics!K45</f>
        <v>100</v>
      </c>
      <c r="T45" s="41">
        <f>FleetAverage!B45</f>
        <v>21.5</v>
      </c>
      <c r="U45" s="47">
        <f>FleetAverage!C45</f>
        <v>0.46938805442176845</v>
      </c>
      <c r="V45" s="47">
        <f>FleetAverage!D45</f>
        <v>0</v>
      </c>
      <c r="W45" s="47">
        <f>FleetAverage!E45</f>
        <v>0</v>
      </c>
      <c r="X45" s="47">
        <f>FleetAverage!F45</f>
        <v>0.45244897959183678</v>
      </c>
      <c r="Y45" s="55">
        <f>FleetAverage!G45</f>
        <v>1.6939074829931677E-2</v>
      </c>
      <c r="AA45" s="41">
        <f>FleetAverage!B45</f>
        <v>21.5</v>
      </c>
      <c r="AB45" s="47">
        <f>0</f>
        <v>0</v>
      </c>
      <c r="AC45" s="47">
        <f>FleetAverage!G45</f>
        <v>1.6939074829931677E-2</v>
      </c>
      <c r="AD45" s="47">
        <f t="shared" si="1"/>
        <v>1.6939074829931677E-2</v>
      </c>
      <c r="AE45" s="47">
        <f t="shared" si="2"/>
        <v>0</v>
      </c>
      <c r="AF45" s="51">
        <f>100</f>
        <v>100</v>
      </c>
      <c r="AG45" s="49">
        <f>FleetAverage!H45</f>
        <v>71.209075510204073</v>
      </c>
    </row>
    <row r="46" spans="1:33" x14ac:dyDescent="0.25">
      <c r="A46" s="41">
        <f>FleetAverage!B46</f>
        <v>22</v>
      </c>
      <c r="B46" s="43">
        <f>FleetAverage!I46</f>
        <v>27.79667133333335</v>
      </c>
      <c r="C46" s="43">
        <f>FleetAverage!J46</f>
        <v>0</v>
      </c>
      <c r="D46" s="44">
        <f>FleetAverage!K46</f>
        <v>1.5696713333333463</v>
      </c>
      <c r="F46" s="41">
        <f>FleetAverage!B46</f>
        <v>22</v>
      </c>
      <c r="G46" s="47">
        <f>FleetAverage!E46</f>
        <v>0</v>
      </c>
      <c r="H46" s="47">
        <f>FleetAverage!F46</f>
        <v>0.53524489795918373</v>
      </c>
      <c r="I46" s="49">
        <f>FleetAverage!H46</f>
        <v>65.531736734693894</v>
      </c>
      <c r="K46" s="4" t="str">
        <f>ProsumerMetrics!A46</f>
        <v>BES_TR3_two339_A</v>
      </c>
      <c r="L46" s="51">
        <f>ProsumerMetrics!J46</f>
        <v>31</v>
      </c>
      <c r="M46" s="49">
        <f>ProsumerMetrics!K46</f>
        <v>90.7</v>
      </c>
      <c r="T46" s="41">
        <f>FleetAverage!B46</f>
        <v>22</v>
      </c>
      <c r="U46" s="47">
        <f>FleetAverage!C46</f>
        <v>0.56727900680272147</v>
      </c>
      <c r="V46" s="47">
        <f>FleetAverage!D46</f>
        <v>0</v>
      </c>
      <c r="W46" s="47">
        <f>FleetAverage!E46</f>
        <v>0</v>
      </c>
      <c r="X46" s="47">
        <f>FleetAverage!F46</f>
        <v>0.53524489795918373</v>
      </c>
      <c r="Y46" s="55">
        <f>FleetAverage!G46</f>
        <v>3.2034108843537745E-2</v>
      </c>
      <c r="AA46" s="41">
        <f>FleetAverage!B46</f>
        <v>22</v>
      </c>
      <c r="AB46" s="47">
        <f>0</f>
        <v>0</v>
      </c>
      <c r="AC46" s="47">
        <f>FleetAverage!G46</f>
        <v>3.2034108843537745E-2</v>
      </c>
      <c r="AD46" s="47">
        <f t="shared" si="1"/>
        <v>3.2034108843537745E-2</v>
      </c>
      <c r="AE46" s="47">
        <f t="shared" si="2"/>
        <v>0</v>
      </c>
      <c r="AF46" s="51">
        <f>100</f>
        <v>100</v>
      </c>
      <c r="AG46" s="49">
        <f>FleetAverage!H46</f>
        <v>65.531736734693894</v>
      </c>
    </row>
    <row r="47" spans="1:33" x14ac:dyDescent="0.25">
      <c r="A47" s="41">
        <f>FleetAverage!B47</f>
        <v>22.5</v>
      </c>
      <c r="B47" s="43">
        <f>FleetAverage!I47</f>
        <v>24.409511666666667</v>
      </c>
      <c r="C47" s="43">
        <f>FleetAverage!J47</f>
        <v>0</v>
      </c>
      <c r="D47" s="44">
        <f>FleetAverage!K47</f>
        <v>4.0215116666666617</v>
      </c>
      <c r="F47" s="41">
        <f>FleetAverage!B47</f>
        <v>22.5</v>
      </c>
      <c r="G47" s="47">
        <f>FleetAverage!E47</f>
        <v>0</v>
      </c>
      <c r="H47" s="47">
        <f>FleetAverage!F47</f>
        <v>0.41608163265306131</v>
      </c>
      <c r="I47" s="49">
        <f>FleetAverage!H47</f>
        <v>58.81475714285714</v>
      </c>
      <c r="K47" s="4" t="str">
        <f>ProsumerMetrics!A47</f>
        <v>BES_TR3_two149_B</v>
      </c>
      <c r="L47" s="51">
        <f>ProsumerMetrics!J47</f>
        <v>19.3</v>
      </c>
      <c r="M47" s="49">
        <f>ProsumerMetrics!K47</f>
        <v>100</v>
      </c>
      <c r="T47" s="41">
        <f>FleetAverage!B47</f>
        <v>22.5</v>
      </c>
      <c r="U47" s="47">
        <f>FleetAverage!C47</f>
        <v>0.4981532993197279</v>
      </c>
      <c r="V47" s="47">
        <f>FleetAverage!D47</f>
        <v>0</v>
      </c>
      <c r="W47" s="47">
        <f>FleetAverage!E47</f>
        <v>0</v>
      </c>
      <c r="X47" s="47">
        <f>FleetAverage!F47</f>
        <v>0.41608163265306131</v>
      </c>
      <c r="Y47" s="55">
        <f>FleetAverage!G47</f>
        <v>8.2071666666666598E-2</v>
      </c>
      <c r="AA47" s="41">
        <f>FleetAverage!B47</f>
        <v>22.5</v>
      </c>
      <c r="AB47" s="47">
        <f>0</f>
        <v>0</v>
      </c>
      <c r="AC47" s="47">
        <f>FleetAverage!G47</f>
        <v>8.2071666666666598E-2</v>
      </c>
      <c r="AD47" s="47">
        <f t="shared" si="1"/>
        <v>8.2071666666666598E-2</v>
      </c>
      <c r="AE47" s="47">
        <f t="shared" si="2"/>
        <v>0</v>
      </c>
      <c r="AF47" s="51">
        <f>100</f>
        <v>100</v>
      </c>
      <c r="AG47" s="49">
        <f>FleetAverage!H47</f>
        <v>58.81475714285714</v>
      </c>
    </row>
    <row r="48" spans="1:33" x14ac:dyDescent="0.25">
      <c r="A48" s="41">
        <f>FleetAverage!B48</f>
        <v>23</v>
      </c>
      <c r="B48" s="43">
        <f>FleetAverage!I48</f>
        <v>19.646862333333345</v>
      </c>
      <c r="C48" s="43">
        <f>FleetAverage!J48</f>
        <v>0</v>
      </c>
      <c r="D48" s="44">
        <f>FleetAverage!K48</f>
        <v>2.779862333333341</v>
      </c>
      <c r="F48" s="41">
        <f>FleetAverage!B48</f>
        <v>23</v>
      </c>
      <c r="G48" s="47">
        <f>FleetAverage!E48</f>
        <v>0</v>
      </c>
      <c r="H48" s="47">
        <f>FleetAverage!F48</f>
        <v>0.34422448979591846</v>
      </c>
      <c r="I48" s="49">
        <f>FleetAverage!H48</f>
        <v>53.59365102040816</v>
      </c>
      <c r="K48" s="4" t="str">
        <f>ProsumerMetrics!A48</f>
        <v>BES_TR3_two225_C</v>
      </c>
      <c r="L48" s="51">
        <f>ProsumerMetrics!J48</f>
        <v>60.1</v>
      </c>
      <c r="M48" s="49">
        <f>ProsumerMetrics!K48</f>
        <v>100</v>
      </c>
      <c r="T48" s="41">
        <f>FleetAverage!B48</f>
        <v>23</v>
      </c>
      <c r="U48" s="47">
        <f>FleetAverage!C48</f>
        <v>0.40095637414966012</v>
      </c>
      <c r="V48" s="47">
        <f>FleetAverage!D48</f>
        <v>0</v>
      </c>
      <c r="W48" s="47">
        <f>FleetAverage!E48</f>
        <v>0</v>
      </c>
      <c r="X48" s="47">
        <f>FleetAverage!F48</f>
        <v>0.34422448979591846</v>
      </c>
      <c r="Y48" s="55">
        <f>FleetAverage!G48</f>
        <v>5.6731884353741657E-2</v>
      </c>
      <c r="AA48" s="41">
        <f>FleetAverage!B48</f>
        <v>23</v>
      </c>
      <c r="AB48" s="47">
        <f>0</f>
        <v>0</v>
      </c>
      <c r="AC48" s="47">
        <f>FleetAverage!G48</f>
        <v>5.6731884353741657E-2</v>
      </c>
      <c r="AD48" s="47">
        <f t="shared" si="1"/>
        <v>5.6731884353741657E-2</v>
      </c>
      <c r="AE48" s="47">
        <f t="shared" si="2"/>
        <v>0</v>
      </c>
      <c r="AF48" s="51">
        <f>100</f>
        <v>100</v>
      </c>
      <c r="AG48" s="49">
        <f>FleetAverage!H48</f>
        <v>53.59365102040816</v>
      </c>
    </row>
    <row r="49" spans="1:33" x14ac:dyDescent="0.25">
      <c r="A49" s="42">
        <f>FleetAverage!B49</f>
        <v>23.5</v>
      </c>
      <c r="B49" s="45">
        <f>FleetAverage!I49</f>
        <v>13.662220199999995</v>
      </c>
      <c r="C49" s="45">
        <f>FleetAverage!J49</f>
        <v>0</v>
      </c>
      <c r="D49" s="46">
        <f>FleetAverage!K49</f>
        <v>1.4012201999999938</v>
      </c>
      <c r="F49" s="42">
        <f>FleetAverage!B49</f>
        <v>23.5</v>
      </c>
      <c r="G49" s="48">
        <f>FleetAverage!E49</f>
        <v>0</v>
      </c>
      <c r="H49" s="48">
        <f>FleetAverage!F49</f>
        <v>0.25022448979591838</v>
      </c>
      <c r="I49" s="50">
        <f>FleetAverage!H49</f>
        <v>49.274646938775511</v>
      </c>
      <c r="K49" s="4" t="str">
        <f>ProsumerMetrics!A49</f>
        <v>BES_TR3_two229_A</v>
      </c>
      <c r="L49" s="51">
        <f>ProsumerMetrics!J49</f>
        <v>57.5</v>
      </c>
      <c r="M49" s="49">
        <f>ProsumerMetrics!K49</f>
        <v>100</v>
      </c>
      <c r="T49" s="42">
        <f>FleetAverage!B49</f>
        <v>23.5</v>
      </c>
      <c r="U49" s="48">
        <f>FleetAverage!C49</f>
        <v>0.27882082040816314</v>
      </c>
      <c r="V49" s="48">
        <f>FleetAverage!D49</f>
        <v>0</v>
      </c>
      <c r="W49" s="48">
        <f>FleetAverage!E49</f>
        <v>0</v>
      </c>
      <c r="X49" s="48">
        <f>FleetAverage!F49</f>
        <v>0.25022448979591838</v>
      </c>
      <c r="Y49" s="56">
        <f>FleetAverage!G49</f>
        <v>2.8596330612244758E-2</v>
      </c>
      <c r="AA49" s="42">
        <f>FleetAverage!B49</f>
        <v>23.5</v>
      </c>
      <c r="AB49" s="48">
        <f>0</f>
        <v>0</v>
      </c>
      <c r="AC49" s="48">
        <f>FleetAverage!G49</f>
        <v>2.8596330612244758E-2</v>
      </c>
      <c r="AD49" s="48">
        <f t="shared" si="1"/>
        <v>2.8596330612244758E-2</v>
      </c>
      <c r="AE49" s="48">
        <f t="shared" si="2"/>
        <v>0</v>
      </c>
      <c r="AF49" s="52">
        <f>100</f>
        <v>100</v>
      </c>
      <c r="AG49" s="50">
        <f>FleetAverage!H49</f>
        <v>49.274646938775511</v>
      </c>
    </row>
    <row r="50" spans="1:33" x14ac:dyDescent="0.25">
      <c r="K50" s="6" t="str">
        <f>ProsumerMetrics!A50</f>
        <v>BES_TR3_two242_B</v>
      </c>
      <c r="L50" s="52">
        <f>ProsumerMetrics!J50</f>
        <v>39.6</v>
      </c>
      <c r="M50" s="50">
        <f>ProsumerMetrics!K50</f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6:F74"/>
  <sheetViews>
    <sheetView showGridLines="0" topLeftCell="A10" workbookViewId="0"/>
  </sheetViews>
  <sheetFormatPr defaultRowHeight="15" x14ac:dyDescent="0.25"/>
  <cols>
    <col min="1" max="13" width="13" customWidth="1"/>
  </cols>
  <sheetData>
    <row r="26" spans="1:6" x14ac:dyDescent="0.25">
      <c r="A26" s="38" t="s">
        <v>157</v>
      </c>
      <c r="B26" s="39" t="s">
        <v>170</v>
      </c>
      <c r="C26" s="39" t="s">
        <v>171</v>
      </c>
      <c r="D26" s="39" t="s">
        <v>172</v>
      </c>
      <c r="E26" s="39" t="s">
        <v>173</v>
      </c>
      <c r="F26" s="40" t="s">
        <v>174</v>
      </c>
    </row>
    <row r="27" spans="1:6" x14ac:dyDescent="0.25">
      <c r="A27" s="41">
        <f>ChartData!T2</f>
        <v>0</v>
      </c>
      <c r="B27" s="47">
        <f>ChartData!U2</f>
        <v>0.18860561904761908</v>
      </c>
      <c r="C27" s="47">
        <f>ChartData!V2</f>
        <v>0</v>
      </c>
      <c r="D27" s="47">
        <f>ChartData!W2</f>
        <v>0</v>
      </c>
      <c r="E27" s="47">
        <f>ChartData!X2</f>
        <v>0.18865306122448983</v>
      </c>
      <c r="F27" s="55">
        <f>ChartData!Y2</f>
        <v>-4.744217687074892E-5</v>
      </c>
    </row>
    <row r="28" spans="1:6" x14ac:dyDescent="0.25">
      <c r="A28" s="41">
        <f>ChartData!T3</f>
        <v>0.5</v>
      </c>
      <c r="B28" s="47">
        <f>ChartData!U3</f>
        <v>0.17969246802721098</v>
      </c>
      <c r="C28" s="47">
        <f>ChartData!V3</f>
        <v>0</v>
      </c>
      <c r="D28" s="47">
        <f>ChartData!W3</f>
        <v>0</v>
      </c>
      <c r="E28" s="47">
        <f>ChartData!X3</f>
        <v>0.17973469387755103</v>
      </c>
      <c r="F28" s="55">
        <f>ChartData!Y3</f>
        <v>-4.2225850340055215E-5</v>
      </c>
    </row>
    <row r="29" spans="1:6" x14ac:dyDescent="0.25">
      <c r="A29" s="41">
        <f>ChartData!T4</f>
        <v>1</v>
      </c>
      <c r="B29" s="47">
        <f>ChartData!U4</f>
        <v>0.14316062585034012</v>
      </c>
      <c r="C29" s="47">
        <f>ChartData!V4</f>
        <v>0</v>
      </c>
      <c r="D29" s="47">
        <f>ChartData!W4</f>
        <v>0</v>
      </c>
      <c r="E29" s="47">
        <f>ChartData!X4</f>
        <v>0.14316326530612247</v>
      </c>
      <c r="F29" s="55">
        <f>ChartData!Y4</f>
        <v>-2.6394557823550269E-6</v>
      </c>
    </row>
    <row r="30" spans="1:6" x14ac:dyDescent="0.25">
      <c r="A30" s="41">
        <f>ChartData!T5</f>
        <v>1.5</v>
      </c>
      <c r="B30" s="47">
        <f>ChartData!U5</f>
        <v>0.13740688435374149</v>
      </c>
      <c r="C30" s="47">
        <f>ChartData!V5</f>
        <v>0</v>
      </c>
      <c r="D30" s="47">
        <f>ChartData!W5</f>
        <v>0</v>
      </c>
      <c r="E30" s="47">
        <f>ChartData!X5</f>
        <v>0.13173469387755099</v>
      </c>
      <c r="F30" s="55">
        <f>ChartData!Y5</f>
        <v>5.6721904761904973E-3</v>
      </c>
    </row>
    <row r="31" spans="1:6" x14ac:dyDescent="0.25">
      <c r="A31" s="41">
        <f>ChartData!T6</f>
        <v>2</v>
      </c>
      <c r="B31" s="47">
        <f>ChartData!U6</f>
        <v>0.13301136054421769</v>
      </c>
      <c r="C31" s="47">
        <f>ChartData!V6</f>
        <v>0</v>
      </c>
      <c r="D31" s="47">
        <f>ChartData!W6</f>
        <v>0</v>
      </c>
      <c r="E31" s="47">
        <f>ChartData!X6</f>
        <v>0.11708163265306122</v>
      </c>
      <c r="F31" s="55">
        <f>ChartData!Y6</f>
        <v>1.5929727891156473E-2</v>
      </c>
    </row>
    <row r="32" spans="1:6" x14ac:dyDescent="0.25">
      <c r="A32" s="41">
        <f>ChartData!T7</f>
        <v>2.5</v>
      </c>
      <c r="B32" s="47">
        <f>ChartData!U7</f>
        <v>0.11409865306122439</v>
      </c>
      <c r="C32" s="47">
        <f>ChartData!V7</f>
        <v>0</v>
      </c>
      <c r="D32" s="47">
        <f>ChartData!W7</f>
        <v>0</v>
      </c>
      <c r="E32" s="47">
        <f>ChartData!X7</f>
        <v>9.8510204081632649E-2</v>
      </c>
      <c r="F32" s="55">
        <f>ChartData!Y7</f>
        <v>1.5588448979591746E-2</v>
      </c>
    </row>
    <row r="33" spans="1:6" x14ac:dyDescent="0.25">
      <c r="A33" s="41">
        <f>ChartData!T8</f>
        <v>3</v>
      </c>
      <c r="B33" s="47">
        <f>ChartData!U8</f>
        <v>0.10898819727891157</v>
      </c>
      <c r="C33" s="47">
        <f>ChartData!V8</f>
        <v>0</v>
      </c>
      <c r="D33" s="47">
        <f>ChartData!W8</f>
        <v>0</v>
      </c>
      <c r="E33" s="47">
        <f>ChartData!X8</f>
        <v>0.10293877551020407</v>
      </c>
      <c r="F33" s="55">
        <f>ChartData!Y8</f>
        <v>6.0494217687074997E-3</v>
      </c>
    </row>
    <row r="34" spans="1:6" x14ac:dyDescent="0.25">
      <c r="A34" s="41">
        <f>ChartData!T9</f>
        <v>3.5</v>
      </c>
      <c r="B34" s="47">
        <f>ChartData!U9</f>
        <v>0.12097806122448976</v>
      </c>
      <c r="C34" s="47">
        <f>ChartData!V9</f>
        <v>2.8614845156462597E-3</v>
      </c>
      <c r="D34" s="47">
        <f>ChartData!W9</f>
        <v>0</v>
      </c>
      <c r="E34" s="47">
        <f>ChartData!X9</f>
        <v>0.10842857142857144</v>
      </c>
      <c r="F34" s="55">
        <f>ChartData!Y9</f>
        <v>9.6880052802720551E-3</v>
      </c>
    </row>
    <row r="35" spans="1:6" x14ac:dyDescent="0.25">
      <c r="A35" s="41">
        <f>ChartData!T10</f>
        <v>4</v>
      </c>
      <c r="B35" s="47">
        <f>ChartData!U10</f>
        <v>0.11632741496598639</v>
      </c>
      <c r="C35" s="47">
        <f>ChartData!V10</f>
        <v>4.1360827974149549E-2</v>
      </c>
      <c r="D35" s="47">
        <f>ChartData!W10</f>
        <v>7.3469387755102048E-4</v>
      </c>
      <c r="E35" s="47">
        <f>ChartData!X10</f>
        <v>6.7138705848979574E-2</v>
      </c>
      <c r="F35" s="55">
        <f>ChartData!Y10</f>
        <v>8.562575020408289E-3</v>
      </c>
    </row>
    <row r="36" spans="1:6" x14ac:dyDescent="0.25">
      <c r="A36" s="41">
        <f>ChartData!T11</f>
        <v>4.5</v>
      </c>
      <c r="B36" s="47">
        <f>ChartData!U11</f>
        <v>0.14219854421768707</v>
      </c>
      <c r="C36" s="47">
        <f>ChartData!V11</f>
        <v>0.19341576440612251</v>
      </c>
      <c r="D36" s="47">
        <f>ChartData!W11</f>
        <v>7.7408163265306126E-2</v>
      </c>
      <c r="E36" s="47">
        <f>ChartData!X11</f>
        <v>2.3081632653061224E-2</v>
      </c>
      <c r="F36" s="55">
        <f>ChartData!Y11</f>
        <v>3.1093104238094603E-3</v>
      </c>
    </row>
    <row r="37" spans="1:6" x14ac:dyDescent="0.25">
      <c r="A37" s="41">
        <f>ChartData!T12</f>
        <v>5</v>
      </c>
      <c r="B37" s="47">
        <f>ChartData!U12</f>
        <v>0.13029317346938776</v>
      </c>
      <c r="C37" s="47">
        <f>ChartData!V12</f>
        <v>0.38366564789523899</v>
      </c>
      <c r="D37" s="47">
        <f>ChartData!W12</f>
        <v>0.2573673469387755</v>
      </c>
      <c r="E37" s="47">
        <f>ChartData!X12</f>
        <v>2.2653061224489797E-3</v>
      </c>
      <c r="F37" s="55">
        <f>ChartData!Y12</f>
        <v>1.7295663904753171E-3</v>
      </c>
    </row>
    <row r="38" spans="1:6" x14ac:dyDescent="0.25">
      <c r="A38" s="41">
        <f>ChartData!T13</f>
        <v>5.5</v>
      </c>
      <c r="B38" s="47">
        <f>ChartData!U13</f>
        <v>0.11120318367346939</v>
      </c>
      <c r="C38" s="47">
        <f>ChartData!V13</f>
        <v>0.61695331721904634</v>
      </c>
      <c r="D38" s="47">
        <f>ChartData!W13</f>
        <v>0.5057551020408162</v>
      </c>
      <c r="E38" s="47">
        <f>ChartData!X13</f>
        <v>0</v>
      </c>
      <c r="F38" s="55">
        <f>ChartData!Y13</f>
        <v>4.9684952392325954E-6</v>
      </c>
    </row>
    <row r="39" spans="1:6" x14ac:dyDescent="0.25">
      <c r="A39" s="41">
        <f>ChartData!T14</f>
        <v>6</v>
      </c>
      <c r="B39" s="47">
        <f>ChartData!U14</f>
        <v>0.15649055102040821</v>
      </c>
      <c r="C39" s="47">
        <f>ChartData!V14</f>
        <v>0.87148331941156598</v>
      </c>
      <c r="D39" s="47">
        <f>ChartData!W14</f>
        <v>0.7273877551020409</v>
      </c>
      <c r="E39" s="47">
        <f>ChartData!X14</f>
        <v>1.236734693877551E-2</v>
      </c>
      <c r="F39" s="55">
        <f>ChartData!Y14</f>
        <v>2.7639772107616867E-5</v>
      </c>
    </row>
    <row r="40" spans="1:6" x14ac:dyDescent="0.25">
      <c r="A40" s="41">
        <f>ChartData!T15</f>
        <v>6.5</v>
      </c>
      <c r="B40" s="47">
        <f>ChartData!U15</f>
        <v>0.12688432653061227</v>
      </c>
      <c r="C40" s="47">
        <f>ChartData!V15</f>
        <v>1.1291418894925154</v>
      </c>
      <c r="D40" s="47">
        <f>ChartData!W15</f>
        <v>1.0022653061224489</v>
      </c>
      <c r="E40" s="47">
        <f>ChartData!X15</f>
        <v>0</v>
      </c>
      <c r="F40" s="55">
        <f>ChartData!Y15</f>
        <v>7.7431605458588848E-6</v>
      </c>
    </row>
    <row r="41" spans="1:6" x14ac:dyDescent="0.25">
      <c r="A41" s="41">
        <f>ChartData!T16</f>
        <v>7</v>
      </c>
      <c r="B41" s="47">
        <f>ChartData!U16</f>
        <v>0.23296099727891159</v>
      </c>
      <c r="C41" s="47">
        <f>ChartData!V16</f>
        <v>1.3854662812877561</v>
      </c>
      <c r="D41" s="47">
        <f>ChartData!W16</f>
        <v>1.1687551020408162</v>
      </c>
      <c r="E41" s="47">
        <f>ChartData!X16</f>
        <v>1.6224489795918368E-2</v>
      </c>
      <c r="F41" s="55">
        <f>ChartData!Y16</f>
        <v>2.5328236053306918E-5</v>
      </c>
    </row>
    <row r="42" spans="1:6" x14ac:dyDescent="0.25">
      <c r="A42" s="41">
        <f>ChartData!T17</f>
        <v>7.5</v>
      </c>
      <c r="B42" s="47">
        <f>ChartData!U17</f>
        <v>0.1777256510204083</v>
      </c>
      <c r="C42" s="47">
        <f>ChartData!V17</f>
        <v>1.6421635340306122</v>
      </c>
      <c r="D42" s="47">
        <f>ChartData!W17</f>
        <v>1.2758979591836737</v>
      </c>
      <c r="E42" s="47">
        <f>ChartData!X17</f>
        <v>0</v>
      </c>
      <c r="F42" s="55">
        <f>ChartData!Y17</f>
        <v>-0.18853992382653018</v>
      </c>
    </row>
    <row r="43" spans="1:6" x14ac:dyDescent="0.25">
      <c r="A43" s="41">
        <f>ChartData!T18</f>
        <v>8</v>
      </c>
      <c r="B43" s="47">
        <f>ChartData!U18</f>
        <v>0.30725656054421796</v>
      </c>
      <c r="C43" s="47">
        <f>ChartData!V18</f>
        <v>1.8830902648850352</v>
      </c>
      <c r="D43" s="47">
        <f>ChartData!W18</f>
        <v>0.68542857142857128</v>
      </c>
      <c r="E43" s="47">
        <f>ChartData!X18</f>
        <v>2.5387755102040815E-2</v>
      </c>
      <c r="F43" s="55">
        <f>ChartData!Y18</f>
        <v>-0.91579288801428682</v>
      </c>
    </row>
    <row r="44" spans="1:6" x14ac:dyDescent="0.25">
      <c r="A44" s="41">
        <f>ChartData!T19</f>
        <v>8.5</v>
      </c>
      <c r="B44" s="47">
        <f>ChartData!U19</f>
        <v>0.27185874149659878</v>
      </c>
      <c r="C44" s="47">
        <f>ChartData!V19</f>
        <v>2.1095617457999998</v>
      </c>
      <c r="D44" s="47">
        <f>ChartData!W19</f>
        <v>0.42030612244897958</v>
      </c>
      <c r="E44" s="47">
        <f>ChartData!X19</f>
        <v>0</v>
      </c>
      <c r="F44" s="55">
        <f>ChartData!Y19</f>
        <v>-1.4173968818544216</v>
      </c>
    </row>
    <row r="45" spans="1:6" x14ac:dyDescent="0.25">
      <c r="A45" s="41">
        <f>ChartData!T20</f>
        <v>9</v>
      </c>
      <c r="B45" s="47">
        <f>ChartData!U20</f>
        <v>0.38909634829931955</v>
      </c>
      <c r="C45" s="47">
        <f>ChartData!V20</f>
        <v>2.3024376740544232</v>
      </c>
      <c r="D45" s="47">
        <f>ChartData!W20</f>
        <v>0.27651020408163268</v>
      </c>
      <c r="E45" s="47">
        <f>ChartData!X20</f>
        <v>4.9387755102040815E-3</v>
      </c>
      <c r="F45" s="55">
        <f>ChartData!Y20</f>
        <v>-1.6417698971836752</v>
      </c>
    </row>
    <row r="46" spans="1:6" x14ac:dyDescent="0.25">
      <c r="A46" s="41">
        <f>ChartData!T21</f>
        <v>9.5</v>
      </c>
      <c r="B46" s="47">
        <f>ChartData!U21</f>
        <v>0.34987377687074833</v>
      </c>
      <c r="C46" s="47">
        <f>ChartData!V21</f>
        <v>2.4669413020394546</v>
      </c>
      <c r="D46" s="47">
        <f>ChartData!W21</f>
        <v>0.17834693877551022</v>
      </c>
      <c r="E46" s="47">
        <f>ChartData!X21</f>
        <v>2.0408163265306123E-4</v>
      </c>
      <c r="F46" s="55">
        <f>ChartData!Y21</f>
        <v>-1.9389246680258492</v>
      </c>
    </row>
    <row r="47" spans="1:6" x14ac:dyDescent="0.25">
      <c r="A47" s="41">
        <f>ChartData!T22</f>
        <v>10</v>
      </c>
      <c r="B47" s="47">
        <f>ChartData!U22</f>
        <v>0.34486209183673489</v>
      </c>
      <c r="C47" s="47">
        <f>ChartData!V22</f>
        <v>2.6113339679585033</v>
      </c>
      <c r="D47" s="47">
        <f>ChartData!W22</f>
        <v>5.5122448979591829E-2</v>
      </c>
      <c r="E47" s="47">
        <f>ChartData!X22</f>
        <v>0</v>
      </c>
      <c r="F47" s="55">
        <f>ChartData!Y22</f>
        <v>-2.2113494271421765</v>
      </c>
    </row>
    <row r="48" spans="1:6" x14ac:dyDescent="0.25">
      <c r="A48" s="41">
        <f>ChartData!T23</f>
        <v>10.5</v>
      </c>
      <c r="B48" s="47">
        <f>ChartData!U23</f>
        <v>0.29174917482993201</v>
      </c>
      <c r="C48" s="47">
        <f>ChartData!V23</f>
        <v>2.7305037487530628</v>
      </c>
      <c r="D48" s="47">
        <f>ChartData!W23</f>
        <v>3.8857142857142861E-2</v>
      </c>
      <c r="E48" s="47">
        <f>ChartData!X23</f>
        <v>2.795918367346939E-3</v>
      </c>
      <c r="F48" s="55">
        <f>ChartData!Y23</f>
        <v>-2.4026933494333349</v>
      </c>
    </row>
    <row r="49" spans="1:6" x14ac:dyDescent="0.25">
      <c r="A49" s="41">
        <f>ChartData!T24</f>
        <v>11</v>
      </c>
      <c r="B49" s="47">
        <f>ChartData!U24</f>
        <v>0.45374157619047611</v>
      </c>
      <c r="C49" s="47">
        <f>ChartData!V24</f>
        <v>2.8150581720442198</v>
      </c>
      <c r="D49" s="47">
        <f>ChartData!W24</f>
        <v>0</v>
      </c>
      <c r="E49" s="47">
        <f>ChartData!X24</f>
        <v>1.2061224489795918E-2</v>
      </c>
      <c r="F49" s="55">
        <f>ChartData!Y24</f>
        <v>-2.3733778203435394</v>
      </c>
    </row>
    <row r="50" spans="1:6" x14ac:dyDescent="0.25">
      <c r="A50" s="41">
        <f>ChartData!T25</f>
        <v>11.5</v>
      </c>
      <c r="B50" s="47">
        <f>ChartData!U25</f>
        <v>0.44875567551020418</v>
      </c>
      <c r="C50" s="47">
        <f>ChartData!V25</f>
        <v>2.8521396608897955</v>
      </c>
      <c r="D50" s="47">
        <f>ChartData!W25</f>
        <v>6.7142857142857143E-3</v>
      </c>
      <c r="E50" s="47">
        <f>ChartData!X25</f>
        <v>0</v>
      </c>
      <c r="F50" s="55">
        <f>ChartData!Y25</f>
        <v>-2.3966696996653059</v>
      </c>
    </row>
    <row r="51" spans="1:6" x14ac:dyDescent="0.25">
      <c r="A51" s="41">
        <f>ChartData!T26</f>
        <v>12</v>
      </c>
      <c r="B51" s="47">
        <f>ChartData!U26</f>
        <v>0.24394610136054429</v>
      </c>
      <c r="C51" s="47">
        <f>ChartData!V26</f>
        <v>2.8628798808054423</v>
      </c>
      <c r="D51" s="47">
        <f>ChartData!W26</f>
        <v>9.8163265306122453E-3</v>
      </c>
      <c r="E51" s="47">
        <f>ChartData!X26</f>
        <v>0</v>
      </c>
      <c r="F51" s="55">
        <f>ChartData!Y26</f>
        <v>-2.609117452914286</v>
      </c>
    </row>
    <row r="52" spans="1:6" x14ac:dyDescent="0.25">
      <c r="A52" s="41">
        <f>ChartData!T27</f>
        <v>12.5</v>
      </c>
      <c r="B52" s="47">
        <f>ChartData!U27</f>
        <v>0.26022106258503402</v>
      </c>
      <c r="C52" s="47">
        <f>ChartData!V27</f>
        <v>2.8427879211020413</v>
      </c>
      <c r="D52" s="47">
        <f>ChartData!W27</f>
        <v>0</v>
      </c>
      <c r="E52" s="47">
        <f>ChartData!X27</f>
        <v>0</v>
      </c>
      <c r="F52" s="55">
        <f>ChartData!Y27</f>
        <v>-2.5825668585170072</v>
      </c>
    </row>
    <row r="53" spans="1:6" x14ac:dyDescent="0.25">
      <c r="A53" s="41">
        <f>ChartData!T28</f>
        <v>13</v>
      </c>
      <c r="B53" s="47">
        <f>ChartData!U28</f>
        <v>0.370112442176871</v>
      </c>
      <c r="C53" s="47">
        <f>ChartData!V28</f>
        <v>2.7752899620714309</v>
      </c>
      <c r="D53" s="47">
        <f>ChartData!W28</f>
        <v>0</v>
      </c>
      <c r="E53" s="47">
        <f>ChartData!X28</f>
        <v>1.6102040816326532E-2</v>
      </c>
      <c r="F53" s="55">
        <f>ChartData!Y28</f>
        <v>-2.4212795607108863</v>
      </c>
    </row>
    <row r="54" spans="1:6" x14ac:dyDescent="0.25">
      <c r="A54" s="41">
        <f>ChartData!T29</f>
        <v>13.5</v>
      </c>
      <c r="B54" s="47">
        <f>ChartData!U29</f>
        <v>0.35529202993197284</v>
      </c>
      <c r="C54" s="47">
        <f>ChartData!V29</f>
        <v>2.6723137519238107</v>
      </c>
      <c r="D54" s="47">
        <f>ChartData!W29</f>
        <v>1.3918367346938774E-2</v>
      </c>
      <c r="E54" s="47">
        <f>ChartData!X29</f>
        <v>0</v>
      </c>
      <c r="F54" s="55">
        <f>ChartData!Y29</f>
        <v>-2.3031033546448989</v>
      </c>
    </row>
    <row r="55" spans="1:6" x14ac:dyDescent="0.25">
      <c r="A55" s="41">
        <f>ChartData!T30</f>
        <v>14</v>
      </c>
      <c r="B55" s="47">
        <f>ChartData!U30</f>
        <v>0.28743067006802736</v>
      </c>
      <c r="C55" s="47">
        <f>ChartData!V30</f>
        <v>2.5493764622020403</v>
      </c>
      <c r="D55" s="47">
        <f>ChartData!W30</f>
        <v>3.9795918367346939E-3</v>
      </c>
      <c r="E55" s="47">
        <f>ChartData!X30</f>
        <v>6.1224489795918364E-3</v>
      </c>
      <c r="F55" s="55">
        <f>ChartData!Y30</f>
        <v>-2.2640886492768697</v>
      </c>
    </row>
    <row r="56" spans="1:6" x14ac:dyDescent="0.25">
      <c r="A56" s="41">
        <f>ChartData!T31</f>
        <v>14.5</v>
      </c>
      <c r="B56" s="47">
        <f>ChartData!U31</f>
        <v>0.31986388707482988</v>
      </c>
      <c r="C56" s="47">
        <f>ChartData!V31</f>
        <v>2.3935969296421788</v>
      </c>
      <c r="D56" s="47">
        <f>ChartData!W31</f>
        <v>6.7959183673469391E-3</v>
      </c>
      <c r="E56" s="47">
        <f>ChartData!X31</f>
        <v>4.4081632653061222E-3</v>
      </c>
      <c r="F56" s="55">
        <f>ChartData!Y31</f>
        <v>-2.071345287465308</v>
      </c>
    </row>
    <row r="57" spans="1:6" x14ac:dyDescent="0.25">
      <c r="A57" s="41">
        <f>ChartData!T32</f>
        <v>15</v>
      </c>
      <c r="B57" s="47">
        <f>ChartData!U32</f>
        <v>0.42077240204081645</v>
      </c>
      <c r="C57" s="47">
        <f>ChartData!V32</f>
        <v>2.2280507380224481</v>
      </c>
      <c r="D57" s="47">
        <f>ChartData!W32</f>
        <v>0</v>
      </c>
      <c r="E57" s="47">
        <f>ChartData!X32</f>
        <v>7.5653061224489795E-2</v>
      </c>
      <c r="F57" s="55">
        <f>ChartData!Y32</f>
        <v>-1.8829313972061215</v>
      </c>
    </row>
    <row r="58" spans="1:6" x14ac:dyDescent="0.25">
      <c r="A58" s="41">
        <f>ChartData!T33</f>
        <v>15.5</v>
      </c>
      <c r="B58" s="47">
        <f>ChartData!U33</f>
        <v>0.33016815374149661</v>
      </c>
      <c r="C58" s="47">
        <f>ChartData!V33</f>
        <v>2.0288375927564628</v>
      </c>
      <c r="D58" s="47">
        <f>ChartData!W33</f>
        <v>8.4897959183673471E-3</v>
      </c>
      <c r="E58" s="47">
        <f>ChartData!X33</f>
        <v>3.7979591836734695E-2</v>
      </c>
      <c r="F58" s="55">
        <f>ChartData!Y33</f>
        <v>-1.7281592349333335</v>
      </c>
    </row>
    <row r="59" spans="1:6" x14ac:dyDescent="0.25">
      <c r="A59" s="41">
        <f>ChartData!T34</f>
        <v>16</v>
      </c>
      <c r="B59" s="47">
        <f>ChartData!U34</f>
        <v>0.32540338911564631</v>
      </c>
      <c r="C59" s="47">
        <f>ChartData!V34</f>
        <v>1.8044765782925161</v>
      </c>
      <c r="D59" s="47">
        <f>ChartData!W34</f>
        <v>4.8795918367346938E-2</v>
      </c>
      <c r="E59" s="47">
        <f>ChartData!X34</f>
        <v>5.877551020408163E-3</v>
      </c>
      <c r="F59" s="55">
        <f>ChartData!Y34</f>
        <v>-1.4361548218299309</v>
      </c>
    </row>
    <row r="60" spans="1:6" x14ac:dyDescent="0.25">
      <c r="A60" s="41">
        <f>ChartData!T35</f>
        <v>16.5</v>
      </c>
      <c r="B60" s="47">
        <f>ChartData!U35</f>
        <v>0.37795886122448985</v>
      </c>
      <c r="C60" s="47">
        <f>ChartData!V35</f>
        <v>1.5335898851435368</v>
      </c>
      <c r="D60" s="47">
        <f>ChartData!W35</f>
        <v>1.7428571428571432E-2</v>
      </c>
      <c r="E60" s="47">
        <f>ChartData!X35</f>
        <v>6.0571428571428568E-2</v>
      </c>
      <c r="F60" s="55">
        <f>ChartData!Y35</f>
        <v>-1.198773881061904</v>
      </c>
    </row>
    <row r="61" spans="1:6" x14ac:dyDescent="0.25">
      <c r="A61" s="41">
        <f>ChartData!T36</f>
        <v>17</v>
      </c>
      <c r="B61" s="47">
        <f>ChartData!U36</f>
        <v>0.35126495646258526</v>
      </c>
      <c r="C61" s="47">
        <f>ChartData!V36</f>
        <v>1.2800587324251682</v>
      </c>
      <c r="D61" s="47">
        <f>ChartData!W36</f>
        <v>3.5122448979591839E-2</v>
      </c>
      <c r="E61" s="47">
        <f>ChartData!X36</f>
        <v>3.9836734693877551E-2</v>
      </c>
      <c r="F61" s="55">
        <f>ChartData!Y36</f>
        <v>-0.93350806167686873</v>
      </c>
    </row>
    <row r="62" spans="1:6" x14ac:dyDescent="0.25">
      <c r="A62" s="41">
        <f>ChartData!T37</f>
        <v>17.5</v>
      </c>
      <c r="B62" s="47">
        <f>ChartData!U37</f>
        <v>0.34511555918367359</v>
      </c>
      <c r="C62" s="47">
        <f>ChartData!V37</f>
        <v>1.0195397359979597</v>
      </c>
      <c r="D62" s="47">
        <f>ChartData!W37</f>
        <v>2.0204081632653061E-2</v>
      </c>
      <c r="E62" s="47">
        <f>ChartData!X37</f>
        <v>5.1693877551020409E-2</v>
      </c>
      <c r="F62" s="55">
        <f>ChartData!Y37</f>
        <v>-0.70591397273265333</v>
      </c>
    </row>
    <row r="63" spans="1:6" x14ac:dyDescent="0.25">
      <c r="A63" s="41">
        <f>ChartData!T38</f>
        <v>18</v>
      </c>
      <c r="B63" s="47">
        <f>ChartData!U38</f>
        <v>0.33905987006802718</v>
      </c>
      <c r="C63" s="47">
        <f>ChartData!V38</f>
        <v>0.76752785893197362</v>
      </c>
      <c r="D63" s="47">
        <f>ChartData!W38</f>
        <v>1.9102040816326528E-2</v>
      </c>
      <c r="E63" s="47">
        <f>ChartData!X38</f>
        <v>7.6530612244897947E-2</v>
      </c>
      <c r="F63" s="55">
        <f>ChartData!Y38</f>
        <v>-0.48589656029251782</v>
      </c>
    </row>
    <row r="64" spans="1:6" x14ac:dyDescent="0.25">
      <c r="A64" s="41">
        <f>ChartData!T39</f>
        <v>18.5</v>
      </c>
      <c r="B64" s="47">
        <f>ChartData!U39</f>
        <v>0.41245702517006799</v>
      </c>
      <c r="C64" s="47">
        <f>ChartData!V39</f>
        <v>0.52455289968367358</v>
      </c>
      <c r="D64" s="47">
        <f>ChartData!W39</f>
        <v>1.6E-2</v>
      </c>
      <c r="E64" s="47">
        <f>ChartData!X39</f>
        <v>0.15744897959183674</v>
      </c>
      <c r="F64" s="55">
        <f>ChartData!Y39</f>
        <v>-0.25354485410544231</v>
      </c>
    </row>
    <row r="65" spans="1:6" x14ac:dyDescent="0.25">
      <c r="A65" s="41">
        <f>ChartData!T40</f>
        <v>19</v>
      </c>
      <c r="B65" s="47">
        <f>ChartData!U40</f>
        <v>0.3053412231292516</v>
      </c>
      <c r="C65" s="47">
        <f>ChartData!V40</f>
        <v>0.30630756061496583</v>
      </c>
      <c r="D65" s="47">
        <f>ChartData!W40</f>
        <v>1.2857142857142857E-2</v>
      </c>
      <c r="E65" s="47">
        <f>ChartData!X40</f>
        <v>9.9918367346938777E-2</v>
      </c>
      <c r="F65" s="55">
        <f>ChartData!Y40</f>
        <v>-8.8027561975510149E-2</v>
      </c>
    </row>
    <row r="66" spans="1:6" x14ac:dyDescent="0.25">
      <c r="A66" s="41">
        <f>ChartData!T41</f>
        <v>19.5</v>
      </c>
      <c r="B66" s="47">
        <f>ChartData!U41</f>
        <v>0.48293246734693895</v>
      </c>
      <c r="C66" s="47">
        <f>ChartData!V41</f>
        <v>8.9117712189795972E-2</v>
      </c>
      <c r="D66" s="47">
        <f>ChartData!W41</f>
        <v>4.285714285714286E-4</v>
      </c>
      <c r="E66" s="47">
        <f>ChartData!X41</f>
        <v>0.39714285714285719</v>
      </c>
      <c r="F66" s="55">
        <f>ChartData!Y41</f>
        <v>-2.8995305571427599E-3</v>
      </c>
    </row>
    <row r="67" spans="1:6" x14ac:dyDescent="0.25">
      <c r="A67" s="41">
        <f>ChartData!T42</f>
        <v>20</v>
      </c>
      <c r="B67" s="47">
        <f>ChartData!U42</f>
        <v>0.46292633877551032</v>
      </c>
      <c r="C67" s="47">
        <f>ChartData!V42</f>
        <v>1.6436201691156473E-2</v>
      </c>
      <c r="D67" s="47">
        <f>ChartData!W42</f>
        <v>0</v>
      </c>
      <c r="E67" s="47">
        <f>ChartData!X42</f>
        <v>0.44646938775510192</v>
      </c>
      <c r="F67" s="55">
        <f>ChartData!Y42</f>
        <v>2.0749329251945614E-5</v>
      </c>
    </row>
    <row r="68" spans="1:6" x14ac:dyDescent="0.25">
      <c r="A68" s="41">
        <f>ChartData!T43</f>
        <v>20.5</v>
      </c>
      <c r="B68" s="47">
        <f>ChartData!U43</f>
        <v>0.47963098639455792</v>
      </c>
      <c r="C68" s="47">
        <f>ChartData!V43</f>
        <v>0</v>
      </c>
      <c r="D68" s="47">
        <f>ChartData!W43</f>
        <v>0</v>
      </c>
      <c r="E68" s="47">
        <f>ChartData!X43</f>
        <v>0.47965306122448981</v>
      </c>
      <c r="F68" s="55">
        <f>ChartData!Y43</f>
        <v>-2.2074829931884032E-5</v>
      </c>
    </row>
    <row r="69" spans="1:6" x14ac:dyDescent="0.25">
      <c r="A69" s="41">
        <f>ChartData!T44</f>
        <v>21</v>
      </c>
      <c r="B69" s="47">
        <f>ChartData!U44</f>
        <v>0.52174998639455783</v>
      </c>
      <c r="C69" s="47">
        <f>ChartData!V44</f>
        <v>0</v>
      </c>
      <c r="D69" s="47">
        <f>ChartData!W44</f>
        <v>0</v>
      </c>
      <c r="E69" s="47">
        <f>ChartData!X44</f>
        <v>0.52181632653061227</v>
      </c>
      <c r="F69" s="55">
        <f>ChartData!Y44</f>
        <v>-6.6340136054443555E-5</v>
      </c>
    </row>
    <row r="70" spans="1:6" x14ac:dyDescent="0.25">
      <c r="A70" s="41">
        <f>ChartData!T45</f>
        <v>21.5</v>
      </c>
      <c r="B70" s="47">
        <f>ChartData!U45</f>
        <v>0.46938805442176845</v>
      </c>
      <c r="C70" s="47">
        <f>ChartData!V45</f>
        <v>0</v>
      </c>
      <c r="D70" s="47">
        <f>ChartData!W45</f>
        <v>0</v>
      </c>
      <c r="E70" s="47">
        <f>ChartData!X45</f>
        <v>0.45244897959183678</v>
      </c>
      <c r="F70" s="55">
        <f>ChartData!Y45</f>
        <v>1.6939074829931677E-2</v>
      </c>
    </row>
    <row r="71" spans="1:6" x14ac:dyDescent="0.25">
      <c r="A71" s="41">
        <f>ChartData!T46</f>
        <v>22</v>
      </c>
      <c r="B71" s="47">
        <f>ChartData!U46</f>
        <v>0.56727900680272147</v>
      </c>
      <c r="C71" s="47">
        <f>ChartData!V46</f>
        <v>0</v>
      </c>
      <c r="D71" s="47">
        <f>ChartData!W46</f>
        <v>0</v>
      </c>
      <c r="E71" s="47">
        <f>ChartData!X46</f>
        <v>0.53524489795918373</v>
      </c>
      <c r="F71" s="55">
        <f>ChartData!Y46</f>
        <v>3.2034108843537745E-2</v>
      </c>
    </row>
    <row r="72" spans="1:6" x14ac:dyDescent="0.25">
      <c r="A72" s="41">
        <f>ChartData!T47</f>
        <v>22.5</v>
      </c>
      <c r="B72" s="47">
        <f>ChartData!U47</f>
        <v>0.4981532993197279</v>
      </c>
      <c r="C72" s="47">
        <f>ChartData!V47</f>
        <v>0</v>
      </c>
      <c r="D72" s="47">
        <f>ChartData!W47</f>
        <v>0</v>
      </c>
      <c r="E72" s="47">
        <f>ChartData!X47</f>
        <v>0.41608163265306131</v>
      </c>
      <c r="F72" s="55">
        <f>ChartData!Y47</f>
        <v>8.2071666666666598E-2</v>
      </c>
    </row>
    <row r="73" spans="1:6" x14ac:dyDescent="0.25">
      <c r="A73" s="41">
        <f>ChartData!T48</f>
        <v>23</v>
      </c>
      <c r="B73" s="47">
        <f>ChartData!U48</f>
        <v>0.40095637414966012</v>
      </c>
      <c r="C73" s="47">
        <f>ChartData!V48</f>
        <v>0</v>
      </c>
      <c r="D73" s="47">
        <f>ChartData!W48</f>
        <v>0</v>
      </c>
      <c r="E73" s="47">
        <f>ChartData!X48</f>
        <v>0.34422448979591846</v>
      </c>
      <c r="F73" s="55">
        <f>ChartData!Y48</f>
        <v>5.6731884353741657E-2</v>
      </c>
    </row>
    <row r="74" spans="1:6" x14ac:dyDescent="0.25">
      <c r="A74" s="42">
        <f>ChartData!T49</f>
        <v>23.5</v>
      </c>
      <c r="B74" s="48">
        <f>ChartData!U49</f>
        <v>0.27882082040816314</v>
      </c>
      <c r="C74" s="48">
        <f>ChartData!V49</f>
        <v>0</v>
      </c>
      <c r="D74" s="48">
        <f>ChartData!W49</f>
        <v>0</v>
      </c>
      <c r="E74" s="48">
        <f>ChartData!X49</f>
        <v>0.25022448979591838</v>
      </c>
      <c r="F74" s="56">
        <f>ChartData!Y49</f>
        <v>2.8596330612244758E-2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4:M84"/>
  <sheetViews>
    <sheetView showGridLines="0" topLeftCell="A22" workbookViewId="0"/>
  </sheetViews>
  <sheetFormatPr defaultRowHeight="15" x14ac:dyDescent="0.25"/>
  <cols>
    <col min="1" max="1" width="5.28515625" bestFit="1" customWidth="1"/>
    <col min="2" max="2" width="13.5703125" bestFit="1" customWidth="1"/>
    <col min="3" max="3" width="16" bestFit="1" customWidth="1"/>
    <col min="4" max="4" width="14.85546875" bestFit="1" customWidth="1"/>
    <col min="5" max="5" width="14.5703125" bestFit="1" customWidth="1"/>
    <col min="6" max="6" width="10.7109375" bestFit="1" customWidth="1"/>
    <col min="7" max="7" width="15.140625" bestFit="1" customWidth="1"/>
    <col min="8" max="13" width="13" customWidth="1"/>
  </cols>
  <sheetData>
    <row r="34" spans="1:13" x14ac:dyDescent="0.25">
      <c r="A34" s="90" t="s">
        <v>181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2"/>
    </row>
    <row r="36" spans="1:13" x14ac:dyDescent="0.25">
      <c r="A36" s="38" t="s">
        <v>157</v>
      </c>
      <c r="B36" s="39" t="s">
        <v>175</v>
      </c>
      <c r="C36" s="39" t="s">
        <v>176</v>
      </c>
      <c r="D36" s="39" t="s">
        <v>177</v>
      </c>
      <c r="E36" s="39" t="s">
        <v>178</v>
      </c>
      <c r="F36" s="39" t="s">
        <v>179</v>
      </c>
      <c r="G36" s="40" t="s">
        <v>180</v>
      </c>
    </row>
    <row r="37" spans="1:13" x14ac:dyDescent="0.25">
      <c r="A37" s="41">
        <f>ChartData!AA2</f>
        <v>0</v>
      </c>
      <c r="B37" s="47">
        <f>ChartData!AB2</f>
        <v>0</v>
      </c>
      <c r="C37" s="47">
        <f>ChartData!AC2</f>
        <v>-4.744217687074892E-5</v>
      </c>
      <c r="D37" s="47">
        <f>ChartData!AD2</f>
        <v>0</v>
      </c>
      <c r="E37" s="47">
        <f>ChartData!AE2</f>
        <v>-4.744217687074892E-5</v>
      </c>
      <c r="F37" s="51">
        <f>ChartData!AF2</f>
        <v>100</v>
      </c>
      <c r="G37" s="49">
        <f>ChartData!AG2</f>
        <v>40</v>
      </c>
    </row>
    <row r="38" spans="1:13" x14ac:dyDescent="0.25">
      <c r="A38" s="41">
        <f>ChartData!AA3</f>
        <v>0.5</v>
      </c>
      <c r="B38" s="47">
        <f>ChartData!AB3</f>
        <v>0</v>
      </c>
      <c r="C38" s="47">
        <f>ChartData!AC3</f>
        <v>-4.2225850340055215E-5</v>
      </c>
      <c r="D38" s="47">
        <f>ChartData!AD3</f>
        <v>0</v>
      </c>
      <c r="E38" s="47">
        <f>ChartData!AE3</f>
        <v>-4.2225850340055215E-5</v>
      </c>
      <c r="F38" s="51">
        <f>ChartData!AF3</f>
        <v>100</v>
      </c>
      <c r="G38" s="49">
        <f>ChartData!AG3</f>
        <v>37.633279591836732</v>
      </c>
    </row>
    <row r="39" spans="1:13" x14ac:dyDescent="0.25">
      <c r="A39" s="41">
        <f>ChartData!AA4</f>
        <v>1</v>
      </c>
      <c r="B39" s="47">
        <f>ChartData!AB4</f>
        <v>0</v>
      </c>
      <c r="C39" s="47">
        <f>ChartData!AC4</f>
        <v>-2.6394557823550269E-6</v>
      </c>
      <c r="D39" s="47">
        <f>ChartData!AD4</f>
        <v>0</v>
      </c>
      <c r="E39" s="47">
        <f>ChartData!AE4</f>
        <v>-2.6394557823550269E-6</v>
      </c>
      <c r="F39" s="51">
        <f>ChartData!AF4</f>
        <v>100</v>
      </c>
      <c r="G39" s="49">
        <f>ChartData!AG4</f>
        <v>35.378414285714292</v>
      </c>
    </row>
    <row r="40" spans="1:13" x14ac:dyDescent="0.25">
      <c r="A40" s="41">
        <f>ChartData!AA5</f>
        <v>1.5</v>
      </c>
      <c r="B40" s="47">
        <f>ChartData!AB5</f>
        <v>0</v>
      </c>
      <c r="C40" s="47">
        <f>ChartData!AC5</f>
        <v>5.6721904761904973E-3</v>
      </c>
      <c r="D40" s="47">
        <f>ChartData!AD5</f>
        <v>5.6721904761904973E-3</v>
      </c>
      <c r="E40" s="47">
        <f>ChartData!AE5</f>
        <v>0</v>
      </c>
      <c r="F40" s="51">
        <f>ChartData!AF5</f>
        <v>100</v>
      </c>
      <c r="G40" s="49">
        <f>ChartData!AG5</f>
        <v>33.581959183673462</v>
      </c>
    </row>
    <row r="41" spans="1:13" x14ac:dyDescent="0.25">
      <c r="A41" s="41">
        <f>ChartData!AA6</f>
        <v>2</v>
      </c>
      <c r="B41" s="47">
        <f>ChartData!AB6</f>
        <v>0</v>
      </c>
      <c r="C41" s="47">
        <f>ChartData!AC6</f>
        <v>1.5929727891156473E-2</v>
      </c>
      <c r="D41" s="47">
        <f>ChartData!AD6</f>
        <v>1.5929727891156473E-2</v>
      </c>
      <c r="E41" s="47">
        <f>ChartData!AE6</f>
        <v>0</v>
      </c>
      <c r="F41" s="51">
        <f>ChartData!AF6</f>
        <v>100</v>
      </c>
      <c r="G41" s="49">
        <f>ChartData!AG6</f>
        <v>31.928912244897951</v>
      </c>
    </row>
    <row r="42" spans="1:13" x14ac:dyDescent="0.25">
      <c r="A42" s="41">
        <f>ChartData!AA7</f>
        <v>2.5</v>
      </c>
      <c r="B42" s="47">
        <f>ChartData!AB7</f>
        <v>0</v>
      </c>
      <c r="C42" s="47">
        <f>ChartData!AC7</f>
        <v>1.5588448979591746E-2</v>
      </c>
      <c r="D42" s="47">
        <f>ChartData!AD7</f>
        <v>1.5588448979591746E-2</v>
      </c>
      <c r="E42" s="47">
        <f>ChartData!AE7</f>
        <v>0</v>
      </c>
      <c r="F42" s="51">
        <f>ChartData!AF7</f>
        <v>100</v>
      </c>
      <c r="G42" s="49">
        <f>ChartData!AG7</f>
        <v>30.459697959183675</v>
      </c>
    </row>
    <row r="43" spans="1:13" x14ac:dyDescent="0.25">
      <c r="A43" s="41">
        <f>ChartData!AA8</f>
        <v>3</v>
      </c>
      <c r="B43" s="47">
        <f>ChartData!AB8</f>
        <v>0</v>
      </c>
      <c r="C43" s="47">
        <f>ChartData!AC8</f>
        <v>6.0494217687074997E-3</v>
      </c>
      <c r="D43" s="47">
        <f>ChartData!AD8</f>
        <v>6.0494217687074997E-3</v>
      </c>
      <c r="E43" s="47">
        <f>ChartData!AE8</f>
        <v>0</v>
      </c>
      <c r="F43" s="51">
        <f>ChartData!AF8</f>
        <v>100</v>
      </c>
      <c r="G43" s="49">
        <f>ChartData!AG8</f>
        <v>29.222646938775522</v>
      </c>
    </row>
    <row r="44" spans="1:13" x14ac:dyDescent="0.25">
      <c r="A44" s="41">
        <f>ChartData!AA9</f>
        <v>3.5</v>
      </c>
      <c r="B44" s="47">
        <f>ChartData!AB9</f>
        <v>0</v>
      </c>
      <c r="C44" s="47">
        <f>ChartData!AC9</f>
        <v>9.6880052802720551E-3</v>
      </c>
      <c r="D44" s="47">
        <f>ChartData!AD9</f>
        <v>9.6880052802720551E-3</v>
      </c>
      <c r="E44" s="47">
        <f>ChartData!AE9</f>
        <v>0</v>
      </c>
      <c r="F44" s="51">
        <f>ChartData!AF9</f>
        <v>100</v>
      </c>
      <c r="G44" s="49">
        <f>ChartData!AG9</f>
        <v>27.93054081632652</v>
      </c>
    </row>
    <row r="45" spans="1:13" x14ac:dyDescent="0.25">
      <c r="A45" s="41">
        <f>ChartData!AA10</f>
        <v>4</v>
      </c>
      <c r="B45" s="47">
        <f>ChartData!AB10</f>
        <v>0</v>
      </c>
      <c r="C45" s="47">
        <f>ChartData!AC10</f>
        <v>8.562575020408289E-3</v>
      </c>
      <c r="D45" s="47">
        <f>ChartData!AD10</f>
        <v>8.562575020408289E-3</v>
      </c>
      <c r="E45" s="47">
        <f>ChartData!AE10</f>
        <v>0</v>
      </c>
      <c r="F45" s="51">
        <f>ChartData!AF10</f>
        <v>100</v>
      </c>
      <c r="G45" s="49">
        <f>ChartData!AG10</f>
        <v>26.571010204081634</v>
      </c>
    </row>
    <row r="46" spans="1:13" x14ac:dyDescent="0.25">
      <c r="A46" s="41">
        <f>ChartData!AA11</f>
        <v>4.5</v>
      </c>
      <c r="B46" s="47">
        <f>ChartData!AB11</f>
        <v>0</v>
      </c>
      <c r="C46" s="47">
        <f>ChartData!AC11</f>
        <v>3.1093104238094603E-3</v>
      </c>
      <c r="D46" s="47">
        <f>ChartData!AD11</f>
        <v>3.1093104238094603E-3</v>
      </c>
      <c r="E46" s="47">
        <f>ChartData!AE11</f>
        <v>0</v>
      </c>
      <c r="F46" s="51">
        <f>ChartData!AF11</f>
        <v>100</v>
      </c>
      <c r="G46" s="49">
        <f>ChartData!AG11</f>
        <v>25.7356387755102</v>
      </c>
    </row>
    <row r="47" spans="1:13" x14ac:dyDescent="0.25">
      <c r="A47" s="41">
        <f>ChartData!AA12</f>
        <v>5</v>
      </c>
      <c r="B47" s="47">
        <f>ChartData!AB12</f>
        <v>0</v>
      </c>
      <c r="C47" s="47">
        <f>ChartData!AC12</f>
        <v>1.7295663904753171E-3</v>
      </c>
      <c r="D47" s="47">
        <f>ChartData!AD12</f>
        <v>1.7295663904753171E-3</v>
      </c>
      <c r="E47" s="47">
        <f>ChartData!AE12</f>
        <v>0</v>
      </c>
      <c r="F47" s="51">
        <f>ChartData!AF12</f>
        <v>100</v>
      </c>
      <c r="G47" s="49">
        <f>ChartData!AG12</f>
        <v>26.319591836734695</v>
      </c>
    </row>
    <row r="48" spans="1:13" x14ac:dyDescent="0.25">
      <c r="A48" s="41">
        <f>ChartData!AA13</f>
        <v>5.5</v>
      </c>
      <c r="B48" s="47">
        <f>ChartData!AB13</f>
        <v>0</v>
      </c>
      <c r="C48" s="47">
        <f>ChartData!AC13</f>
        <v>4.9684952392325954E-6</v>
      </c>
      <c r="D48" s="47">
        <f>ChartData!AD13</f>
        <v>4.9684952392325954E-6</v>
      </c>
      <c r="E48" s="47">
        <f>ChartData!AE13</f>
        <v>0</v>
      </c>
      <c r="F48" s="51">
        <f>ChartData!AF13</f>
        <v>100</v>
      </c>
      <c r="G48" s="49">
        <f>ChartData!AG13</f>
        <v>29.198575510204076</v>
      </c>
    </row>
    <row r="49" spans="1:7" x14ac:dyDescent="0.25">
      <c r="A49" s="41">
        <f>ChartData!AA14</f>
        <v>6</v>
      </c>
      <c r="B49" s="47">
        <f>ChartData!AB14</f>
        <v>0</v>
      </c>
      <c r="C49" s="47">
        <f>ChartData!AC14</f>
        <v>2.7639772107616867E-5</v>
      </c>
      <c r="D49" s="47">
        <f>ChartData!AD14</f>
        <v>2.7639772107616867E-5</v>
      </c>
      <c r="E49" s="47">
        <f>ChartData!AE14</f>
        <v>0</v>
      </c>
      <c r="F49" s="51">
        <f>ChartData!AF14</f>
        <v>100</v>
      </c>
      <c r="G49" s="49">
        <f>ChartData!AG14</f>
        <v>34.910542857142865</v>
      </c>
    </row>
    <row r="50" spans="1:7" x14ac:dyDescent="0.25">
      <c r="A50" s="41">
        <f>ChartData!AA15</f>
        <v>6.5</v>
      </c>
      <c r="B50" s="47">
        <f>ChartData!AB15</f>
        <v>0</v>
      </c>
      <c r="C50" s="47">
        <f>ChartData!AC15</f>
        <v>7.7431605458588848E-6</v>
      </c>
      <c r="D50" s="47">
        <f>ChartData!AD15</f>
        <v>7.7431605458588848E-6</v>
      </c>
      <c r="E50" s="47">
        <f>ChartData!AE15</f>
        <v>0</v>
      </c>
      <c r="F50" s="51">
        <f>ChartData!AF15</f>
        <v>100</v>
      </c>
      <c r="G50" s="49">
        <f>ChartData!AG15</f>
        <v>42.970181632653059</v>
      </c>
    </row>
    <row r="51" spans="1:7" x14ac:dyDescent="0.25">
      <c r="A51" s="41">
        <f>ChartData!AA16</f>
        <v>7</v>
      </c>
      <c r="B51" s="47">
        <f>ChartData!AB16</f>
        <v>0</v>
      </c>
      <c r="C51" s="47">
        <f>ChartData!AC16</f>
        <v>2.5328236053306918E-5</v>
      </c>
      <c r="D51" s="47">
        <f>ChartData!AD16</f>
        <v>2.5328236053306918E-5</v>
      </c>
      <c r="E51" s="47">
        <f>ChartData!AE16</f>
        <v>0</v>
      </c>
      <c r="F51" s="51">
        <f>ChartData!AF16</f>
        <v>100</v>
      </c>
      <c r="G51" s="49">
        <f>ChartData!AG16</f>
        <v>54.289728571428554</v>
      </c>
    </row>
    <row r="52" spans="1:7" x14ac:dyDescent="0.25">
      <c r="A52" s="41">
        <f>ChartData!AA17</f>
        <v>7.5</v>
      </c>
      <c r="B52" s="47">
        <f>ChartData!AB17</f>
        <v>0</v>
      </c>
      <c r="C52" s="47">
        <f>ChartData!AC17</f>
        <v>-0.18853992382653018</v>
      </c>
      <c r="D52" s="47">
        <f>ChartData!AD17</f>
        <v>0</v>
      </c>
      <c r="E52" s="47">
        <f>ChartData!AE17</f>
        <v>-0.18853992382653018</v>
      </c>
      <c r="F52" s="51">
        <f>ChartData!AF17</f>
        <v>100</v>
      </c>
      <c r="G52" s="49">
        <f>ChartData!AG17</f>
        <v>67.285818367346934</v>
      </c>
    </row>
    <row r="53" spans="1:7" x14ac:dyDescent="0.25">
      <c r="A53" s="41">
        <f>ChartData!AA18</f>
        <v>8</v>
      </c>
      <c r="B53" s="47">
        <f>ChartData!AB18</f>
        <v>0</v>
      </c>
      <c r="C53" s="47">
        <f>ChartData!AC18</f>
        <v>-0.91579288801428682</v>
      </c>
      <c r="D53" s="47">
        <f>ChartData!AD18</f>
        <v>0</v>
      </c>
      <c r="E53" s="47">
        <f>ChartData!AE18</f>
        <v>-0.91579288801428682</v>
      </c>
      <c r="F53" s="51">
        <f>ChartData!AF18</f>
        <v>100</v>
      </c>
      <c r="G53" s="49">
        <f>ChartData!AG18</f>
        <v>81.696265306122456</v>
      </c>
    </row>
    <row r="54" spans="1:7" x14ac:dyDescent="0.25">
      <c r="A54" s="41">
        <f>ChartData!AA19</f>
        <v>8.5</v>
      </c>
      <c r="B54" s="47">
        <f>ChartData!AB19</f>
        <v>0</v>
      </c>
      <c r="C54" s="47">
        <f>ChartData!AC19</f>
        <v>-1.4173968818544216</v>
      </c>
      <c r="D54" s="47">
        <f>ChartData!AD19</f>
        <v>0</v>
      </c>
      <c r="E54" s="47">
        <f>ChartData!AE19</f>
        <v>-1.4173968818544216</v>
      </c>
      <c r="F54" s="51">
        <f>ChartData!AF19</f>
        <v>100</v>
      </c>
      <c r="G54" s="49">
        <f>ChartData!AG19</f>
        <v>89.119316326530623</v>
      </c>
    </row>
    <row r="55" spans="1:7" x14ac:dyDescent="0.25">
      <c r="A55" s="41">
        <f>ChartData!AA20</f>
        <v>9</v>
      </c>
      <c r="B55" s="47">
        <f>ChartData!AB20</f>
        <v>0</v>
      </c>
      <c r="C55" s="47">
        <f>ChartData!AC20</f>
        <v>-1.6417698971836752</v>
      </c>
      <c r="D55" s="47">
        <f>ChartData!AD20</f>
        <v>0</v>
      </c>
      <c r="E55" s="47">
        <f>ChartData!AE20</f>
        <v>-1.6417698971836752</v>
      </c>
      <c r="F55" s="51">
        <f>ChartData!AF20</f>
        <v>100</v>
      </c>
      <c r="G55" s="49">
        <f>ChartData!AG20</f>
        <v>93.866087755102043</v>
      </c>
    </row>
    <row r="56" spans="1:7" x14ac:dyDescent="0.25">
      <c r="A56" s="41">
        <f>ChartData!AA21</f>
        <v>9.5</v>
      </c>
      <c r="B56" s="47">
        <f>ChartData!AB21</f>
        <v>0</v>
      </c>
      <c r="C56" s="47">
        <f>ChartData!AC21</f>
        <v>-1.9389246680258492</v>
      </c>
      <c r="D56" s="47">
        <f>ChartData!AD21</f>
        <v>0</v>
      </c>
      <c r="E56" s="47">
        <f>ChartData!AE21</f>
        <v>-1.9389246680258492</v>
      </c>
      <c r="F56" s="51">
        <f>ChartData!AF21</f>
        <v>100</v>
      </c>
      <c r="G56" s="49">
        <f>ChartData!AG21</f>
        <v>96.927042857142851</v>
      </c>
    </row>
    <row r="57" spans="1:7" x14ac:dyDescent="0.25">
      <c r="A57" s="41">
        <f>ChartData!AA22</f>
        <v>10</v>
      </c>
      <c r="B57" s="47">
        <f>ChartData!AB22</f>
        <v>0</v>
      </c>
      <c r="C57" s="47">
        <f>ChartData!AC22</f>
        <v>-2.2113494271421765</v>
      </c>
      <c r="D57" s="47">
        <f>ChartData!AD22</f>
        <v>0</v>
      </c>
      <c r="E57" s="47">
        <f>ChartData!AE22</f>
        <v>-2.2113494271421765</v>
      </c>
      <c r="F57" s="51">
        <f>ChartData!AF22</f>
        <v>100</v>
      </c>
      <c r="G57" s="49">
        <f>ChartData!AG22</f>
        <v>98.938975510204074</v>
      </c>
    </row>
    <row r="58" spans="1:7" x14ac:dyDescent="0.25">
      <c r="A58" s="41">
        <f>ChartData!AA23</f>
        <v>10.5</v>
      </c>
      <c r="B58" s="47">
        <f>ChartData!AB23</f>
        <v>0</v>
      </c>
      <c r="C58" s="47">
        <f>ChartData!AC23</f>
        <v>-2.4026933494333349</v>
      </c>
      <c r="D58" s="47">
        <f>ChartData!AD23</f>
        <v>0</v>
      </c>
      <c r="E58" s="47">
        <f>ChartData!AE23</f>
        <v>-2.4026933494333349</v>
      </c>
      <c r="F58" s="51">
        <f>ChartData!AF23</f>
        <v>100</v>
      </c>
      <c r="G58" s="49">
        <f>ChartData!AG23</f>
        <v>99.561251020408164</v>
      </c>
    </row>
    <row r="59" spans="1:7" x14ac:dyDescent="0.25">
      <c r="A59" s="41">
        <f>ChartData!AA24</f>
        <v>11</v>
      </c>
      <c r="B59" s="47">
        <f>ChartData!AB24</f>
        <v>0</v>
      </c>
      <c r="C59" s="47">
        <f>ChartData!AC24</f>
        <v>-2.3733778203435394</v>
      </c>
      <c r="D59" s="47">
        <f>ChartData!AD24</f>
        <v>0</v>
      </c>
      <c r="E59" s="47">
        <f>ChartData!AE24</f>
        <v>-2.3733778203435394</v>
      </c>
      <c r="F59" s="51">
        <f>ChartData!AF24</f>
        <v>100</v>
      </c>
      <c r="G59" s="49">
        <f>ChartData!AG24</f>
        <v>99.964902040816327</v>
      </c>
    </row>
    <row r="60" spans="1:7" x14ac:dyDescent="0.25">
      <c r="A60" s="41">
        <f>ChartData!AA25</f>
        <v>11.5</v>
      </c>
      <c r="B60" s="47">
        <f>ChartData!AB25</f>
        <v>0</v>
      </c>
      <c r="C60" s="47">
        <f>ChartData!AC25</f>
        <v>-2.3966696996653059</v>
      </c>
      <c r="D60" s="47">
        <f>ChartData!AD25</f>
        <v>0</v>
      </c>
      <c r="E60" s="47">
        <f>ChartData!AE25</f>
        <v>-2.3966696996653059</v>
      </c>
      <c r="F60" s="51">
        <f>ChartData!AF25</f>
        <v>100</v>
      </c>
      <c r="G60" s="49">
        <f>ChartData!AG25</f>
        <v>99.81352448979591</v>
      </c>
    </row>
    <row r="61" spans="1:7" x14ac:dyDescent="0.25">
      <c r="A61" s="41">
        <f>ChartData!AA26</f>
        <v>12</v>
      </c>
      <c r="B61" s="47">
        <f>ChartData!AB26</f>
        <v>0</v>
      </c>
      <c r="C61" s="47">
        <f>ChartData!AC26</f>
        <v>-2.609117452914286</v>
      </c>
      <c r="D61" s="47">
        <f>ChartData!AD26</f>
        <v>0</v>
      </c>
      <c r="E61" s="47">
        <f>ChartData!AE26</f>
        <v>-2.609117452914286</v>
      </c>
      <c r="F61" s="51">
        <f>ChartData!AF26</f>
        <v>100</v>
      </c>
      <c r="G61" s="49">
        <f>ChartData!AG26</f>
        <v>99.889226530612248</v>
      </c>
    </row>
    <row r="62" spans="1:7" x14ac:dyDescent="0.25">
      <c r="A62" s="41">
        <f>ChartData!AA27</f>
        <v>12.5</v>
      </c>
      <c r="B62" s="47">
        <f>ChartData!AB27</f>
        <v>0</v>
      </c>
      <c r="C62" s="47">
        <f>ChartData!AC27</f>
        <v>-2.5825668585170072</v>
      </c>
      <c r="D62" s="47">
        <f>ChartData!AD27</f>
        <v>0</v>
      </c>
      <c r="E62" s="47">
        <f>ChartData!AE27</f>
        <v>-2.5825668585170072</v>
      </c>
      <c r="F62" s="51">
        <f>ChartData!AF27</f>
        <v>100</v>
      </c>
      <c r="G62" s="49">
        <f>ChartData!AG27</f>
        <v>100</v>
      </c>
    </row>
    <row r="63" spans="1:7" x14ac:dyDescent="0.25">
      <c r="A63" s="41">
        <f>ChartData!AA28</f>
        <v>13</v>
      </c>
      <c r="B63" s="47">
        <f>ChartData!AB28</f>
        <v>0</v>
      </c>
      <c r="C63" s="47">
        <f>ChartData!AC28</f>
        <v>-2.4212795607108863</v>
      </c>
      <c r="D63" s="47">
        <f>ChartData!AD28</f>
        <v>0</v>
      </c>
      <c r="E63" s="47">
        <f>ChartData!AE28</f>
        <v>-2.4212795607108863</v>
      </c>
      <c r="F63" s="51">
        <f>ChartData!AF28</f>
        <v>100</v>
      </c>
      <c r="G63" s="49">
        <f>ChartData!AG28</f>
        <v>100</v>
      </c>
    </row>
    <row r="64" spans="1:7" x14ac:dyDescent="0.25">
      <c r="A64" s="41">
        <f>ChartData!AA29</f>
        <v>13.5</v>
      </c>
      <c r="B64" s="47">
        <f>ChartData!AB29</f>
        <v>0</v>
      </c>
      <c r="C64" s="47">
        <f>ChartData!AC29</f>
        <v>-2.3031033546448989</v>
      </c>
      <c r="D64" s="47">
        <f>ChartData!AD29</f>
        <v>0</v>
      </c>
      <c r="E64" s="47">
        <f>ChartData!AE29</f>
        <v>-2.3031033546448989</v>
      </c>
      <c r="F64" s="51">
        <f>ChartData!AF29</f>
        <v>100</v>
      </c>
      <c r="G64" s="49">
        <f>ChartData!AG29</f>
        <v>99.79785102040816</v>
      </c>
    </row>
    <row r="65" spans="1:7" x14ac:dyDescent="0.25">
      <c r="A65" s="41">
        <f>ChartData!AA30</f>
        <v>14</v>
      </c>
      <c r="B65" s="47">
        <f>ChartData!AB30</f>
        <v>0</v>
      </c>
      <c r="C65" s="47">
        <f>ChartData!AC30</f>
        <v>-2.2640886492768697</v>
      </c>
      <c r="D65" s="47">
        <f>ChartData!AD30</f>
        <v>0</v>
      </c>
      <c r="E65" s="47">
        <f>ChartData!AE30</f>
        <v>-2.2640886492768697</v>
      </c>
      <c r="F65" s="51">
        <f>ChartData!AF30</f>
        <v>100</v>
      </c>
      <c r="G65" s="49">
        <f>ChartData!AG30</f>
        <v>99.955077551020423</v>
      </c>
    </row>
    <row r="66" spans="1:7" x14ac:dyDescent="0.25">
      <c r="A66" s="41">
        <f>ChartData!AA31</f>
        <v>14.5</v>
      </c>
      <c r="B66" s="47">
        <f>ChartData!AB31</f>
        <v>0</v>
      </c>
      <c r="C66" s="47">
        <f>ChartData!AC31</f>
        <v>-2.071345287465308</v>
      </c>
      <c r="D66" s="47">
        <f>ChartData!AD31</f>
        <v>0</v>
      </c>
      <c r="E66" s="47">
        <f>ChartData!AE31</f>
        <v>-2.071345287465308</v>
      </c>
      <c r="F66" s="51">
        <f>ChartData!AF31</f>
        <v>100</v>
      </c>
      <c r="G66" s="49">
        <f>ChartData!AG31</f>
        <v>99.923212244897954</v>
      </c>
    </row>
    <row r="67" spans="1:7" x14ac:dyDescent="0.25">
      <c r="A67" s="41">
        <f>ChartData!AA32</f>
        <v>15</v>
      </c>
      <c r="B67" s="47">
        <f>ChartData!AB32</f>
        <v>0</v>
      </c>
      <c r="C67" s="47">
        <f>ChartData!AC32</f>
        <v>-1.8829313972061215</v>
      </c>
      <c r="D67" s="47">
        <f>ChartData!AD32</f>
        <v>0</v>
      </c>
      <c r="E67" s="47">
        <f>ChartData!AE32</f>
        <v>-1.8829313972061215</v>
      </c>
      <c r="F67" s="51">
        <f>ChartData!AF32</f>
        <v>100</v>
      </c>
      <c r="G67" s="49">
        <f>ChartData!AG32</f>
        <v>99.944789795918382</v>
      </c>
    </row>
    <row r="68" spans="1:7" x14ac:dyDescent="0.25">
      <c r="A68" s="41">
        <f>ChartData!AA33</f>
        <v>15.5</v>
      </c>
      <c r="B68" s="47">
        <f>ChartData!AB33</f>
        <v>0</v>
      </c>
      <c r="C68" s="47">
        <f>ChartData!AC33</f>
        <v>-1.7281592349333335</v>
      </c>
      <c r="D68" s="47">
        <f>ChartData!AD33</f>
        <v>0</v>
      </c>
      <c r="E68" s="47">
        <f>ChartData!AE33</f>
        <v>-1.7281592349333335</v>
      </c>
      <c r="F68" s="51">
        <f>ChartData!AF33</f>
        <v>100</v>
      </c>
      <c r="G68" s="49">
        <f>ChartData!AG33</f>
        <v>98.995536734693886</v>
      </c>
    </row>
    <row r="69" spans="1:7" x14ac:dyDescent="0.25">
      <c r="A69" s="41">
        <f>ChartData!AA34</f>
        <v>16</v>
      </c>
      <c r="B69" s="47">
        <f>ChartData!AB34</f>
        <v>0</v>
      </c>
      <c r="C69" s="47">
        <f>ChartData!AC34</f>
        <v>-1.4361548218299309</v>
      </c>
      <c r="D69" s="47">
        <f>ChartData!AD34</f>
        <v>0</v>
      </c>
      <c r="E69" s="47">
        <f>ChartData!AE34</f>
        <v>-1.4361548218299309</v>
      </c>
      <c r="F69" s="51">
        <f>ChartData!AF34</f>
        <v>100</v>
      </c>
      <c r="G69" s="49">
        <f>ChartData!AG34</f>
        <v>98.614867346938766</v>
      </c>
    </row>
    <row r="70" spans="1:7" x14ac:dyDescent="0.25">
      <c r="A70" s="41">
        <f>ChartData!AA35</f>
        <v>16.5</v>
      </c>
      <c r="B70" s="47">
        <f>ChartData!AB35</f>
        <v>0</v>
      </c>
      <c r="C70" s="47">
        <f>ChartData!AC35</f>
        <v>-1.198773881061904</v>
      </c>
      <c r="D70" s="47">
        <f>ChartData!AD35</f>
        <v>0</v>
      </c>
      <c r="E70" s="47">
        <f>ChartData!AE35</f>
        <v>-1.198773881061904</v>
      </c>
      <c r="F70" s="51">
        <f>ChartData!AF35</f>
        <v>100</v>
      </c>
      <c r="G70" s="49">
        <f>ChartData!AG35</f>
        <v>99.092204081632659</v>
      </c>
    </row>
    <row r="71" spans="1:7" x14ac:dyDescent="0.25">
      <c r="A71" s="41">
        <f>ChartData!AA36</f>
        <v>17</v>
      </c>
      <c r="B71" s="47">
        <f>ChartData!AB36</f>
        <v>0</v>
      </c>
      <c r="C71" s="47">
        <f>ChartData!AC36</f>
        <v>-0.93350806167686873</v>
      </c>
      <c r="D71" s="47">
        <f>ChartData!AD36</f>
        <v>0</v>
      </c>
      <c r="E71" s="47">
        <f>ChartData!AE36</f>
        <v>-0.93350806167686873</v>
      </c>
      <c r="F71" s="51">
        <f>ChartData!AF36</f>
        <v>100</v>
      </c>
      <c r="G71" s="49">
        <f>ChartData!AG36</f>
        <v>98.529061224489794</v>
      </c>
    </row>
    <row r="72" spans="1:7" x14ac:dyDescent="0.25">
      <c r="A72" s="41">
        <f>ChartData!AA37</f>
        <v>17.5</v>
      </c>
      <c r="B72" s="47">
        <f>ChartData!AB37</f>
        <v>0</v>
      </c>
      <c r="C72" s="47">
        <f>ChartData!AC37</f>
        <v>-0.70591397273265333</v>
      </c>
      <c r="D72" s="47">
        <f>ChartData!AD37</f>
        <v>0</v>
      </c>
      <c r="E72" s="47">
        <f>ChartData!AE37</f>
        <v>-0.70591397273265333</v>
      </c>
      <c r="F72" s="51">
        <f>ChartData!AF37</f>
        <v>100</v>
      </c>
      <c r="G72" s="49">
        <f>ChartData!AG37</f>
        <v>98.42582040816329</v>
      </c>
    </row>
    <row r="73" spans="1:7" x14ac:dyDescent="0.25">
      <c r="A73" s="41">
        <f>ChartData!AA38</f>
        <v>18</v>
      </c>
      <c r="B73" s="47">
        <f>ChartData!AB38</f>
        <v>0</v>
      </c>
      <c r="C73" s="47">
        <f>ChartData!AC38</f>
        <v>-0.48589656029251782</v>
      </c>
      <c r="D73" s="47">
        <f>ChartData!AD38</f>
        <v>0</v>
      </c>
      <c r="E73" s="47">
        <f>ChartData!AE38</f>
        <v>-0.48589656029251782</v>
      </c>
      <c r="F73" s="51">
        <f>ChartData!AF38</f>
        <v>100</v>
      </c>
      <c r="G73" s="49">
        <f>ChartData!AG38</f>
        <v>98.005320408163257</v>
      </c>
    </row>
    <row r="74" spans="1:7" x14ac:dyDescent="0.25">
      <c r="A74" s="41">
        <f>ChartData!AA39</f>
        <v>18.5</v>
      </c>
      <c r="B74" s="47">
        <f>ChartData!AB39</f>
        <v>0</v>
      </c>
      <c r="C74" s="47">
        <f>ChartData!AC39</f>
        <v>-0.25354485410544231</v>
      </c>
      <c r="D74" s="47">
        <f>ChartData!AD39</f>
        <v>0</v>
      </c>
      <c r="E74" s="47">
        <f>ChartData!AE39</f>
        <v>-0.25354485410544231</v>
      </c>
      <c r="F74" s="51">
        <f>ChartData!AF39</f>
        <v>100</v>
      </c>
      <c r="G74" s="49">
        <f>ChartData!AG39</f>
        <v>97.260483673469381</v>
      </c>
    </row>
    <row r="75" spans="1:7" x14ac:dyDescent="0.25">
      <c r="A75" s="41">
        <f>ChartData!AA40</f>
        <v>19</v>
      </c>
      <c r="B75" s="47">
        <f>ChartData!AB40</f>
        <v>0</v>
      </c>
      <c r="C75" s="47">
        <f>ChartData!AC40</f>
        <v>-8.8027561975510149E-2</v>
      </c>
      <c r="D75" s="47">
        <f>ChartData!AD40</f>
        <v>0</v>
      </c>
      <c r="E75" s="47">
        <f>ChartData!AE40</f>
        <v>-8.8027561975510149E-2</v>
      </c>
      <c r="F75" s="51">
        <f>ChartData!AF40</f>
        <v>100</v>
      </c>
      <c r="G75" s="49">
        <f>ChartData!AG40</f>
        <v>95.465448979591855</v>
      </c>
    </row>
    <row r="76" spans="1:7" x14ac:dyDescent="0.25">
      <c r="A76" s="41">
        <f>ChartData!AA41</f>
        <v>19.5</v>
      </c>
      <c r="B76" s="47">
        <f>ChartData!AB41</f>
        <v>0</v>
      </c>
      <c r="C76" s="47">
        <f>ChartData!AC41</f>
        <v>-2.8995305571427599E-3</v>
      </c>
      <c r="D76" s="47">
        <f>ChartData!AD41</f>
        <v>0</v>
      </c>
      <c r="E76" s="47">
        <f>ChartData!AE41</f>
        <v>-2.8995305571427599E-3</v>
      </c>
      <c r="F76" s="51">
        <f>ChartData!AF41</f>
        <v>100</v>
      </c>
      <c r="G76" s="49">
        <f>ChartData!AG41</f>
        <v>94.356675510204084</v>
      </c>
    </row>
    <row r="77" spans="1:7" x14ac:dyDescent="0.25">
      <c r="A77" s="41">
        <f>ChartData!AA42</f>
        <v>20</v>
      </c>
      <c r="B77" s="47">
        <f>ChartData!AB42</f>
        <v>0</v>
      </c>
      <c r="C77" s="47">
        <f>ChartData!AC42</f>
        <v>2.0749329251945614E-5</v>
      </c>
      <c r="D77" s="47">
        <f>ChartData!AD42</f>
        <v>2.0749329251945614E-5</v>
      </c>
      <c r="E77" s="47">
        <f>ChartData!AE42</f>
        <v>0</v>
      </c>
      <c r="F77" s="51">
        <f>ChartData!AF42</f>
        <v>100</v>
      </c>
      <c r="G77" s="49">
        <f>ChartData!AG42</f>
        <v>89.377702040816317</v>
      </c>
    </row>
    <row r="78" spans="1:7" x14ac:dyDescent="0.25">
      <c r="A78" s="41">
        <f>ChartData!AA43</f>
        <v>20.5</v>
      </c>
      <c r="B78" s="47">
        <f>ChartData!AB43</f>
        <v>0</v>
      </c>
      <c r="C78" s="47">
        <f>ChartData!AC43</f>
        <v>-2.2074829931884032E-5</v>
      </c>
      <c r="D78" s="47">
        <f>ChartData!AD43</f>
        <v>0</v>
      </c>
      <c r="E78" s="47">
        <f>ChartData!AE43</f>
        <v>-2.2074829931884032E-5</v>
      </c>
      <c r="F78" s="51">
        <f>ChartData!AF43</f>
        <v>100</v>
      </c>
      <c r="G78" s="49">
        <f>ChartData!AG43</f>
        <v>83.77491224489799</v>
      </c>
    </row>
    <row r="79" spans="1:7" x14ac:dyDescent="0.25">
      <c r="A79" s="41">
        <f>ChartData!AA44</f>
        <v>21</v>
      </c>
      <c r="B79" s="47">
        <f>ChartData!AB44</f>
        <v>0</v>
      </c>
      <c r="C79" s="47">
        <f>ChartData!AC44</f>
        <v>-6.6340136054443555E-5</v>
      </c>
      <c r="D79" s="47">
        <f>ChartData!AD44</f>
        <v>0</v>
      </c>
      <c r="E79" s="47">
        <f>ChartData!AE44</f>
        <v>-6.6340136054443555E-5</v>
      </c>
      <c r="F79" s="51">
        <f>ChartData!AF44</f>
        <v>100</v>
      </c>
      <c r="G79" s="49">
        <f>ChartData!AG44</f>
        <v>77.756263265306131</v>
      </c>
    </row>
    <row r="80" spans="1:7" x14ac:dyDescent="0.25">
      <c r="A80" s="41">
        <f>ChartData!AA45</f>
        <v>21.5</v>
      </c>
      <c r="B80" s="47">
        <f>ChartData!AB45</f>
        <v>0</v>
      </c>
      <c r="C80" s="47">
        <f>ChartData!AC45</f>
        <v>1.6939074829931677E-2</v>
      </c>
      <c r="D80" s="47">
        <f>ChartData!AD45</f>
        <v>1.6939074829931677E-2</v>
      </c>
      <c r="E80" s="47">
        <f>ChartData!AE45</f>
        <v>0</v>
      </c>
      <c r="F80" s="51">
        <f>ChartData!AF45</f>
        <v>100</v>
      </c>
      <c r="G80" s="49">
        <f>ChartData!AG45</f>
        <v>71.209075510204073</v>
      </c>
    </row>
    <row r="81" spans="1:7" x14ac:dyDescent="0.25">
      <c r="A81" s="41">
        <f>ChartData!AA46</f>
        <v>22</v>
      </c>
      <c r="B81" s="47">
        <f>ChartData!AB46</f>
        <v>0</v>
      </c>
      <c r="C81" s="47">
        <f>ChartData!AC46</f>
        <v>3.2034108843537745E-2</v>
      </c>
      <c r="D81" s="47">
        <f>ChartData!AD46</f>
        <v>3.2034108843537745E-2</v>
      </c>
      <c r="E81" s="47">
        <f>ChartData!AE46</f>
        <v>0</v>
      </c>
      <c r="F81" s="51">
        <f>ChartData!AF46</f>
        <v>100</v>
      </c>
      <c r="G81" s="49">
        <f>ChartData!AG46</f>
        <v>65.531736734693894</v>
      </c>
    </row>
    <row r="82" spans="1:7" x14ac:dyDescent="0.25">
      <c r="A82" s="41">
        <f>ChartData!AA47</f>
        <v>22.5</v>
      </c>
      <c r="B82" s="47">
        <f>ChartData!AB47</f>
        <v>0</v>
      </c>
      <c r="C82" s="47">
        <f>ChartData!AC47</f>
        <v>8.2071666666666598E-2</v>
      </c>
      <c r="D82" s="47">
        <f>ChartData!AD47</f>
        <v>8.2071666666666598E-2</v>
      </c>
      <c r="E82" s="47">
        <f>ChartData!AE47</f>
        <v>0</v>
      </c>
      <c r="F82" s="51">
        <f>ChartData!AF47</f>
        <v>100</v>
      </c>
      <c r="G82" s="49">
        <f>ChartData!AG47</f>
        <v>58.81475714285714</v>
      </c>
    </row>
    <row r="83" spans="1:7" x14ac:dyDescent="0.25">
      <c r="A83" s="41">
        <f>ChartData!AA48</f>
        <v>23</v>
      </c>
      <c r="B83" s="47">
        <f>ChartData!AB48</f>
        <v>0</v>
      </c>
      <c r="C83" s="47">
        <f>ChartData!AC48</f>
        <v>5.6731884353741657E-2</v>
      </c>
      <c r="D83" s="47">
        <f>ChartData!AD48</f>
        <v>5.6731884353741657E-2</v>
      </c>
      <c r="E83" s="47">
        <f>ChartData!AE48</f>
        <v>0</v>
      </c>
      <c r="F83" s="51">
        <f>ChartData!AF48</f>
        <v>100</v>
      </c>
      <c r="G83" s="49">
        <f>ChartData!AG48</f>
        <v>53.59365102040816</v>
      </c>
    </row>
    <row r="84" spans="1:7" x14ac:dyDescent="0.25">
      <c r="A84" s="42">
        <f>ChartData!AA49</f>
        <v>23.5</v>
      </c>
      <c r="B84" s="48">
        <f>ChartData!AB49</f>
        <v>0</v>
      </c>
      <c r="C84" s="48">
        <f>ChartData!AC49</f>
        <v>2.8596330612244758E-2</v>
      </c>
      <c r="D84" s="48">
        <f>ChartData!AD49</f>
        <v>2.8596330612244758E-2</v>
      </c>
      <c r="E84" s="48">
        <f>ChartData!AE49</f>
        <v>0</v>
      </c>
      <c r="F84" s="52">
        <f>ChartData!AF49</f>
        <v>100</v>
      </c>
      <c r="G84" s="50">
        <f>ChartData!AG49</f>
        <v>49.274646938775511</v>
      </c>
    </row>
  </sheetData>
  <mergeCells count="1">
    <mergeCell ref="A34:M3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6:C74"/>
  <sheetViews>
    <sheetView showGridLines="0" topLeftCell="A19" workbookViewId="0"/>
  </sheetViews>
  <sheetFormatPr defaultRowHeight="15" x14ac:dyDescent="0.25"/>
  <cols>
    <col min="1" max="13" width="13" customWidth="1"/>
  </cols>
  <sheetData>
    <row r="26" spans="1:3" x14ac:dyDescent="0.25">
      <c r="A26" s="38" t="s">
        <v>157</v>
      </c>
      <c r="B26" s="39" t="s">
        <v>182</v>
      </c>
      <c r="C26" s="40" t="s">
        <v>183</v>
      </c>
    </row>
    <row r="27" spans="1:3" x14ac:dyDescent="0.25">
      <c r="A27" s="41">
        <f>ChartData!AA2</f>
        <v>0</v>
      </c>
      <c r="B27" s="47">
        <f>ChartData!AB2</f>
        <v>0</v>
      </c>
      <c r="C27" s="55">
        <f>ChartData!AC2</f>
        <v>-4.744217687074892E-5</v>
      </c>
    </row>
    <row r="28" spans="1:3" x14ac:dyDescent="0.25">
      <c r="A28" s="41">
        <f>ChartData!AA3</f>
        <v>0.5</v>
      </c>
      <c r="B28" s="47">
        <f>ChartData!AB3</f>
        <v>0</v>
      </c>
      <c r="C28" s="55">
        <f>ChartData!AC3</f>
        <v>-4.2225850340055215E-5</v>
      </c>
    </row>
    <row r="29" spans="1:3" x14ac:dyDescent="0.25">
      <c r="A29" s="41">
        <f>ChartData!AA4</f>
        <v>1</v>
      </c>
      <c r="B29" s="47">
        <f>ChartData!AB4</f>
        <v>0</v>
      </c>
      <c r="C29" s="55">
        <f>ChartData!AC4</f>
        <v>-2.6394557823550269E-6</v>
      </c>
    </row>
    <row r="30" spans="1:3" x14ac:dyDescent="0.25">
      <c r="A30" s="41">
        <f>ChartData!AA5</f>
        <v>1.5</v>
      </c>
      <c r="B30" s="47">
        <f>ChartData!AB5</f>
        <v>0</v>
      </c>
      <c r="C30" s="55">
        <f>ChartData!AC5</f>
        <v>5.6721904761904973E-3</v>
      </c>
    </row>
    <row r="31" spans="1:3" x14ac:dyDescent="0.25">
      <c r="A31" s="41">
        <f>ChartData!AA6</f>
        <v>2</v>
      </c>
      <c r="B31" s="47">
        <f>ChartData!AB6</f>
        <v>0</v>
      </c>
      <c r="C31" s="55">
        <f>ChartData!AC6</f>
        <v>1.5929727891156473E-2</v>
      </c>
    </row>
    <row r="32" spans="1:3" x14ac:dyDescent="0.25">
      <c r="A32" s="41">
        <f>ChartData!AA7</f>
        <v>2.5</v>
      </c>
      <c r="B32" s="47">
        <f>ChartData!AB7</f>
        <v>0</v>
      </c>
      <c r="C32" s="55">
        <f>ChartData!AC7</f>
        <v>1.5588448979591746E-2</v>
      </c>
    </row>
    <row r="33" spans="1:3" x14ac:dyDescent="0.25">
      <c r="A33" s="41">
        <f>ChartData!AA8</f>
        <v>3</v>
      </c>
      <c r="B33" s="47">
        <f>ChartData!AB8</f>
        <v>0</v>
      </c>
      <c r="C33" s="55">
        <f>ChartData!AC8</f>
        <v>6.0494217687074997E-3</v>
      </c>
    </row>
    <row r="34" spans="1:3" x14ac:dyDescent="0.25">
      <c r="A34" s="41">
        <f>ChartData!AA9</f>
        <v>3.5</v>
      </c>
      <c r="B34" s="47">
        <f>ChartData!AB9</f>
        <v>0</v>
      </c>
      <c r="C34" s="55">
        <f>ChartData!AC9</f>
        <v>9.6880052802720551E-3</v>
      </c>
    </row>
    <row r="35" spans="1:3" x14ac:dyDescent="0.25">
      <c r="A35" s="41">
        <f>ChartData!AA10</f>
        <v>4</v>
      </c>
      <c r="B35" s="47">
        <f>ChartData!AB10</f>
        <v>0</v>
      </c>
      <c r="C35" s="55">
        <f>ChartData!AC10</f>
        <v>8.562575020408289E-3</v>
      </c>
    </row>
    <row r="36" spans="1:3" x14ac:dyDescent="0.25">
      <c r="A36" s="41">
        <f>ChartData!AA11</f>
        <v>4.5</v>
      </c>
      <c r="B36" s="47">
        <f>ChartData!AB11</f>
        <v>0</v>
      </c>
      <c r="C36" s="55">
        <f>ChartData!AC11</f>
        <v>3.1093104238094603E-3</v>
      </c>
    </row>
    <row r="37" spans="1:3" x14ac:dyDescent="0.25">
      <c r="A37" s="41">
        <f>ChartData!AA12</f>
        <v>5</v>
      </c>
      <c r="B37" s="47">
        <f>ChartData!AB12</f>
        <v>0</v>
      </c>
      <c r="C37" s="55">
        <f>ChartData!AC12</f>
        <v>1.7295663904753171E-3</v>
      </c>
    </row>
    <row r="38" spans="1:3" x14ac:dyDescent="0.25">
      <c r="A38" s="41">
        <f>ChartData!AA13</f>
        <v>5.5</v>
      </c>
      <c r="B38" s="47">
        <f>ChartData!AB13</f>
        <v>0</v>
      </c>
      <c r="C38" s="55">
        <f>ChartData!AC13</f>
        <v>4.9684952392325954E-6</v>
      </c>
    </row>
    <row r="39" spans="1:3" x14ac:dyDescent="0.25">
      <c r="A39" s="41">
        <f>ChartData!AA14</f>
        <v>6</v>
      </c>
      <c r="B39" s="47">
        <f>ChartData!AB14</f>
        <v>0</v>
      </c>
      <c r="C39" s="55">
        <f>ChartData!AC14</f>
        <v>2.7639772107616867E-5</v>
      </c>
    </row>
    <row r="40" spans="1:3" x14ac:dyDescent="0.25">
      <c r="A40" s="41">
        <f>ChartData!AA15</f>
        <v>6.5</v>
      </c>
      <c r="B40" s="47">
        <f>ChartData!AB15</f>
        <v>0</v>
      </c>
      <c r="C40" s="55">
        <f>ChartData!AC15</f>
        <v>7.7431605458588848E-6</v>
      </c>
    </row>
    <row r="41" spans="1:3" x14ac:dyDescent="0.25">
      <c r="A41" s="41">
        <f>ChartData!AA16</f>
        <v>7</v>
      </c>
      <c r="B41" s="47">
        <f>ChartData!AB16</f>
        <v>0</v>
      </c>
      <c r="C41" s="55">
        <f>ChartData!AC16</f>
        <v>2.5328236053306918E-5</v>
      </c>
    </row>
    <row r="42" spans="1:3" x14ac:dyDescent="0.25">
      <c r="A42" s="41">
        <f>ChartData!AA17</f>
        <v>7.5</v>
      </c>
      <c r="B42" s="47">
        <f>ChartData!AB17</f>
        <v>0</v>
      </c>
      <c r="C42" s="55">
        <f>ChartData!AC17</f>
        <v>-0.18853992382653018</v>
      </c>
    </row>
    <row r="43" spans="1:3" x14ac:dyDescent="0.25">
      <c r="A43" s="41">
        <f>ChartData!AA18</f>
        <v>8</v>
      </c>
      <c r="B43" s="47">
        <f>ChartData!AB18</f>
        <v>0</v>
      </c>
      <c r="C43" s="55">
        <f>ChartData!AC18</f>
        <v>-0.91579288801428682</v>
      </c>
    </row>
    <row r="44" spans="1:3" x14ac:dyDescent="0.25">
      <c r="A44" s="41">
        <f>ChartData!AA19</f>
        <v>8.5</v>
      </c>
      <c r="B44" s="47">
        <f>ChartData!AB19</f>
        <v>0</v>
      </c>
      <c r="C44" s="55">
        <f>ChartData!AC19</f>
        <v>-1.4173968818544216</v>
      </c>
    </row>
    <row r="45" spans="1:3" x14ac:dyDescent="0.25">
      <c r="A45" s="41">
        <f>ChartData!AA20</f>
        <v>9</v>
      </c>
      <c r="B45" s="47">
        <f>ChartData!AB20</f>
        <v>0</v>
      </c>
      <c r="C45" s="55">
        <f>ChartData!AC20</f>
        <v>-1.6417698971836752</v>
      </c>
    </row>
    <row r="46" spans="1:3" x14ac:dyDescent="0.25">
      <c r="A46" s="41">
        <f>ChartData!AA21</f>
        <v>9.5</v>
      </c>
      <c r="B46" s="47">
        <f>ChartData!AB21</f>
        <v>0</v>
      </c>
      <c r="C46" s="55">
        <f>ChartData!AC21</f>
        <v>-1.9389246680258492</v>
      </c>
    </row>
    <row r="47" spans="1:3" x14ac:dyDescent="0.25">
      <c r="A47" s="41">
        <f>ChartData!AA22</f>
        <v>10</v>
      </c>
      <c r="B47" s="47">
        <f>ChartData!AB22</f>
        <v>0</v>
      </c>
      <c r="C47" s="55">
        <f>ChartData!AC22</f>
        <v>-2.2113494271421765</v>
      </c>
    </row>
    <row r="48" spans="1:3" x14ac:dyDescent="0.25">
      <c r="A48" s="41">
        <f>ChartData!AA23</f>
        <v>10.5</v>
      </c>
      <c r="B48" s="47">
        <f>ChartData!AB23</f>
        <v>0</v>
      </c>
      <c r="C48" s="55">
        <f>ChartData!AC23</f>
        <v>-2.4026933494333349</v>
      </c>
    </row>
    <row r="49" spans="1:3" x14ac:dyDescent="0.25">
      <c r="A49" s="41">
        <f>ChartData!AA24</f>
        <v>11</v>
      </c>
      <c r="B49" s="47">
        <f>ChartData!AB24</f>
        <v>0</v>
      </c>
      <c r="C49" s="55">
        <f>ChartData!AC24</f>
        <v>-2.3733778203435394</v>
      </c>
    </row>
    <row r="50" spans="1:3" x14ac:dyDescent="0.25">
      <c r="A50" s="41">
        <f>ChartData!AA25</f>
        <v>11.5</v>
      </c>
      <c r="B50" s="47">
        <f>ChartData!AB25</f>
        <v>0</v>
      </c>
      <c r="C50" s="55">
        <f>ChartData!AC25</f>
        <v>-2.3966696996653059</v>
      </c>
    </row>
    <row r="51" spans="1:3" x14ac:dyDescent="0.25">
      <c r="A51" s="41">
        <f>ChartData!AA26</f>
        <v>12</v>
      </c>
      <c r="B51" s="47">
        <f>ChartData!AB26</f>
        <v>0</v>
      </c>
      <c r="C51" s="55">
        <f>ChartData!AC26</f>
        <v>-2.609117452914286</v>
      </c>
    </row>
    <row r="52" spans="1:3" x14ac:dyDescent="0.25">
      <c r="A52" s="41">
        <f>ChartData!AA27</f>
        <v>12.5</v>
      </c>
      <c r="B52" s="47">
        <f>ChartData!AB27</f>
        <v>0</v>
      </c>
      <c r="C52" s="55">
        <f>ChartData!AC27</f>
        <v>-2.5825668585170072</v>
      </c>
    </row>
    <row r="53" spans="1:3" x14ac:dyDescent="0.25">
      <c r="A53" s="41">
        <f>ChartData!AA28</f>
        <v>13</v>
      </c>
      <c r="B53" s="47">
        <f>ChartData!AB28</f>
        <v>0</v>
      </c>
      <c r="C53" s="55">
        <f>ChartData!AC28</f>
        <v>-2.4212795607108863</v>
      </c>
    </row>
    <row r="54" spans="1:3" x14ac:dyDescent="0.25">
      <c r="A54" s="41">
        <f>ChartData!AA29</f>
        <v>13.5</v>
      </c>
      <c r="B54" s="47">
        <f>ChartData!AB29</f>
        <v>0</v>
      </c>
      <c r="C54" s="55">
        <f>ChartData!AC29</f>
        <v>-2.3031033546448989</v>
      </c>
    </row>
    <row r="55" spans="1:3" x14ac:dyDescent="0.25">
      <c r="A55" s="41">
        <f>ChartData!AA30</f>
        <v>14</v>
      </c>
      <c r="B55" s="47">
        <f>ChartData!AB30</f>
        <v>0</v>
      </c>
      <c r="C55" s="55">
        <f>ChartData!AC30</f>
        <v>-2.2640886492768697</v>
      </c>
    </row>
    <row r="56" spans="1:3" x14ac:dyDescent="0.25">
      <c r="A56" s="41">
        <f>ChartData!AA31</f>
        <v>14.5</v>
      </c>
      <c r="B56" s="47">
        <f>ChartData!AB31</f>
        <v>0</v>
      </c>
      <c r="C56" s="55">
        <f>ChartData!AC31</f>
        <v>-2.071345287465308</v>
      </c>
    </row>
    <row r="57" spans="1:3" x14ac:dyDescent="0.25">
      <c r="A57" s="41">
        <f>ChartData!AA32</f>
        <v>15</v>
      </c>
      <c r="B57" s="47">
        <f>ChartData!AB32</f>
        <v>0</v>
      </c>
      <c r="C57" s="55">
        <f>ChartData!AC32</f>
        <v>-1.8829313972061215</v>
      </c>
    </row>
    <row r="58" spans="1:3" x14ac:dyDescent="0.25">
      <c r="A58" s="41">
        <f>ChartData!AA33</f>
        <v>15.5</v>
      </c>
      <c r="B58" s="47">
        <f>ChartData!AB33</f>
        <v>0</v>
      </c>
      <c r="C58" s="55">
        <f>ChartData!AC33</f>
        <v>-1.7281592349333335</v>
      </c>
    </row>
    <row r="59" spans="1:3" x14ac:dyDescent="0.25">
      <c r="A59" s="41">
        <f>ChartData!AA34</f>
        <v>16</v>
      </c>
      <c r="B59" s="47">
        <f>ChartData!AB34</f>
        <v>0</v>
      </c>
      <c r="C59" s="55">
        <f>ChartData!AC34</f>
        <v>-1.4361548218299309</v>
      </c>
    </row>
    <row r="60" spans="1:3" x14ac:dyDescent="0.25">
      <c r="A60" s="41">
        <f>ChartData!AA35</f>
        <v>16.5</v>
      </c>
      <c r="B60" s="47">
        <f>ChartData!AB35</f>
        <v>0</v>
      </c>
      <c r="C60" s="55">
        <f>ChartData!AC35</f>
        <v>-1.198773881061904</v>
      </c>
    </row>
    <row r="61" spans="1:3" x14ac:dyDescent="0.25">
      <c r="A61" s="41">
        <f>ChartData!AA36</f>
        <v>17</v>
      </c>
      <c r="B61" s="47">
        <f>ChartData!AB36</f>
        <v>0</v>
      </c>
      <c r="C61" s="55">
        <f>ChartData!AC36</f>
        <v>-0.93350806167686873</v>
      </c>
    </row>
    <row r="62" spans="1:3" x14ac:dyDescent="0.25">
      <c r="A62" s="41">
        <f>ChartData!AA37</f>
        <v>17.5</v>
      </c>
      <c r="B62" s="47">
        <f>ChartData!AB37</f>
        <v>0</v>
      </c>
      <c r="C62" s="55">
        <f>ChartData!AC37</f>
        <v>-0.70591397273265333</v>
      </c>
    </row>
    <row r="63" spans="1:3" x14ac:dyDescent="0.25">
      <c r="A63" s="41">
        <f>ChartData!AA38</f>
        <v>18</v>
      </c>
      <c r="B63" s="47">
        <f>ChartData!AB38</f>
        <v>0</v>
      </c>
      <c r="C63" s="55">
        <f>ChartData!AC38</f>
        <v>-0.48589656029251782</v>
      </c>
    </row>
    <row r="64" spans="1:3" x14ac:dyDescent="0.25">
      <c r="A64" s="41">
        <f>ChartData!AA39</f>
        <v>18.5</v>
      </c>
      <c r="B64" s="47">
        <f>ChartData!AB39</f>
        <v>0</v>
      </c>
      <c r="C64" s="55">
        <f>ChartData!AC39</f>
        <v>-0.25354485410544231</v>
      </c>
    </row>
    <row r="65" spans="1:3" x14ac:dyDescent="0.25">
      <c r="A65" s="41">
        <f>ChartData!AA40</f>
        <v>19</v>
      </c>
      <c r="B65" s="47">
        <f>ChartData!AB40</f>
        <v>0</v>
      </c>
      <c r="C65" s="55">
        <f>ChartData!AC40</f>
        <v>-8.8027561975510149E-2</v>
      </c>
    </row>
    <row r="66" spans="1:3" x14ac:dyDescent="0.25">
      <c r="A66" s="41">
        <f>ChartData!AA41</f>
        <v>19.5</v>
      </c>
      <c r="B66" s="47">
        <f>ChartData!AB41</f>
        <v>0</v>
      </c>
      <c r="C66" s="55">
        <f>ChartData!AC41</f>
        <v>-2.8995305571427599E-3</v>
      </c>
    </row>
    <row r="67" spans="1:3" x14ac:dyDescent="0.25">
      <c r="A67" s="41">
        <f>ChartData!AA42</f>
        <v>20</v>
      </c>
      <c r="B67" s="47">
        <f>ChartData!AB42</f>
        <v>0</v>
      </c>
      <c r="C67" s="55">
        <f>ChartData!AC42</f>
        <v>2.0749329251945614E-5</v>
      </c>
    </row>
    <row r="68" spans="1:3" x14ac:dyDescent="0.25">
      <c r="A68" s="41">
        <f>ChartData!AA43</f>
        <v>20.5</v>
      </c>
      <c r="B68" s="47">
        <f>ChartData!AB43</f>
        <v>0</v>
      </c>
      <c r="C68" s="55">
        <f>ChartData!AC43</f>
        <v>-2.2074829931884032E-5</v>
      </c>
    </row>
    <row r="69" spans="1:3" x14ac:dyDescent="0.25">
      <c r="A69" s="41">
        <f>ChartData!AA44</f>
        <v>21</v>
      </c>
      <c r="B69" s="47">
        <f>ChartData!AB44</f>
        <v>0</v>
      </c>
      <c r="C69" s="55">
        <f>ChartData!AC44</f>
        <v>-6.6340136054443555E-5</v>
      </c>
    </row>
    <row r="70" spans="1:3" x14ac:dyDescent="0.25">
      <c r="A70" s="41">
        <f>ChartData!AA45</f>
        <v>21.5</v>
      </c>
      <c r="B70" s="47">
        <f>ChartData!AB45</f>
        <v>0</v>
      </c>
      <c r="C70" s="55">
        <f>ChartData!AC45</f>
        <v>1.6939074829931677E-2</v>
      </c>
    </row>
    <row r="71" spans="1:3" x14ac:dyDescent="0.25">
      <c r="A71" s="41">
        <f>ChartData!AA46</f>
        <v>22</v>
      </c>
      <c r="B71" s="47">
        <f>ChartData!AB46</f>
        <v>0</v>
      </c>
      <c r="C71" s="55">
        <f>ChartData!AC46</f>
        <v>3.2034108843537745E-2</v>
      </c>
    </row>
    <row r="72" spans="1:3" x14ac:dyDescent="0.25">
      <c r="A72" s="41">
        <f>ChartData!AA47</f>
        <v>22.5</v>
      </c>
      <c r="B72" s="47">
        <f>ChartData!AB47</f>
        <v>0</v>
      </c>
      <c r="C72" s="55">
        <f>ChartData!AC47</f>
        <v>8.2071666666666598E-2</v>
      </c>
    </row>
    <row r="73" spans="1:3" x14ac:dyDescent="0.25">
      <c r="A73" s="41">
        <f>ChartData!AA48</f>
        <v>23</v>
      </c>
      <c r="B73" s="47">
        <f>ChartData!AB48</f>
        <v>0</v>
      </c>
      <c r="C73" s="55">
        <f>ChartData!AC48</f>
        <v>5.6731884353741657E-2</v>
      </c>
    </row>
    <row r="74" spans="1:3" x14ac:dyDescent="0.25">
      <c r="A74" s="42">
        <f>ChartData!AA49</f>
        <v>23.5</v>
      </c>
      <c r="B74" s="48">
        <f>ChartData!AB49</f>
        <v>0</v>
      </c>
      <c r="C74" s="56">
        <f>ChartData!AC49</f>
        <v>2.8596330612244758E-2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85"/>
  <sheetViews>
    <sheetView showGridLines="0" tabSelected="1" workbookViewId="0">
      <selection sqref="A1:M1"/>
    </sheetView>
  </sheetViews>
  <sheetFormatPr defaultRowHeight="15" x14ac:dyDescent="0.25"/>
  <cols>
    <col min="1" max="13" width="13" customWidth="1"/>
  </cols>
  <sheetData>
    <row r="1" spans="1:13" ht="27.95" customHeight="1" x14ac:dyDescent="0.25">
      <c r="A1" s="93" t="s">
        <v>184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37" spans="1:5" x14ac:dyDescent="0.25">
      <c r="A37" s="38" t="s">
        <v>157</v>
      </c>
      <c r="B37" s="39" t="s">
        <v>185</v>
      </c>
      <c r="C37" s="39" t="s">
        <v>186</v>
      </c>
      <c r="D37" s="39" t="s">
        <v>161</v>
      </c>
      <c r="E37" s="40" t="s">
        <v>187</v>
      </c>
    </row>
    <row r="38" spans="1:5" x14ac:dyDescent="0.25">
      <c r="A38" s="41">
        <f>ChartData!T2</f>
        <v>0</v>
      </c>
      <c r="B38" s="47">
        <f>ChartData!U2</f>
        <v>0.18860561904761908</v>
      </c>
      <c r="C38" s="47">
        <f>ChartData!V2</f>
        <v>0</v>
      </c>
      <c r="D38" s="47">
        <f>ChartData!W2</f>
        <v>0</v>
      </c>
      <c r="E38" s="55">
        <f>ChartData!X2</f>
        <v>0.18865306122448983</v>
      </c>
    </row>
    <row r="39" spans="1:5" x14ac:dyDescent="0.25">
      <c r="A39" s="41">
        <f>ChartData!T3</f>
        <v>0.5</v>
      </c>
      <c r="B39" s="47">
        <f>ChartData!U3</f>
        <v>0.17969246802721098</v>
      </c>
      <c r="C39" s="47">
        <f>ChartData!V3</f>
        <v>0</v>
      </c>
      <c r="D39" s="47">
        <f>ChartData!W3</f>
        <v>0</v>
      </c>
      <c r="E39" s="55">
        <f>ChartData!X3</f>
        <v>0.17973469387755103</v>
      </c>
    </row>
    <row r="40" spans="1:5" x14ac:dyDescent="0.25">
      <c r="A40" s="41">
        <f>ChartData!T4</f>
        <v>1</v>
      </c>
      <c r="B40" s="47">
        <f>ChartData!U4</f>
        <v>0.14316062585034012</v>
      </c>
      <c r="C40" s="47">
        <f>ChartData!V4</f>
        <v>0</v>
      </c>
      <c r="D40" s="47">
        <f>ChartData!W4</f>
        <v>0</v>
      </c>
      <c r="E40" s="55">
        <f>ChartData!X4</f>
        <v>0.14316326530612247</v>
      </c>
    </row>
    <row r="41" spans="1:5" x14ac:dyDescent="0.25">
      <c r="A41" s="41">
        <f>ChartData!T5</f>
        <v>1.5</v>
      </c>
      <c r="B41" s="47">
        <f>ChartData!U5</f>
        <v>0.13740688435374149</v>
      </c>
      <c r="C41" s="47">
        <f>ChartData!V5</f>
        <v>0</v>
      </c>
      <c r="D41" s="47">
        <f>ChartData!W5</f>
        <v>0</v>
      </c>
      <c r="E41" s="55">
        <f>ChartData!X5</f>
        <v>0.13173469387755099</v>
      </c>
    </row>
    <row r="42" spans="1:5" x14ac:dyDescent="0.25">
      <c r="A42" s="41">
        <f>ChartData!T6</f>
        <v>2</v>
      </c>
      <c r="B42" s="47">
        <f>ChartData!U6</f>
        <v>0.13301136054421769</v>
      </c>
      <c r="C42" s="47">
        <f>ChartData!V6</f>
        <v>0</v>
      </c>
      <c r="D42" s="47">
        <f>ChartData!W6</f>
        <v>0</v>
      </c>
      <c r="E42" s="55">
        <f>ChartData!X6</f>
        <v>0.11708163265306122</v>
      </c>
    </row>
    <row r="43" spans="1:5" x14ac:dyDescent="0.25">
      <c r="A43" s="41">
        <f>ChartData!T7</f>
        <v>2.5</v>
      </c>
      <c r="B43" s="47">
        <f>ChartData!U7</f>
        <v>0.11409865306122439</v>
      </c>
      <c r="C43" s="47">
        <f>ChartData!V7</f>
        <v>0</v>
      </c>
      <c r="D43" s="47">
        <f>ChartData!W7</f>
        <v>0</v>
      </c>
      <c r="E43" s="55">
        <f>ChartData!X7</f>
        <v>9.8510204081632649E-2</v>
      </c>
    </row>
    <row r="44" spans="1:5" x14ac:dyDescent="0.25">
      <c r="A44" s="41">
        <f>ChartData!T8</f>
        <v>3</v>
      </c>
      <c r="B44" s="47">
        <f>ChartData!U8</f>
        <v>0.10898819727891157</v>
      </c>
      <c r="C44" s="47">
        <f>ChartData!V8</f>
        <v>0</v>
      </c>
      <c r="D44" s="47">
        <f>ChartData!W8</f>
        <v>0</v>
      </c>
      <c r="E44" s="55">
        <f>ChartData!X8</f>
        <v>0.10293877551020407</v>
      </c>
    </row>
    <row r="45" spans="1:5" x14ac:dyDescent="0.25">
      <c r="A45" s="41">
        <f>ChartData!T9</f>
        <v>3.5</v>
      </c>
      <c r="B45" s="47">
        <f>ChartData!U9</f>
        <v>0.12097806122448976</v>
      </c>
      <c r="C45" s="47">
        <f>ChartData!V9</f>
        <v>2.8614845156462597E-3</v>
      </c>
      <c r="D45" s="47">
        <f>ChartData!W9</f>
        <v>0</v>
      </c>
      <c r="E45" s="55">
        <f>ChartData!X9</f>
        <v>0.10842857142857144</v>
      </c>
    </row>
    <row r="46" spans="1:5" x14ac:dyDescent="0.25">
      <c r="A46" s="41">
        <f>ChartData!T10</f>
        <v>4</v>
      </c>
      <c r="B46" s="47">
        <f>ChartData!U10</f>
        <v>0.11632741496598639</v>
      </c>
      <c r="C46" s="47">
        <f>ChartData!V10</f>
        <v>4.1360827974149549E-2</v>
      </c>
      <c r="D46" s="47">
        <f>ChartData!W10</f>
        <v>7.3469387755102048E-4</v>
      </c>
      <c r="E46" s="55">
        <f>ChartData!X10</f>
        <v>6.7138705848979574E-2</v>
      </c>
    </row>
    <row r="47" spans="1:5" x14ac:dyDescent="0.25">
      <c r="A47" s="41">
        <f>ChartData!T11</f>
        <v>4.5</v>
      </c>
      <c r="B47" s="47">
        <f>ChartData!U11</f>
        <v>0.14219854421768707</v>
      </c>
      <c r="C47" s="47">
        <f>ChartData!V11</f>
        <v>0.19341576440612251</v>
      </c>
      <c r="D47" s="47">
        <f>ChartData!W11</f>
        <v>7.7408163265306126E-2</v>
      </c>
      <c r="E47" s="55">
        <f>ChartData!X11</f>
        <v>2.3081632653061224E-2</v>
      </c>
    </row>
    <row r="48" spans="1:5" x14ac:dyDescent="0.25">
      <c r="A48" s="41">
        <f>ChartData!T12</f>
        <v>5</v>
      </c>
      <c r="B48" s="47">
        <f>ChartData!U12</f>
        <v>0.13029317346938776</v>
      </c>
      <c r="C48" s="47">
        <f>ChartData!V12</f>
        <v>0.38366564789523899</v>
      </c>
      <c r="D48" s="47">
        <f>ChartData!W12</f>
        <v>0.2573673469387755</v>
      </c>
      <c r="E48" s="55">
        <f>ChartData!X12</f>
        <v>2.2653061224489797E-3</v>
      </c>
    </row>
    <row r="49" spans="1:5" x14ac:dyDescent="0.25">
      <c r="A49" s="41">
        <f>ChartData!T13</f>
        <v>5.5</v>
      </c>
      <c r="B49" s="47">
        <f>ChartData!U13</f>
        <v>0.11120318367346939</v>
      </c>
      <c r="C49" s="47">
        <f>ChartData!V13</f>
        <v>0.61695331721904634</v>
      </c>
      <c r="D49" s="47">
        <f>ChartData!W13</f>
        <v>0.5057551020408162</v>
      </c>
      <c r="E49" s="55">
        <f>ChartData!X13</f>
        <v>0</v>
      </c>
    </row>
    <row r="50" spans="1:5" x14ac:dyDescent="0.25">
      <c r="A50" s="41">
        <f>ChartData!T14</f>
        <v>6</v>
      </c>
      <c r="B50" s="47">
        <f>ChartData!U14</f>
        <v>0.15649055102040821</v>
      </c>
      <c r="C50" s="47">
        <f>ChartData!V14</f>
        <v>0.87148331941156598</v>
      </c>
      <c r="D50" s="47">
        <f>ChartData!W14</f>
        <v>0.7273877551020409</v>
      </c>
      <c r="E50" s="55">
        <f>ChartData!X14</f>
        <v>1.236734693877551E-2</v>
      </c>
    </row>
    <row r="51" spans="1:5" x14ac:dyDescent="0.25">
      <c r="A51" s="41">
        <f>ChartData!T15</f>
        <v>6.5</v>
      </c>
      <c r="B51" s="47">
        <f>ChartData!U15</f>
        <v>0.12688432653061227</v>
      </c>
      <c r="C51" s="47">
        <f>ChartData!V15</f>
        <v>1.1291418894925154</v>
      </c>
      <c r="D51" s="47">
        <f>ChartData!W15</f>
        <v>1.0022653061224489</v>
      </c>
      <c r="E51" s="55">
        <f>ChartData!X15</f>
        <v>0</v>
      </c>
    </row>
    <row r="52" spans="1:5" x14ac:dyDescent="0.25">
      <c r="A52" s="41">
        <f>ChartData!T16</f>
        <v>7</v>
      </c>
      <c r="B52" s="47">
        <f>ChartData!U16</f>
        <v>0.23296099727891159</v>
      </c>
      <c r="C52" s="47">
        <f>ChartData!V16</f>
        <v>1.3854662812877561</v>
      </c>
      <c r="D52" s="47">
        <f>ChartData!W16</f>
        <v>1.1687551020408162</v>
      </c>
      <c r="E52" s="55">
        <f>ChartData!X16</f>
        <v>1.6224489795918368E-2</v>
      </c>
    </row>
    <row r="53" spans="1:5" x14ac:dyDescent="0.25">
      <c r="A53" s="41">
        <f>ChartData!T17</f>
        <v>7.5</v>
      </c>
      <c r="B53" s="47">
        <f>ChartData!U17</f>
        <v>0.1777256510204083</v>
      </c>
      <c r="C53" s="47">
        <f>ChartData!V17</f>
        <v>1.6421635340306122</v>
      </c>
      <c r="D53" s="47">
        <f>ChartData!W17</f>
        <v>1.2758979591836737</v>
      </c>
      <c r="E53" s="55">
        <f>ChartData!X17</f>
        <v>0</v>
      </c>
    </row>
    <row r="54" spans="1:5" x14ac:dyDescent="0.25">
      <c r="A54" s="41">
        <f>ChartData!T18</f>
        <v>8</v>
      </c>
      <c r="B54" s="47">
        <f>ChartData!U18</f>
        <v>0.30725656054421796</v>
      </c>
      <c r="C54" s="47">
        <f>ChartData!V18</f>
        <v>1.8830902648850352</v>
      </c>
      <c r="D54" s="47">
        <f>ChartData!W18</f>
        <v>0.68542857142857128</v>
      </c>
      <c r="E54" s="55">
        <f>ChartData!X18</f>
        <v>2.5387755102040815E-2</v>
      </c>
    </row>
    <row r="55" spans="1:5" x14ac:dyDescent="0.25">
      <c r="A55" s="41">
        <f>ChartData!T19</f>
        <v>8.5</v>
      </c>
      <c r="B55" s="47">
        <f>ChartData!U19</f>
        <v>0.27185874149659878</v>
      </c>
      <c r="C55" s="47">
        <f>ChartData!V19</f>
        <v>2.1095617457999998</v>
      </c>
      <c r="D55" s="47">
        <f>ChartData!W19</f>
        <v>0.42030612244897958</v>
      </c>
      <c r="E55" s="55">
        <f>ChartData!X19</f>
        <v>0</v>
      </c>
    </row>
    <row r="56" spans="1:5" x14ac:dyDescent="0.25">
      <c r="A56" s="41">
        <f>ChartData!T20</f>
        <v>9</v>
      </c>
      <c r="B56" s="47">
        <f>ChartData!U20</f>
        <v>0.38909634829931955</v>
      </c>
      <c r="C56" s="47">
        <f>ChartData!V20</f>
        <v>2.3024376740544232</v>
      </c>
      <c r="D56" s="47">
        <f>ChartData!W20</f>
        <v>0.27651020408163268</v>
      </c>
      <c r="E56" s="55">
        <f>ChartData!X20</f>
        <v>4.9387755102040815E-3</v>
      </c>
    </row>
    <row r="57" spans="1:5" x14ac:dyDescent="0.25">
      <c r="A57" s="41">
        <f>ChartData!T21</f>
        <v>9.5</v>
      </c>
      <c r="B57" s="47">
        <f>ChartData!U21</f>
        <v>0.34987377687074833</v>
      </c>
      <c r="C57" s="47">
        <f>ChartData!V21</f>
        <v>2.4669413020394546</v>
      </c>
      <c r="D57" s="47">
        <f>ChartData!W21</f>
        <v>0.17834693877551022</v>
      </c>
      <c r="E57" s="55">
        <f>ChartData!X21</f>
        <v>2.0408163265306123E-4</v>
      </c>
    </row>
    <row r="58" spans="1:5" x14ac:dyDescent="0.25">
      <c r="A58" s="41">
        <f>ChartData!T22</f>
        <v>10</v>
      </c>
      <c r="B58" s="47">
        <f>ChartData!U22</f>
        <v>0.34486209183673489</v>
      </c>
      <c r="C58" s="47">
        <f>ChartData!V22</f>
        <v>2.6113339679585033</v>
      </c>
      <c r="D58" s="47">
        <f>ChartData!W22</f>
        <v>5.5122448979591829E-2</v>
      </c>
      <c r="E58" s="55">
        <f>ChartData!X22</f>
        <v>0</v>
      </c>
    </row>
    <row r="59" spans="1:5" x14ac:dyDescent="0.25">
      <c r="A59" s="41">
        <f>ChartData!T23</f>
        <v>10.5</v>
      </c>
      <c r="B59" s="47">
        <f>ChartData!U23</f>
        <v>0.29174917482993201</v>
      </c>
      <c r="C59" s="47">
        <f>ChartData!V23</f>
        <v>2.7305037487530628</v>
      </c>
      <c r="D59" s="47">
        <f>ChartData!W23</f>
        <v>3.8857142857142861E-2</v>
      </c>
      <c r="E59" s="55">
        <f>ChartData!X23</f>
        <v>2.795918367346939E-3</v>
      </c>
    </row>
    <row r="60" spans="1:5" x14ac:dyDescent="0.25">
      <c r="A60" s="41">
        <f>ChartData!T24</f>
        <v>11</v>
      </c>
      <c r="B60" s="47">
        <f>ChartData!U24</f>
        <v>0.45374157619047611</v>
      </c>
      <c r="C60" s="47">
        <f>ChartData!V24</f>
        <v>2.8150581720442198</v>
      </c>
      <c r="D60" s="47">
        <f>ChartData!W24</f>
        <v>0</v>
      </c>
      <c r="E60" s="55">
        <f>ChartData!X24</f>
        <v>1.2061224489795918E-2</v>
      </c>
    </row>
    <row r="61" spans="1:5" x14ac:dyDescent="0.25">
      <c r="A61" s="41">
        <f>ChartData!T25</f>
        <v>11.5</v>
      </c>
      <c r="B61" s="47">
        <f>ChartData!U25</f>
        <v>0.44875567551020418</v>
      </c>
      <c r="C61" s="47">
        <f>ChartData!V25</f>
        <v>2.8521396608897955</v>
      </c>
      <c r="D61" s="47">
        <f>ChartData!W25</f>
        <v>6.7142857142857143E-3</v>
      </c>
      <c r="E61" s="55">
        <f>ChartData!X25</f>
        <v>0</v>
      </c>
    </row>
    <row r="62" spans="1:5" x14ac:dyDescent="0.25">
      <c r="A62" s="41">
        <f>ChartData!T26</f>
        <v>12</v>
      </c>
      <c r="B62" s="47">
        <f>ChartData!U26</f>
        <v>0.24394610136054429</v>
      </c>
      <c r="C62" s="47">
        <f>ChartData!V26</f>
        <v>2.8628798808054423</v>
      </c>
      <c r="D62" s="47">
        <f>ChartData!W26</f>
        <v>9.8163265306122453E-3</v>
      </c>
      <c r="E62" s="55">
        <f>ChartData!X26</f>
        <v>0</v>
      </c>
    </row>
    <row r="63" spans="1:5" x14ac:dyDescent="0.25">
      <c r="A63" s="41">
        <f>ChartData!T27</f>
        <v>12.5</v>
      </c>
      <c r="B63" s="47">
        <f>ChartData!U27</f>
        <v>0.26022106258503402</v>
      </c>
      <c r="C63" s="47">
        <f>ChartData!V27</f>
        <v>2.8427879211020413</v>
      </c>
      <c r="D63" s="47">
        <f>ChartData!W27</f>
        <v>0</v>
      </c>
      <c r="E63" s="55">
        <f>ChartData!X27</f>
        <v>0</v>
      </c>
    </row>
    <row r="64" spans="1:5" x14ac:dyDescent="0.25">
      <c r="A64" s="41">
        <f>ChartData!T28</f>
        <v>13</v>
      </c>
      <c r="B64" s="47">
        <f>ChartData!U28</f>
        <v>0.370112442176871</v>
      </c>
      <c r="C64" s="47">
        <f>ChartData!V28</f>
        <v>2.7752899620714309</v>
      </c>
      <c r="D64" s="47">
        <f>ChartData!W28</f>
        <v>0</v>
      </c>
      <c r="E64" s="55">
        <f>ChartData!X28</f>
        <v>1.6102040816326532E-2</v>
      </c>
    </row>
    <row r="65" spans="1:5" x14ac:dyDescent="0.25">
      <c r="A65" s="41">
        <f>ChartData!T29</f>
        <v>13.5</v>
      </c>
      <c r="B65" s="47">
        <f>ChartData!U29</f>
        <v>0.35529202993197284</v>
      </c>
      <c r="C65" s="47">
        <f>ChartData!V29</f>
        <v>2.6723137519238107</v>
      </c>
      <c r="D65" s="47">
        <f>ChartData!W29</f>
        <v>1.3918367346938774E-2</v>
      </c>
      <c r="E65" s="55">
        <f>ChartData!X29</f>
        <v>0</v>
      </c>
    </row>
    <row r="66" spans="1:5" x14ac:dyDescent="0.25">
      <c r="A66" s="41">
        <f>ChartData!T30</f>
        <v>14</v>
      </c>
      <c r="B66" s="47">
        <f>ChartData!U30</f>
        <v>0.28743067006802736</v>
      </c>
      <c r="C66" s="47">
        <f>ChartData!V30</f>
        <v>2.5493764622020403</v>
      </c>
      <c r="D66" s="47">
        <f>ChartData!W30</f>
        <v>3.9795918367346939E-3</v>
      </c>
      <c r="E66" s="55">
        <f>ChartData!X30</f>
        <v>6.1224489795918364E-3</v>
      </c>
    </row>
    <row r="67" spans="1:5" x14ac:dyDescent="0.25">
      <c r="A67" s="41">
        <f>ChartData!T31</f>
        <v>14.5</v>
      </c>
      <c r="B67" s="47">
        <f>ChartData!U31</f>
        <v>0.31986388707482988</v>
      </c>
      <c r="C67" s="47">
        <f>ChartData!V31</f>
        <v>2.3935969296421788</v>
      </c>
      <c r="D67" s="47">
        <f>ChartData!W31</f>
        <v>6.7959183673469391E-3</v>
      </c>
      <c r="E67" s="55">
        <f>ChartData!X31</f>
        <v>4.4081632653061222E-3</v>
      </c>
    </row>
    <row r="68" spans="1:5" x14ac:dyDescent="0.25">
      <c r="A68" s="41">
        <f>ChartData!T32</f>
        <v>15</v>
      </c>
      <c r="B68" s="47">
        <f>ChartData!U32</f>
        <v>0.42077240204081645</v>
      </c>
      <c r="C68" s="47">
        <f>ChartData!V32</f>
        <v>2.2280507380224481</v>
      </c>
      <c r="D68" s="47">
        <f>ChartData!W32</f>
        <v>0</v>
      </c>
      <c r="E68" s="55">
        <f>ChartData!X32</f>
        <v>7.5653061224489795E-2</v>
      </c>
    </row>
    <row r="69" spans="1:5" x14ac:dyDescent="0.25">
      <c r="A69" s="41">
        <f>ChartData!T33</f>
        <v>15.5</v>
      </c>
      <c r="B69" s="47">
        <f>ChartData!U33</f>
        <v>0.33016815374149661</v>
      </c>
      <c r="C69" s="47">
        <f>ChartData!V33</f>
        <v>2.0288375927564628</v>
      </c>
      <c r="D69" s="47">
        <f>ChartData!W33</f>
        <v>8.4897959183673471E-3</v>
      </c>
      <c r="E69" s="55">
        <f>ChartData!X33</f>
        <v>3.7979591836734695E-2</v>
      </c>
    </row>
    <row r="70" spans="1:5" x14ac:dyDescent="0.25">
      <c r="A70" s="41">
        <f>ChartData!T34</f>
        <v>16</v>
      </c>
      <c r="B70" s="47">
        <f>ChartData!U34</f>
        <v>0.32540338911564631</v>
      </c>
      <c r="C70" s="47">
        <f>ChartData!V34</f>
        <v>1.8044765782925161</v>
      </c>
      <c r="D70" s="47">
        <f>ChartData!W34</f>
        <v>4.8795918367346938E-2</v>
      </c>
      <c r="E70" s="55">
        <f>ChartData!X34</f>
        <v>5.877551020408163E-3</v>
      </c>
    </row>
    <row r="71" spans="1:5" x14ac:dyDescent="0.25">
      <c r="A71" s="41">
        <f>ChartData!T35</f>
        <v>16.5</v>
      </c>
      <c r="B71" s="47">
        <f>ChartData!U35</f>
        <v>0.37795886122448985</v>
      </c>
      <c r="C71" s="47">
        <f>ChartData!V35</f>
        <v>1.5335898851435368</v>
      </c>
      <c r="D71" s="47">
        <f>ChartData!W35</f>
        <v>1.7428571428571432E-2</v>
      </c>
      <c r="E71" s="55">
        <f>ChartData!X35</f>
        <v>6.0571428571428568E-2</v>
      </c>
    </row>
    <row r="72" spans="1:5" x14ac:dyDescent="0.25">
      <c r="A72" s="41">
        <f>ChartData!T36</f>
        <v>17</v>
      </c>
      <c r="B72" s="47">
        <f>ChartData!U36</f>
        <v>0.35126495646258526</v>
      </c>
      <c r="C72" s="47">
        <f>ChartData!V36</f>
        <v>1.2800587324251682</v>
      </c>
      <c r="D72" s="47">
        <f>ChartData!W36</f>
        <v>3.5122448979591839E-2</v>
      </c>
      <c r="E72" s="55">
        <f>ChartData!X36</f>
        <v>3.9836734693877551E-2</v>
      </c>
    </row>
    <row r="73" spans="1:5" x14ac:dyDescent="0.25">
      <c r="A73" s="41">
        <f>ChartData!T37</f>
        <v>17.5</v>
      </c>
      <c r="B73" s="47">
        <f>ChartData!U37</f>
        <v>0.34511555918367359</v>
      </c>
      <c r="C73" s="47">
        <f>ChartData!V37</f>
        <v>1.0195397359979597</v>
      </c>
      <c r="D73" s="47">
        <f>ChartData!W37</f>
        <v>2.0204081632653061E-2</v>
      </c>
      <c r="E73" s="55">
        <f>ChartData!X37</f>
        <v>5.1693877551020409E-2</v>
      </c>
    </row>
    <row r="74" spans="1:5" x14ac:dyDescent="0.25">
      <c r="A74" s="41">
        <f>ChartData!T38</f>
        <v>18</v>
      </c>
      <c r="B74" s="47">
        <f>ChartData!U38</f>
        <v>0.33905987006802718</v>
      </c>
      <c r="C74" s="47">
        <f>ChartData!V38</f>
        <v>0.76752785893197362</v>
      </c>
      <c r="D74" s="47">
        <f>ChartData!W38</f>
        <v>1.9102040816326528E-2</v>
      </c>
      <c r="E74" s="55">
        <f>ChartData!X38</f>
        <v>7.6530612244897947E-2</v>
      </c>
    </row>
    <row r="75" spans="1:5" x14ac:dyDescent="0.25">
      <c r="A75" s="41">
        <f>ChartData!T39</f>
        <v>18.5</v>
      </c>
      <c r="B75" s="47">
        <f>ChartData!U39</f>
        <v>0.41245702517006799</v>
      </c>
      <c r="C75" s="47">
        <f>ChartData!V39</f>
        <v>0.52455289968367358</v>
      </c>
      <c r="D75" s="47">
        <f>ChartData!W39</f>
        <v>1.6E-2</v>
      </c>
      <c r="E75" s="55">
        <f>ChartData!X39</f>
        <v>0.15744897959183674</v>
      </c>
    </row>
    <row r="76" spans="1:5" x14ac:dyDescent="0.25">
      <c r="A76" s="41">
        <f>ChartData!T40</f>
        <v>19</v>
      </c>
      <c r="B76" s="47">
        <f>ChartData!U40</f>
        <v>0.3053412231292516</v>
      </c>
      <c r="C76" s="47">
        <f>ChartData!V40</f>
        <v>0.30630756061496583</v>
      </c>
      <c r="D76" s="47">
        <f>ChartData!W40</f>
        <v>1.2857142857142857E-2</v>
      </c>
      <c r="E76" s="55">
        <f>ChartData!X40</f>
        <v>9.9918367346938777E-2</v>
      </c>
    </row>
    <row r="77" spans="1:5" x14ac:dyDescent="0.25">
      <c r="A77" s="41">
        <f>ChartData!T41</f>
        <v>19.5</v>
      </c>
      <c r="B77" s="47">
        <f>ChartData!U41</f>
        <v>0.48293246734693895</v>
      </c>
      <c r="C77" s="47">
        <f>ChartData!V41</f>
        <v>8.9117712189795972E-2</v>
      </c>
      <c r="D77" s="47">
        <f>ChartData!W41</f>
        <v>4.285714285714286E-4</v>
      </c>
      <c r="E77" s="55">
        <f>ChartData!X41</f>
        <v>0.39714285714285719</v>
      </c>
    </row>
    <row r="78" spans="1:5" x14ac:dyDescent="0.25">
      <c r="A78" s="41">
        <f>ChartData!T42</f>
        <v>20</v>
      </c>
      <c r="B78" s="47">
        <f>ChartData!U42</f>
        <v>0.46292633877551032</v>
      </c>
      <c r="C78" s="47">
        <f>ChartData!V42</f>
        <v>1.6436201691156473E-2</v>
      </c>
      <c r="D78" s="47">
        <f>ChartData!W42</f>
        <v>0</v>
      </c>
      <c r="E78" s="55">
        <f>ChartData!X42</f>
        <v>0.44646938775510192</v>
      </c>
    </row>
    <row r="79" spans="1:5" x14ac:dyDescent="0.25">
      <c r="A79" s="41">
        <f>ChartData!T43</f>
        <v>20.5</v>
      </c>
      <c r="B79" s="47">
        <f>ChartData!U43</f>
        <v>0.47963098639455792</v>
      </c>
      <c r="C79" s="47">
        <f>ChartData!V43</f>
        <v>0</v>
      </c>
      <c r="D79" s="47">
        <f>ChartData!W43</f>
        <v>0</v>
      </c>
      <c r="E79" s="55">
        <f>ChartData!X43</f>
        <v>0.47965306122448981</v>
      </c>
    </row>
    <row r="80" spans="1:5" x14ac:dyDescent="0.25">
      <c r="A80" s="41">
        <f>ChartData!T44</f>
        <v>21</v>
      </c>
      <c r="B80" s="47">
        <f>ChartData!U44</f>
        <v>0.52174998639455783</v>
      </c>
      <c r="C80" s="47">
        <f>ChartData!V44</f>
        <v>0</v>
      </c>
      <c r="D80" s="47">
        <f>ChartData!W44</f>
        <v>0</v>
      </c>
      <c r="E80" s="55">
        <f>ChartData!X44</f>
        <v>0.52181632653061227</v>
      </c>
    </row>
    <row r="81" spans="1:5" x14ac:dyDescent="0.25">
      <c r="A81" s="41">
        <f>ChartData!T45</f>
        <v>21.5</v>
      </c>
      <c r="B81" s="47">
        <f>ChartData!U45</f>
        <v>0.46938805442176845</v>
      </c>
      <c r="C81" s="47">
        <f>ChartData!V45</f>
        <v>0</v>
      </c>
      <c r="D81" s="47">
        <f>ChartData!W45</f>
        <v>0</v>
      </c>
      <c r="E81" s="55">
        <f>ChartData!X45</f>
        <v>0.45244897959183678</v>
      </c>
    </row>
    <row r="82" spans="1:5" x14ac:dyDescent="0.25">
      <c r="A82" s="41">
        <f>ChartData!T46</f>
        <v>22</v>
      </c>
      <c r="B82" s="47">
        <f>ChartData!U46</f>
        <v>0.56727900680272147</v>
      </c>
      <c r="C82" s="47">
        <f>ChartData!V46</f>
        <v>0</v>
      </c>
      <c r="D82" s="47">
        <f>ChartData!W46</f>
        <v>0</v>
      </c>
      <c r="E82" s="55">
        <f>ChartData!X46</f>
        <v>0.53524489795918373</v>
      </c>
    </row>
    <row r="83" spans="1:5" x14ac:dyDescent="0.25">
      <c r="A83" s="41">
        <f>ChartData!T47</f>
        <v>22.5</v>
      </c>
      <c r="B83" s="47">
        <f>ChartData!U47</f>
        <v>0.4981532993197279</v>
      </c>
      <c r="C83" s="47">
        <f>ChartData!V47</f>
        <v>0</v>
      </c>
      <c r="D83" s="47">
        <f>ChartData!W47</f>
        <v>0</v>
      </c>
      <c r="E83" s="55">
        <f>ChartData!X47</f>
        <v>0.41608163265306131</v>
      </c>
    </row>
    <row r="84" spans="1:5" x14ac:dyDescent="0.25">
      <c r="A84" s="41">
        <f>ChartData!T48</f>
        <v>23</v>
      </c>
      <c r="B84" s="47">
        <f>ChartData!U48</f>
        <v>0.40095637414966012</v>
      </c>
      <c r="C84" s="47">
        <f>ChartData!V48</f>
        <v>0</v>
      </c>
      <c r="D84" s="47">
        <f>ChartData!W48</f>
        <v>0</v>
      </c>
      <c r="E84" s="55">
        <f>ChartData!X48</f>
        <v>0.34422448979591846</v>
      </c>
    </row>
    <row r="85" spans="1:5" x14ac:dyDescent="0.25">
      <c r="A85" s="42">
        <f>ChartData!T49</f>
        <v>23.5</v>
      </c>
      <c r="B85" s="48">
        <f>ChartData!U49</f>
        <v>0.27882082040816314</v>
      </c>
      <c r="C85" s="48">
        <f>ChartData!V49</f>
        <v>0</v>
      </c>
      <c r="D85" s="48">
        <f>ChartData!W49</f>
        <v>0</v>
      </c>
      <c r="E85" s="56">
        <f>ChartData!X49</f>
        <v>0.25022448979591838</v>
      </c>
    </row>
  </sheetData>
  <mergeCells count="1">
    <mergeCell ref="A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Summary</vt:lpstr>
      <vt:lpstr>FleetAverage</vt:lpstr>
      <vt:lpstr>SOC_pct</vt:lpstr>
      <vt:lpstr>Demand_kW</vt:lpstr>
      <vt:lpstr>PV_kW</vt:lpstr>
      <vt:lpstr>Charge_kW</vt:lpstr>
      <vt:lpstr>Discharge_kW</vt:lpstr>
      <vt:lpstr>Net_kW</vt:lpstr>
      <vt:lpstr>ProsumerMetrics</vt:lpstr>
      <vt:lpstr>Dashboard</vt:lpstr>
      <vt:lpstr>ChartData</vt:lpstr>
      <vt:lpstr>Fleet Avg Figure</vt:lpstr>
      <vt:lpstr>Self Consumption Figure</vt:lpstr>
      <vt:lpstr>Net Per Prosumer Figure</vt:lpstr>
      <vt:lpstr>Demand PV Dispatch Figure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Tulio Coelho Coura</dc:creator>
  <cp:lastModifiedBy>Tulio</cp:lastModifiedBy>
  <dcterms:created xsi:type="dcterms:W3CDTF">2026-07-10T18:33:46Z</dcterms:created>
  <dcterms:modified xsi:type="dcterms:W3CDTF">2026-07-10T18:33:46Z</dcterms:modified>
</cp:coreProperties>
</file>